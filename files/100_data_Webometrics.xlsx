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\"/>
    </mc:Choice>
  </mc:AlternateContent>
  <xr:revisionPtr revIDLastSave="0" documentId="13_ncr:1_{E642534D-3524-4064-98D3-41A898AFD05A}" xr6:coauthVersionLast="47" xr6:coauthVersionMax="47" xr10:uidLastSave="{00000000-0000-0000-0000-000000000000}"/>
  <bookViews>
    <workbookView xWindow="-108" yWindow="-108" windowWidth="23256" windowHeight="12456" activeTab="4" xr2:uid="{E3DC6E2F-FAC8-40B9-8C1D-EF6BDFEF87E3}"/>
  </bookViews>
  <sheets>
    <sheet name="Identifiers" sheetId="2" r:id="rId1"/>
    <sheet name="Statements" sheetId="1" r:id="rId2"/>
    <sheet name="Potential Variable" sheetId="4" r:id="rId3"/>
    <sheet name="Binary_Data" sheetId="5" r:id="rId4"/>
    <sheet name="Trend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I120" i="1" l="1"/>
  <c r="FB120" i="1"/>
  <c r="BP120" i="1"/>
  <c r="NA120" i="2"/>
  <c r="T104" i="4"/>
  <c r="T105" i="4" s="1"/>
  <c r="T107" i="4" s="1"/>
  <c r="U104" i="4"/>
  <c r="U105" i="4"/>
  <c r="U107" i="4" s="1"/>
  <c r="K104" i="4"/>
  <c r="K105" i="4" s="1"/>
  <c r="K107" i="4" s="1"/>
  <c r="L104" i="4"/>
  <c r="L105" i="4" s="1"/>
  <c r="L107" i="4" s="1"/>
  <c r="M104" i="4"/>
  <c r="M105" i="4" s="1"/>
  <c r="M107" i="4" s="1"/>
  <c r="N104" i="4"/>
  <c r="N105" i="4" s="1"/>
  <c r="N107" i="4" s="1"/>
  <c r="O104" i="4"/>
  <c r="O105" i="4" s="1"/>
  <c r="O107" i="4" s="1"/>
  <c r="P104" i="4"/>
  <c r="P105" i="4" s="1"/>
  <c r="P107" i="4" s="1"/>
  <c r="Q104" i="4"/>
  <c r="Q105" i="4" s="1"/>
  <c r="Q107" i="4" s="1"/>
  <c r="W104" i="4"/>
  <c r="W105" i="4" s="1"/>
  <c r="W107" i="4" s="1"/>
  <c r="S104" i="4"/>
  <c r="S105" i="4" s="1"/>
  <c r="S107" i="4" s="1"/>
  <c r="R104" i="4"/>
  <c r="R105" i="4" s="1"/>
  <c r="R107" i="4" s="1"/>
  <c r="V104" i="4"/>
  <c r="V105" i="4" s="1"/>
  <c r="V107" i="4" s="1"/>
  <c r="X104" i="4"/>
  <c r="X105" i="4" s="1"/>
  <c r="X107" i="4" s="1"/>
  <c r="AA104" i="4"/>
  <c r="AA105" i="4" s="1"/>
  <c r="AA107" i="4" s="1"/>
  <c r="Z104" i="4"/>
  <c r="Z105" i="4" s="1"/>
  <c r="Z107" i="4" s="1"/>
  <c r="Y104" i="4"/>
  <c r="Y105" i="4" s="1"/>
  <c r="Y107" i="4" s="1"/>
  <c r="AB104" i="4"/>
  <c r="AB105" i="4" s="1"/>
  <c r="AB107" i="4" s="1"/>
  <c r="AC104" i="4"/>
  <c r="AC105" i="4" s="1"/>
  <c r="AC107" i="4" s="1"/>
  <c r="AD104" i="4"/>
  <c r="AD105" i="4" s="1"/>
  <c r="AD107" i="4" s="1"/>
  <c r="AE104" i="4"/>
  <c r="AE105" i="4" s="1"/>
  <c r="AE107" i="4" s="1"/>
  <c r="AF104" i="4"/>
  <c r="AF105" i="4" s="1"/>
  <c r="AF107" i="4" s="1"/>
  <c r="AG104" i="4"/>
  <c r="AG105" i="4" s="1"/>
  <c r="AG107" i="4" s="1"/>
  <c r="AH104" i="4"/>
  <c r="AH105" i="4" s="1"/>
  <c r="AH107" i="4" s="1"/>
  <c r="AI104" i="4"/>
  <c r="AI105" i="4" s="1"/>
  <c r="AI107" i="4" s="1"/>
  <c r="AJ104" i="4"/>
  <c r="AJ105" i="4" s="1"/>
  <c r="AJ107" i="4" s="1"/>
  <c r="AK104" i="4"/>
  <c r="AK105" i="4" s="1"/>
  <c r="AK107" i="4" s="1"/>
  <c r="AP104" i="4"/>
  <c r="AP105" i="4" s="1"/>
  <c r="AP107" i="4" s="1"/>
  <c r="AL104" i="4"/>
  <c r="AL105" i="4" s="1"/>
  <c r="AL107" i="4" s="1"/>
  <c r="AO104" i="4"/>
  <c r="AO105" i="4" s="1"/>
  <c r="AO107" i="4" s="1"/>
  <c r="AM104" i="4"/>
  <c r="AM105" i="4" s="1"/>
  <c r="AM107" i="4" s="1"/>
  <c r="AN104" i="4"/>
  <c r="AN105" i="4" s="1"/>
  <c r="AN107" i="4" s="1"/>
  <c r="AQ104" i="4"/>
  <c r="AQ105" i="4" s="1"/>
  <c r="AQ107" i="4" s="1"/>
  <c r="AR104" i="4"/>
  <c r="AR105" i="4" s="1"/>
  <c r="AR107" i="4" s="1"/>
  <c r="E104" i="4"/>
  <c r="E105" i="4" s="1"/>
  <c r="E107" i="4" s="1"/>
  <c r="F104" i="4"/>
  <c r="F105" i="4" s="1"/>
  <c r="F107" i="4" s="1"/>
  <c r="G104" i="4"/>
  <c r="G105" i="4" s="1"/>
  <c r="G107" i="4" s="1"/>
  <c r="H104" i="4"/>
  <c r="H105" i="4" s="1"/>
  <c r="H107" i="4" s="1"/>
  <c r="I104" i="4"/>
  <c r="I105" i="4" s="1"/>
  <c r="I107" i="4" s="1"/>
  <c r="J104" i="4"/>
  <c r="J105" i="4" s="1"/>
  <c r="J107" i="4" s="1"/>
  <c r="D104" i="4"/>
  <c r="D105" i="4" s="1"/>
  <c r="D107" i="4" s="1"/>
  <c r="C104" i="4"/>
  <c r="C105" i="4" s="1"/>
  <c r="C107" i="4" s="1"/>
  <c r="B104" i="4"/>
  <c r="B105" i="4" s="1"/>
  <c r="B107" i="4" s="1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ER120" i="2"/>
  <c r="ES120" i="2"/>
  <c r="ET120" i="2"/>
  <c r="EU120" i="2"/>
  <c r="EV120" i="2"/>
  <c r="EW120" i="2"/>
  <c r="EX120" i="2"/>
  <c r="EY120" i="2"/>
  <c r="EZ120" i="2"/>
  <c r="FA120" i="2"/>
  <c r="FB120" i="2"/>
  <c r="FC120" i="2"/>
  <c r="FD120" i="2"/>
  <c r="FE120" i="2"/>
  <c r="FF120" i="2"/>
  <c r="FG120" i="2"/>
  <c r="FH120" i="2"/>
  <c r="FI120" i="2"/>
  <c r="FJ120" i="2"/>
  <c r="FK120" i="2"/>
  <c r="FL120" i="2"/>
  <c r="FM120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GY120" i="2"/>
  <c r="GZ120" i="2"/>
  <c r="HA120" i="2"/>
  <c r="HB120" i="2"/>
  <c r="HC120" i="2"/>
  <c r="HD120" i="2"/>
  <c r="HE120" i="2"/>
  <c r="HF120" i="2"/>
  <c r="HG120" i="2"/>
  <c r="HH120" i="2"/>
  <c r="HI120" i="2"/>
  <c r="HJ120" i="2"/>
  <c r="HK120" i="2"/>
  <c r="HL120" i="2"/>
  <c r="HM120" i="2"/>
  <c r="HN120" i="2"/>
  <c r="HO120" i="2"/>
  <c r="HP120" i="2"/>
  <c r="HQ120" i="2"/>
  <c r="HR120" i="2"/>
  <c r="HS120" i="2"/>
  <c r="HT120" i="2"/>
  <c r="HU120" i="2"/>
  <c r="HV120" i="2"/>
  <c r="HW120" i="2"/>
  <c r="HX120" i="2"/>
  <c r="HY120" i="2"/>
  <c r="HZ120" i="2"/>
  <c r="IA120" i="2"/>
  <c r="IB120" i="2"/>
  <c r="IC120" i="2"/>
  <c r="ID120" i="2"/>
  <c r="IE120" i="2"/>
  <c r="IF120" i="2"/>
  <c r="IG120" i="2"/>
  <c r="IH120" i="2"/>
  <c r="II120" i="2"/>
  <c r="IJ120" i="2"/>
  <c r="IK120" i="2"/>
  <c r="IL120" i="2"/>
  <c r="IM120" i="2"/>
  <c r="IN120" i="2"/>
  <c r="IO120" i="2"/>
  <c r="IP120" i="2"/>
  <c r="IQ120" i="2"/>
  <c r="IR120" i="2"/>
  <c r="IS120" i="2"/>
  <c r="IT120" i="2"/>
  <c r="IU120" i="2"/>
  <c r="IV120" i="2"/>
  <c r="IW120" i="2"/>
  <c r="IX120" i="2"/>
  <c r="IY120" i="2"/>
  <c r="IZ120" i="2"/>
  <c r="JA120" i="2"/>
  <c r="JB120" i="2"/>
  <c r="JC120" i="2"/>
  <c r="JD120" i="2"/>
  <c r="JE120" i="2"/>
  <c r="JF120" i="2"/>
  <c r="JG120" i="2"/>
  <c r="JH120" i="2"/>
  <c r="JI120" i="2"/>
  <c r="JJ120" i="2"/>
  <c r="JK120" i="2"/>
  <c r="JL120" i="2"/>
  <c r="JM120" i="2"/>
  <c r="JN120" i="2"/>
  <c r="JO120" i="2"/>
  <c r="JP120" i="2"/>
  <c r="JQ120" i="2"/>
  <c r="JR120" i="2"/>
  <c r="JS120" i="2"/>
  <c r="JT120" i="2"/>
  <c r="JU120" i="2"/>
  <c r="JV120" i="2"/>
  <c r="JW120" i="2"/>
  <c r="JX120" i="2"/>
  <c r="JY120" i="2"/>
  <c r="JZ120" i="2"/>
  <c r="KA120" i="2"/>
  <c r="KB120" i="2"/>
  <c r="KC120" i="2"/>
  <c r="KD120" i="2"/>
  <c r="KE120" i="2"/>
  <c r="KF120" i="2"/>
  <c r="KG120" i="2"/>
  <c r="KH120" i="2"/>
  <c r="KI120" i="2"/>
  <c r="KJ120" i="2"/>
  <c r="KK120" i="2"/>
  <c r="KL120" i="2"/>
  <c r="KM120" i="2"/>
  <c r="KN120" i="2"/>
  <c r="KO120" i="2"/>
  <c r="KP120" i="2"/>
  <c r="KQ120" i="2"/>
  <c r="KR120" i="2"/>
  <c r="KS120" i="2"/>
  <c r="KT120" i="2"/>
  <c r="KU120" i="2"/>
  <c r="KV120" i="2"/>
  <c r="KW120" i="2"/>
  <c r="KX120" i="2"/>
  <c r="KY120" i="2"/>
  <c r="KZ120" i="2"/>
  <c r="LA120" i="2"/>
  <c r="LB120" i="2"/>
  <c r="LC120" i="2"/>
  <c r="LD120" i="2"/>
  <c r="LE120" i="2"/>
  <c r="LF120" i="2"/>
  <c r="LG120" i="2"/>
  <c r="LH120" i="2"/>
  <c r="LI120" i="2"/>
  <c r="LJ120" i="2"/>
  <c r="LK120" i="2"/>
  <c r="LL120" i="2"/>
  <c r="LM120" i="2"/>
  <c r="LN120" i="2"/>
  <c r="LO120" i="2"/>
  <c r="LP120" i="2"/>
  <c r="LQ120" i="2"/>
  <c r="LR120" i="2"/>
  <c r="LS120" i="2"/>
  <c r="LT120" i="2"/>
  <c r="LU120" i="2"/>
  <c r="LV120" i="2"/>
  <c r="LW120" i="2"/>
  <c r="LX120" i="2"/>
  <c r="LY120" i="2"/>
  <c r="LZ120" i="2"/>
  <c r="MA120" i="2"/>
  <c r="MB120" i="2"/>
  <c r="MC120" i="2"/>
  <c r="MD120" i="2"/>
  <c r="ME120" i="2"/>
  <c r="MF120" i="2"/>
  <c r="MG120" i="2"/>
  <c r="MH120" i="2"/>
  <c r="MI120" i="2"/>
  <c r="MJ120" i="2"/>
  <c r="MK120" i="2"/>
  <c r="ML120" i="2"/>
  <c r="MM120" i="2"/>
  <c r="MN120" i="2"/>
  <c r="MO120" i="2"/>
  <c r="MP120" i="2"/>
  <c r="MQ120" i="2"/>
  <c r="MR120" i="2"/>
  <c r="MS120" i="2"/>
  <c r="MT120" i="2"/>
  <c r="MU120" i="2"/>
  <c r="MV120" i="2"/>
  <c r="MW120" i="2"/>
  <c r="MX120" i="2"/>
  <c r="MY120" i="2"/>
  <c r="MZ120" i="2"/>
  <c r="NB120" i="2"/>
  <c r="NC120" i="2"/>
  <c r="ND120" i="2"/>
  <c r="NE120" i="2"/>
  <c r="NF120" i="2"/>
  <c r="NG120" i="2"/>
  <c r="NH120" i="2"/>
  <c r="NI120" i="2"/>
  <c r="NJ120" i="2"/>
  <c r="NK120" i="2"/>
  <c r="NL120" i="2"/>
  <c r="NM120" i="2"/>
  <c r="NN120" i="2"/>
  <c r="NO120" i="2"/>
  <c r="NP120" i="2"/>
  <c r="NQ120" i="2"/>
  <c r="NR120" i="2"/>
  <c r="NS120" i="2"/>
  <c r="NT120" i="2"/>
  <c r="NU120" i="2"/>
  <c r="NV120" i="2"/>
  <c r="NW120" i="2"/>
  <c r="NX120" i="2"/>
  <c r="NY120" i="2"/>
  <c r="NZ120" i="2"/>
  <c r="OA120" i="2"/>
  <c r="OB120" i="2"/>
  <c r="OC120" i="2"/>
  <c r="OD120" i="2"/>
  <c r="OE120" i="2"/>
  <c r="OF120" i="2"/>
  <c r="OG120" i="2"/>
  <c r="OH120" i="2"/>
  <c r="OI120" i="2"/>
  <c r="OJ120" i="2"/>
  <c r="OK120" i="2"/>
  <c r="OL120" i="2"/>
  <c r="OM120" i="2"/>
  <c r="ON120" i="2"/>
  <c r="OO120" i="2"/>
  <c r="OP120" i="2"/>
  <c r="OQ120" i="2"/>
  <c r="C120" i="2"/>
  <c r="D120" i="2"/>
  <c r="B120" i="2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C108" i="1"/>
  <c r="D108" i="1"/>
  <c r="E108" i="1"/>
  <c r="F108" i="1"/>
  <c r="G108" i="1"/>
  <c r="H108" i="1"/>
  <c r="I108" i="1"/>
  <c r="J108" i="1"/>
  <c r="K108" i="1"/>
  <c r="L108" i="1"/>
  <c r="M108" i="1"/>
  <c r="M109" i="1" s="1"/>
  <c r="N108" i="1"/>
  <c r="O108" i="1"/>
  <c r="P108" i="1"/>
  <c r="Q108" i="1"/>
  <c r="R108" i="1"/>
  <c r="S108" i="1"/>
  <c r="T108" i="1"/>
  <c r="U108" i="1"/>
  <c r="V108" i="1"/>
  <c r="W108" i="1"/>
  <c r="X108" i="1"/>
  <c r="Y108" i="1"/>
  <c r="Y109" i="1" s="1"/>
  <c r="Z108" i="1"/>
  <c r="AA108" i="1"/>
  <c r="AB108" i="1"/>
  <c r="AC108" i="1"/>
  <c r="AD108" i="1"/>
  <c r="AE108" i="1"/>
  <c r="AF108" i="1"/>
  <c r="AG108" i="1"/>
  <c r="AH108" i="1"/>
  <c r="AI108" i="1"/>
  <c r="AJ108" i="1"/>
  <c r="AJ109" i="1" s="1"/>
  <c r="AK108" i="1"/>
  <c r="AK109" i="1" s="1"/>
  <c r="AL108" i="1"/>
  <c r="AL109" i="1" s="1"/>
  <c r="AM108" i="1"/>
  <c r="AN108" i="1"/>
  <c r="AO108" i="1"/>
  <c r="AP108" i="1"/>
  <c r="AQ108" i="1"/>
  <c r="AR108" i="1"/>
  <c r="AS108" i="1"/>
  <c r="AT108" i="1"/>
  <c r="AU108" i="1"/>
  <c r="AV108" i="1"/>
  <c r="AV109" i="1" s="1"/>
  <c r="AW108" i="1"/>
  <c r="AW109" i="1" s="1"/>
  <c r="AX108" i="1"/>
  <c r="AY108" i="1"/>
  <c r="AZ108" i="1"/>
  <c r="BA108" i="1"/>
  <c r="BB108" i="1"/>
  <c r="BC108" i="1"/>
  <c r="BD108" i="1"/>
  <c r="BE108" i="1"/>
  <c r="BF108" i="1"/>
  <c r="BG108" i="1"/>
  <c r="BH108" i="1"/>
  <c r="BH109" i="1" s="1"/>
  <c r="BI108" i="1"/>
  <c r="BI109" i="1" s="1"/>
  <c r="BJ108" i="1"/>
  <c r="BK108" i="1"/>
  <c r="BL108" i="1"/>
  <c r="BM108" i="1"/>
  <c r="BN108" i="1"/>
  <c r="BO108" i="1"/>
  <c r="BP108" i="1"/>
  <c r="BQ108" i="1"/>
  <c r="BR108" i="1"/>
  <c r="BS108" i="1"/>
  <c r="BT108" i="1"/>
  <c r="BT109" i="1" s="1"/>
  <c r="BU108" i="1"/>
  <c r="BU109" i="1" s="1"/>
  <c r="BV108" i="1"/>
  <c r="BW108" i="1"/>
  <c r="BX108" i="1"/>
  <c r="BY108" i="1"/>
  <c r="BZ108" i="1"/>
  <c r="CA108" i="1"/>
  <c r="CB108" i="1"/>
  <c r="CC108" i="1"/>
  <c r="CD108" i="1"/>
  <c r="CE108" i="1"/>
  <c r="CF108" i="1"/>
  <c r="CF109" i="1" s="1"/>
  <c r="CG108" i="1"/>
  <c r="CG109" i="1" s="1"/>
  <c r="CH108" i="1"/>
  <c r="CI108" i="1"/>
  <c r="CJ108" i="1"/>
  <c r="CK108" i="1"/>
  <c r="CL108" i="1"/>
  <c r="CM108" i="1"/>
  <c r="CN108" i="1"/>
  <c r="CO108" i="1"/>
  <c r="CP108" i="1"/>
  <c r="CQ108" i="1"/>
  <c r="CR108" i="1"/>
  <c r="CR109" i="1" s="1"/>
  <c r="CS108" i="1"/>
  <c r="CS109" i="1" s="1"/>
  <c r="CT108" i="1"/>
  <c r="CU108" i="1"/>
  <c r="CV108" i="1"/>
  <c r="CW108" i="1"/>
  <c r="CX108" i="1"/>
  <c r="CY108" i="1"/>
  <c r="CZ108" i="1"/>
  <c r="DA108" i="1"/>
  <c r="DB108" i="1"/>
  <c r="DC108" i="1"/>
  <c r="DD108" i="1"/>
  <c r="DD109" i="1" s="1"/>
  <c r="DE108" i="1"/>
  <c r="DE109" i="1" s="1"/>
  <c r="DF108" i="1"/>
  <c r="DG108" i="1"/>
  <c r="DH108" i="1"/>
  <c r="DI108" i="1"/>
  <c r="DJ108" i="1"/>
  <c r="DK108" i="1"/>
  <c r="DL108" i="1"/>
  <c r="DM108" i="1"/>
  <c r="DN108" i="1"/>
  <c r="DO108" i="1"/>
  <c r="DP108" i="1"/>
  <c r="DP109" i="1" s="1"/>
  <c r="DQ108" i="1"/>
  <c r="DQ109" i="1" s="1"/>
  <c r="DR108" i="1"/>
  <c r="DS108" i="1"/>
  <c r="DT108" i="1"/>
  <c r="DU108" i="1"/>
  <c r="DV108" i="1"/>
  <c r="DW108" i="1"/>
  <c r="DX108" i="1"/>
  <c r="DY108" i="1"/>
  <c r="DZ108" i="1"/>
  <c r="EA108" i="1"/>
  <c r="EB108" i="1"/>
  <c r="EB109" i="1" s="1"/>
  <c r="EC108" i="1"/>
  <c r="EC109" i="1" s="1"/>
  <c r="ED108" i="1"/>
  <c r="EE108" i="1"/>
  <c r="EF108" i="1"/>
  <c r="EG108" i="1"/>
  <c r="EH108" i="1"/>
  <c r="EI108" i="1"/>
  <c r="EJ108" i="1"/>
  <c r="EK108" i="1"/>
  <c r="EL108" i="1"/>
  <c r="EM108" i="1"/>
  <c r="EN108" i="1"/>
  <c r="EN109" i="1" s="1"/>
  <c r="EO108" i="1"/>
  <c r="EO109" i="1" s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A109" i="1" s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M109" i="1" s="1"/>
  <c r="FN108" i="1"/>
  <c r="FO108" i="1"/>
  <c r="FP108" i="1"/>
  <c r="FQ108" i="1"/>
  <c r="FR108" i="1"/>
  <c r="FS108" i="1"/>
  <c r="FT108" i="1"/>
  <c r="FU108" i="1"/>
  <c r="FV108" i="1"/>
  <c r="FW108" i="1"/>
  <c r="FX108" i="1"/>
  <c r="FX109" i="1" s="1"/>
  <c r="FY108" i="1"/>
  <c r="FY109" i="1" s="1"/>
  <c r="FZ108" i="1"/>
  <c r="GA108" i="1"/>
  <c r="GB108" i="1"/>
  <c r="GC108" i="1"/>
  <c r="GD108" i="1"/>
  <c r="GE108" i="1"/>
  <c r="GF108" i="1"/>
  <c r="GG108" i="1"/>
  <c r="GH108" i="1"/>
  <c r="GI108" i="1"/>
  <c r="GJ108" i="1"/>
  <c r="GJ109" i="1" s="1"/>
  <c r="GK108" i="1"/>
  <c r="GK109" i="1" s="1"/>
  <c r="GL108" i="1"/>
  <c r="GM108" i="1"/>
  <c r="C109" i="1"/>
  <c r="D109" i="1"/>
  <c r="E109" i="1"/>
  <c r="F109" i="1"/>
  <c r="G109" i="1"/>
  <c r="H109" i="1"/>
  <c r="I109" i="1"/>
  <c r="J109" i="1"/>
  <c r="K109" i="1"/>
  <c r="L109" i="1"/>
  <c r="N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M109" i="1"/>
  <c r="AN109" i="1"/>
  <c r="AO109" i="1"/>
  <c r="AP109" i="1"/>
  <c r="AQ109" i="1"/>
  <c r="AR109" i="1"/>
  <c r="AS109" i="1"/>
  <c r="AT109" i="1"/>
  <c r="AU109" i="1"/>
  <c r="AX109" i="1"/>
  <c r="AY109" i="1"/>
  <c r="AZ109" i="1"/>
  <c r="BA109" i="1"/>
  <c r="BB109" i="1"/>
  <c r="BC109" i="1"/>
  <c r="BD109" i="1"/>
  <c r="BE109" i="1"/>
  <c r="BF109" i="1"/>
  <c r="BG109" i="1"/>
  <c r="BJ109" i="1"/>
  <c r="BK109" i="1"/>
  <c r="BL109" i="1"/>
  <c r="BM109" i="1"/>
  <c r="BN109" i="1"/>
  <c r="BO109" i="1"/>
  <c r="BP109" i="1"/>
  <c r="BQ109" i="1"/>
  <c r="BR109" i="1"/>
  <c r="BS109" i="1"/>
  <c r="BV109" i="1"/>
  <c r="BW109" i="1"/>
  <c r="BX109" i="1"/>
  <c r="BY109" i="1"/>
  <c r="BZ109" i="1"/>
  <c r="CA109" i="1"/>
  <c r="CB109" i="1"/>
  <c r="CC109" i="1"/>
  <c r="CD109" i="1"/>
  <c r="CE109" i="1"/>
  <c r="CH109" i="1"/>
  <c r="CI109" i="1"/>
  <c r="CJ109" i="1"/>
  <c r="CK109" i="1"/>
  <c r="CL109" i="1"/>
  <c r="CM109" i="1"/>
  <c r="CN109" i="1"/>
  <c r="CO109" i="1"/>
  <c r="CP109" i="1"/>
  <c r="CQ109" i="1"/>
  <c r="CT109" i="1"/>
  <c r="CU109" i="1"/>
  <c r="CV109" i="1"/>
  <c r="CW109" i="1"/>
  <c r="CX109" i="1"/>
  <c r="CY109" i="1"/>
  <c r="CZ109" i="1"/>
  <c r="DA109" i="1"/>
  <c r="DB109" i="1"/>
  <c r="DC109" i="1"/>
  <c r="DF109" i="1"/>
  <c r="DG109" i="1"/>
  <c r="DH109" i="1"/>
  <c r="DI109" i="1"/>
  <c r="DJ109" i="1"/>
  <c r="DK109" i="1"/>
  <c r="DL109" i="1"/>
  <c r="DM109" i="1"/>
  <c r="DN109" i="1"/>
  <c r="DO109" i="1"/>
  <c r="DR109" i="1"/>
  <c r="DS109" i="1"/>
  <c r="DT109" i="1"/>
  <c r="DU109" i="1"/>
  <c r="DV109" i="1"/>
  <c r="DW109" i="1"/>
  <c r="DX109" i="1"/>
  <c r="DY109" i="1"/>
  <c r="DZ109" i="1"/>
  <c r="EA109" i="1"/>
  <c r="ED109" i="1"/>
  <c r="EE109" i="1"/>
  <c r="EF109" i="1"/>
  <c r="EG109" i="1"/>
  <c r="EH109" i="1"/>
  <c r="EI109" i="1"/>
  <c r="EJ109" i="1"/>
  <c r="EK109" i="1"/>
  <c r="EL109" i="1"/>
  <c r="EM109" i="1"/>
  <c r="EP109" i="1"/>
  <c r="EQ109" i="1"/>
  <c r="ER109" i="1"/>
  <c r="ES109" i="1"/>
  <c r="ET109" i="1"/>
  <c r="EU109" i="1"/>
  <c r="EV109" i="1"/>
  <c r="EW109" i="1"/>
  <c r="EX109" i="1"/>
  <c r="EY109" i="1"/>
  <c r="EZ109" i="1"/>
  <c r="FB109" i="1"/>
  <c r="FC109" i="1"/>
  <c r="FD109" i="1"/>
  <c r="FE109" i="1"/>
  <c r="FF109" i="1"/>
  <c r="FG109" i="1"/>
  <c r="FH109" i="1"/>
  <c r="FI109" i="1"/>
  <c r="FJ109" i="1"/>
  <c r="FK109" i="1"/>
  <c r="FL109" i="1"/>
  <c r="FN109" i="1"/>
  <c r="FO109" i="1"/>
  <c r="FP109" i="1"/>
  <c r="FQ109" i="1"/>
  <c r="FR109" i="1"/>
  <c r="FS109" i="1"/>
  <c r="FT109" i="1"/>
  <c r="FU109" i="1"/>
  <c r="FV109" i="1"/>
  <c r="FW109" i="1"/>
  <c r="FZ109" i="1"/>
  <c r="GA109" i="1"/>
  <c r="GB109" i="1"/>
  <c r="GC109" i="1"/>
  <c r="GD109" i="1"/>
  <c r="GE109" i="1"/>
  <c r="GF109" i="1"/>
  <c r="GG109" i="1"/>
  <c r="GH109" i="1"/>
  <c r="GI109" i="1"/>
  <c r="GL109" i="1"/>
  <c r="GM109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I113" i="1"/>
  <c r="U113" i="1"/>
  <c r="AG113" i="1"/>
  <c r="AS113" i="1"/>
  <c r="BE113" i="1"/>
  <c r="BP113" i="1"/>
  <c r="BQ113" i="1"/>
  <c r="CC113" i="1"/>
  <c r="CO113" i="1"/>
  <c r="DA113" i="1"/>
  <c r="DM113" i="1"/>
  <c r="DW113" i="1"/>
  <c r="DY113" i="1"/>
  <c r="EK113" i="1"/>
  <c r="EW113" i="1"/>
  <c r="FI113" i="1"/>
  <c r="FS113" i="1"/>
  <c r="FU113" i="1"/>
  <c r="GG113" i="1"/>
  <c r="C114" i="1"/>
  <c r="D114" i="1"/>
  <c r="E114" i="1"/>
  <c r="F114" i="1"/>
  <c r="G114" i="1"/>
  <c r="H114" i="1"/>
  <c r="H113" i="1" s="1"/>
  <c r="I114" i="1"/>
  <c r="J114" i="1"/>
  <c r="K114" i="1"/>
  <c r="L114" i="1"/>
  <c r="M114" i="1"/>
  <c r="N114" i="1"/>
  <c r="O114" i="1"/>
  <c r="P114" i="1"/>
  <c r="Q114" i="1"/>
  <c r="R114" i="1"/>
  <c r="S114" i="1"/>
  <c r="T114" i="1"/>
  <c r="T113" i="1" s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F113" i="1" s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R113" i="1" s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D113" i="1" s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B113" i="1" s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N113" i="1" s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CZ113" i="1" s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L113" i="1" s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X113" i="1" s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J113" i="1" s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V113" i="1" s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H113" i="1" s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T113" i="1" s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F113" i="1" s="1"/>
  <c r="GG114" i="1"/>
  <c r="GH114" i="1"/>
  <c r="GI114" i="1"/>
  <c r="GJ114" i="1"/>
  <c r="GK114" i="1"/>
  <c r="GL114" i="1"/>
  <c r="GM114" i="1"/>
  <c r="C115" i="1"/>
  <c r="C113" i="1" s="1"/>
  <c r="D115" i="1"/>
  <c r="D113" i="1" s="1"/>
  <c r="E115" i="1"/>
  <c r="E113" i="1" s="1"/>
  <c r="F115" i="1"/>
  <c r="F113" i="1" s="1"/>
  <c r="G115" i="1"/>
  <c r="G113" i="1" s="1"/>
  <c r="H115" i="1"/>
  <c r="I115" i="1"/>
  <c r="J115" i="1"/>
  <c r="J113" i="1" s="1"/>
  <c r="K115" i="1"/>
  <c r="K113" i="1" s="1"/>
  <c r="L115" i="1"/>
  <c r="L113" i="1" s="1"/>
  <c r="M115" i="1"/>
  <c r="M113" i="1" s="1"/>
  <c r="N115" i="1"/>
  <c r="N113" i="1" s="1"/>
  <c r="O115" i="1"/>
  <c r="O113" i="1" s="1"/>
  <c r="P115" i="1"/>
  <c r="P113" i="1" s="1"/>
  <c r="Q115" i="1"/>
  <c r="Q113" i="1" s="1"/>
  <c r="R115" i="1"/>
  <c r="R113" i="1" s="1"/>
  <c r="S115" i="1"/>
  <c r="S113" i="1" s="1"/>
  <c r="T115" i="1"/>
  <c r="U115" i="1"/>
  <c r="V115" i="1"/>
  <c r="V113" i="1" s="1"/>
  <c r="W115" i="1"/>
  <c r="W113" i="1" s="1"/>
  <c r="X115" i="1"/>
  <c r="X113" i="1" s="1"/>
  <c r="Y115" i="1"/>
  <c r="Y113" i="1" s="1"/>
  <c r="Z115" i="1"/>
  <c r="Z113" i="1" s="1"/>
  <c r="AA115" i="1"/>
  <c r="AA113" i="1" s="1"/>
  <c r="AB115" i="1"/>
  <c r="AB113" i="1" s="1"/>
  <c r="AC115" i="1"/>
  <c r="AC113" i="1" s="1"/>
  <c r="AD115" i="1"/>
  <c r="AD113" i="1" s="1"/>
  <c r="AE115" i="1"/>
  <c r="AE113" i="1" s="1"/>
  <c r="AF115" i="1"/>
  <c r="AG115" i="1"/>
  <c r="AH115" i="1"/>
  <c r="AH113" i="1" s="1"/>
  <c r="AI115" i="1"/>
  <c r="AI113" i="1" s="1"/>
  <c r="AJ115" i="1"/>
  <c r="AJ113" i="1" s="1"/>
  <c r="AK115" i="1"/>
  <c r="AK113" i="1" s="1"/>
  <c r="AL115" i="1"/>
  <c r="AL113" i="1" s="1"/>
  <c r="AM115" i="1"/>
  <c r="AM113" i="1" s="1"/>
  <c r="AN115" i="1"/>
  <c r="AN113" i="1" s="1"/>
  <c r="AO115" i="1"/>
  <c r="AO113" i="1" s="1"/>
  <c r="AP115" i="1"/>
  <c r="AP113" i="1" s="1"/>
  <c r="AQ115" i="1"/>
  <c r="AQ113" i="1" s="1"/>
  <c r="AR115" i="1"/>
  <c r="AS115" i="1"/>
  <c r="AT115" i="1"/>
  <c r="AT113" i="1" s="1"/>
  <c r="AU115" i="1"/>
  <c r="AU113" i="1" s="1"/>
  <c r="AV115" i="1"/>
  <c r="AV113" i="1" s="1"/>
  <c r="AW115" i="1"/>
  <c r="AW113" i="1" s="1"/>
  <c r="AX115" i="1"/>
  <c r="AX113" i="1" s="1"/>
  <c r="AY115" i="1"/>
  <c r="AY113" i="1" s="1"/>
  <c r="AZ115" i="1"/>
  <c r="AZ113" i="1" s="1"/>
  <c r="BA115" i="1"/>
  <c r="BA113" i="1" s="1"/>
  <c r="BB115" i="1"/>
  <c r="BB113" i="1" s="1"/>
  <c r="BC115" i="1"/>
  <c r="BC113" i="1" s="1"/>
  <c r="BD115" i="1"/>
  <c r="BE115" i="1"/>
  <c r="BF115" i="1"/>
  <c r="BF113" i="1" s="1"/>
  <c r="BG115" i="1"/>
  <c r="BG113" i="1" s="1"/>
  <c r="BH115" i="1"/>
  <c r="BH113" i="1" s="1"/>
  <c r="BI115" i="1"/>
  <c r="BI113" i="1" s="1"/>
  <c r="BJ115" i="1"/>
  <c r="BJ113" i="1" s="1"/>
  <c r="BK115" i="1"/>
  <c r="BK113" i="1" s="1"/>
  <c r="BL115" i="1"/>
  <c r="BL113" i="1" s="1"/>
  <c r="BM115" i="1"/>
  <c r="BM113" i="1" s="1"/>
  <c r="BN115" i="1"/>
  <c r="BN113" i="1" s="1"/>
  <c r="BO115" i="1"/>
  <c r="BO113" i="1" s="1"/>
  <c r="BP115" i="1"/>
  <c r="BQ115" i="1"/>
  <c r="BR115" i="1"/>
  <c r="BR113" i="1" s="1"/>
  <c r="BS115" i="1"/>
  <c r="BS113" i="1" s="1"/>
  <c r="BT115" i="1"/>
  <c r="BT113" i="1" s="1"/>
  <c r="BU115" i="1"/>
  <c r="BU113" i="1" s="1"/>
  <c r="BV115" i="1"/>
  <c r="BV113" i="1" s="1"/>
  <c r="BW115" i="1"/>
  <c r="BW113" i="1" s="1"/>
  <c r="BX115" i="1"/>
  <c r="BX113" i="1" s="1"/>
  <c r="BY115" i="1"/>
  <c r="BY113" i="1" s="1"/>
  <c r="BZ115" i="1"/>
  <c r="BZ113" i="1" s="1"/>
  <c r="CA115" i="1"/>
  <c r="CA113" i="1" s="1"/>
  <c r="CB115" i="1"/>
  <c r="CC115" i="1"/>
  <c r="CD115" i="1"/>
  <c r="CD113" i="1" s="1"/>
  <c r="CE115" i="1"/>
  <c r="CE113" i="1" s="1"/>
  <c r="CF115" i="1"/>
  <c r="CF113" i="1" s="1"/>
  <c r="CG115" i="1"/>
  <c r="CG113" i="1" s="1"/>
  <c r="CH115" i="1"/>
  <c r="CH113" i="1" s="1"/>
  <c r="CI115" i="1"/>
  <c r="CI113" i="1" s="1"/>
  <c r="CJ115" i="1"/>
  <c r="CJ113" i="1" s="1"/>
  <c r="CK115" i="1"/>
  <c r="CK113" i="1" s="1"/>
  <c r="CL115" i="1"/>
  <c r="CL113" i="1" s="1"/>
  <c r="CM115" i="1"/>
  <c r="CM113" i="1" s="1"/>
  <c r="CN115" i="1"/>
  <c r="CO115" i="1"/>
  <c r="CP115" i="1"/>
  <c r="CP113" i="1" s="1"/>
  <c r="CQ115" i="1"/>
  <c r="CQ113" i="1" s="1"/>
  <c r="CR115" i="1"/>
  <c r="CR113" i="1" s="1"/>
  <c r="CS115" i="1"/>
  <c r="CS113" i="1" s="1"/>
  <c r="CT115" i="1"/>
  <c r="CT113" i="1" s="1"/>
  <c r="CU115" i="1"/>
  <c r="CU113" i="1" s="1"/>
  <c r="CV115" i="1"/>
  <c r="CV113" i="1" s="1"/>
  <c r="CW115" i="1"/>
  <c r="CW113" i="1" s="1"/>
  <c r="CX115" i="1"/>
  <c r="CX113" i="1" s="1"/>
  <c r="CY115" i="1"/>
  <c r="CY113" i="1" s="1"/>
  <c r="CZ115" i="1"/>
  <c r="DA115" i="1"/>
  <c r="DB115" i="1"/>
  <c r="DB113" i="1" s="1"/>
  <c r="DC115" i="1"/>
  <c r="DC113" i="1" s="1"/>
  <c r="DD115" i="1"/>
  <c r="DD113" i="1" s="1"/>
  <c r="DE115" i="1"/>
  <c r="DE113" i="1" s="1"/>
  <c r="DF115" i="1"/>
  <c r="DF113" i="1" s="1"/>
  <c r="DG115" i="1"/>
  <c r="DG113" i="1" s="1"/>
  <c r="DH115" i="1"/>
  <c r="DH113" i="1" s="1"/>
  <c r="DI115" i="1"/>
  <c r="DI113" i="1" s="1"/>
  <c r="DJ115" i="1"/>
  <c r="DJ113" i="1" s="1"/>
  <c r="DK115" i="1"/>
  <c r="DK113" i="1" s="1"/>
  <c r="DL115" i="1"/>
  <c r="DM115" i="1"/>
  <c r="DN115" i="1"/>
  <c r="DN113" i="1" s="1"/>
  <c r="DO115" i="1"/>
  <c r="DO113" i="1" s="1"/>
  <c r="DP115" i="1"/>
  <c r="DP113" i="1" s="1"/>
  <c r="DQ115" i="1"/>
  <c r="DQ113" i="1" s="1"/>
  <c r="DR115" i="1"/>
  <c r="DR113" i="1" s="1"/>
  <c r="DS115" i="1"/>
  <c r="DS113" i="1" s="1"/>
  <c r="DT115" i="1"/>
  <c r="DT113" i="1" s="1"/>
  <c r="DU115" i="1"/>
  <c r="DU113" i="1" s="1"/>
  <c r="DV115" i="1"/>
  <c r="DV113" i="1" s="1"/>
  <c r="DW115" i="1"/>
  <c r="DX115" i="1"/>
  <c r="DY115" i="1"/>
  <c r="DZ115" i="1"/>
  <c r="DZ113" i="1" s="1"/>
  <c r="EA115" i="1"/>
  <c r="EA113" i="1" s="1"/>
  <c r="EB115" i="1"/>
  <c r="EB113" i="1" s="1"/>
  <c r="EC115" i="1"/>
  <c r="EC113" i="1" s="1"/>
  <c r="ED115" i="1"/>
  <c r="ED113" i="1" s="1"/>
  <c r="EE115" i="1"/>
  <c r="EE113" i="1" s="1"/>
  <c r="EF115" i="1"/>
  <c r="EF113" i="1" s="1"/>
  <c r="EG115" i="1"/>
  <c r="EG113" i="1" s="1"/>
  <c r="EH115" i="1"/>
  <c r="EH113" i="1" s="1"/>
  <c r="EI115" i="1"/>
  <c r="EI113" i="1" s="1"/>
  <c r="EJ115" i="1"/>
  <c r="EK115" i="1"/>
  <c r="EL115" i="1"/>
  <c r="EL113" i="1" s="1"/>
  <c r="EM115" i="1"/>
  <c r="EM113" i="1" s="1"/>
  <c r="EN115" i="1"/>
  <c r="EN113" i="1" s="1"/>
  <c r="EO115" i="1"/>
  <c r="EO113" i="1" s="1"/>
  <c r="EP115" i="1"/>
  <c r="EP113" i="1" s="1"/>
  <c r="EQ115" i="1"/>
  <c r="EQ113" i="1" s="1"/>
  <c r="ER115" i="1"/>
  <c r="ER113" i="1" s="1"/>
  <c r="ES115" i="1"/>
  <c r="ES113" i="1" s="1"/>
  <c r="ET115" i="1"/>
  <c r="ET113" i="1" s="1"/>
  <c r="EU115" i="1"/>
  <c r="EU113" i="1" s="1"/>
  <c r="EV115" i="1"/>
  <c r="EW115" i="1"/>
  <c r="EX115" i="1"/>
  <c r="EX113" i="1" s="1"/>
  <c r="EY115" i="1"/>
  <c r="EY113" i="1" s="1"/>
  <c r="EZ115" i="1"/>
  <c r="EZ113" i="1" s="1"/>
  <c r="FA115" i="1"/>
  <c r="FA113" i="1" s="1"/>
  <c r="FB115" i="1"/>
  <c r="FB113" i="1" s="1"/>
  <c r="FC115" i="1"/>
  <c r="FC113" i="1" s="1"/>
  <c r="FD115" i="1"/>
  <c r="FD113" i="1" s="1"/>
  <c r="FE115" i="1"/>
  <c r="FE113" i="1" s="1"/>
  <c r="FF115" i="1"/>
  <c r="FF113" i="1" s="1"/>
  <c r="FG115" i="1"/>
  <c r="FG113" i="1" s="1"/>
  <c r="FH115" i="1"/>
  <c r="FI115" i="1"/>
  <c r="FJ115" i="1"/>
  <c r="FJ113" i="1" s="1"/>
  <c r="FK115" i="1"/>
  <c r="FK113" i="1" s="1"/>
  <c r="FL115" i="1"/>
  <c r="FL113" i="1" s="1"/>
  <c r="FM115" i="1"/>
  <c r="FM113" i="1" s="1"/>
  <c r="FN115" i="1"/>
  <c r="FN113" i="1" s="1"/>
  <c r="FO115" i="1"/>
  <c r="FO113" i="1" s="1"/>
  <c r="FP115" i="1"/>
  <c r="FP113" i="1" s="1"/>
  <c r="FQ115" i="1"/>
  <c r="FQ113" i="1" s="1"/>
  <c r="FR115" i="1"/>
  <c r="FR113" i="1" s="1"/>
  <c r="FS115" i="1"/>
  <c r="FT115" i="1"/>
  <c r="FU115" i="1"/>
  <c r="FV115" i="1"/>
  <c r="FV113" i="1" s="1"/>
  <c r="FW115" i="1"/>
  <c r="FW113" i="1" s="1"/>
  <c r="FX115" i="1"/>
  <c r="FX113" i="1" s="1"/>
  <c r="FY115" i="1"/>
  <c r="FY113" i="1" s="1"/>
  <c r="FZ115" i="1"/>
  <c r="FZ113" i="1" s="1"/>
  <c r="GA115" i="1"/>
  <c r="GA113" i="1" s="1"/>
  <c r="GB115" i="1"/>
  <c r="GB113" i="1" s="1"/>
  <c r="GC115" i="1"/>
  <c r="GC113" i="1" s="1"/>
  <c r="GD115" i="1"/>
  <c r="GD113" i="1" s="1"/>
  <c r="GE115" i="1"/>
  <c r="GE113" i="1" s="1"/>
  <c r="GF115" i="1"/>
  <c r="GG115" i="1"/>
  <c r="GH115" i="1"/>
  <c r="GH113" i="1" s="1"/>
  <c r="GI115" i="1"/>
  <c r="GI113" i="1" s="1"/>
  <c r="GJ115" i="1"/>
  <c r="GJ113" i="1" s="1"/>
  <c r="GK115" i="1"/>
  <c r="GK113" i="1" s="1"/>
  <c r="GL115" i="1"/>
  <c r="GL113" i="1" s="1"/>
  <c r="GM115" i="1"/>
  <c r="GM113" i="1" s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B118" i="1"/>
  <c r="B117" i="1"/>
  <c r="B115" i="1"/>
  <c r="B114" i="1"/>
  <c r="B113" i="1"/>
  <c r="B112" i="1"/>
  <c r="B111" i="1"/>
  <c r="B108" i="1"/>
  <c r="B109" i="1" s="1"/>
  <c r="B107" i="1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EM111" i="2"/>
  <c r="EN111" i="2"/>
  <c r="EO111" i="2"/>
  <c r="EP111" i="2"/>
  <c r="EQ111" i="2"/>
  <c r="ER111" i="2"/>
  <c r="ES111" i="2"/>
  <c r="ET111" i="2"/>
  <c r="EU111" i="2"/>
  <c r="EV111" i="2"/>
  <c r="EW111" i="2"/>
  <c r="EX111" i="2"/>
  <c r="EY111" i="2"/>
  <c r="EZ111" i="2"/>
  <c r="FA111" i="2"/>
  <c r="FB111" i="2"/>
  <c r="FC111" i="2"/>
  <c r="FD111" i="2"/>
  <c r="FE111" i="2"/>
  <c r="FF111" i="2"/>
  <c r="FG111" i="2"/>
  <c r="FH111" i="2"/>
  <c r="FI111" i="2"/>
  <c r="FJ111" i="2"/>
  <c r="FK111" i="2"/>
  <c r="FL111" i="2"/>
  <c r="FM111" i="2"/>
  <c r="FN111" i="2"/>
  <c r="FO111" i="2"/>
  <c r="FP111" i="2"/>
  <c r="FQ111" i="2"/>
  <c r="FR111" i="2"/>
  <c r="FS111" i="2"/>
  <c r="FT111" i="2"/>
  <c r="FU111" i="2"/>
  <c r="FV111" i="2"/>
  <c r="FW111" i="2"/>
  <c r="FX111" i="2"/>
  <c r="FY111" i="2"/>
  <c r="FZ111" i="2"/>
  <c r="GA111" i="2"/>
  <c r="GB111" i="2"/>
  <c r="GC111" i="2"/>
  <c r="GD111" i="2"/>
  <c r="GE111" i="2"/>
  <c r="GF111" i="2"/>
  <c r="GG111" i="2"/>
  <c r="GH111" i="2"/>
  <c r="GI111" i="2"/>
  <c r="GJ111" i="2"/>
  <c r="GK111" i="2"/>
  <c r="GL111" i="2"/>
  <c r="GM111" i="2"/>
  <c r="GN111" i="2"/>
  <c r="GO111" i="2"/>
  <c r="GP111" i="2"/>
  <c r="GQ111" i="2"/>
  <c r="GR111" i="2"/>
  <c r="GS111" i="2"/>
  <c r="GT111" i="2"/>
  <c r="GU111" i="2"/>
  <c r="GV111" i="2"/>
  <c r="GW111" i="2"/>
  <c r="GX111" i="2"/>
  <c r="GY111" i="2"/>
  <c r="GZ111" i="2"/>
  <c r="HA111" i="2"/>
  <c r="HB111" i="2"/>
  <c r="HC111" i="2"/>
  <c r="HD111" i="2"/>
  <c r="HE111" i="2"/>
  <c r="HF111" i="2"/>
  <c r="HG111" i="2"/>
  <c r="HH111" i="2"/>
  <c r="HI111" i="2"/>
  <c r="HJ111" i="2"/>
  <c r="HK111" i="2"/>
  <c r="HL111" i="2"/>
  <c r="HM111" i="2"/>
  <c r="HN111" i="2"/>
  <c r="HO111" i="2"/>
  <c r="HP111" i="2"/>
  <c r="HQ111" i="2"/>
  <c r="HR111" i="2"/>
  <c r="HS111" i="2"/>
  <c r="HT111" i="2"/>
  <c r="HU111" i="2"/>
  <c r="HV111" i="2"/>
  <c r="HW111" i="2"/>
  <c r="HX111" i="2"/>
  <c r="HY111" i="2"/>
  <c r="HZ111" i="2"/>
  <c r="IA111" i="2"/>
  <c r="IB111" i="2"/>
  <c r="IC111" i="2"/>
  <c r="ID111" i="2"/>
  <c r="IE111" i="2"/>
  <c r="IF111" i="2"/>
  <c r="IG111" i="2"/>
  <c r="IH111" i="2"/>
  <c r="II111" i="2"/>
  <c r="IJ111" i="2"/>
  <c r="IK111" i="2"/>
  <c r="IL111" i="2"/>
  <c r="IM111" i="2"/>
  <c r="IN111" i="2"/>
  <c r="IO111" i="2"/>
  <c r="IP111" i="2"/>
  <c r="IQ111" i="2"/>
  <c r="IR111" i="2"/>
  <c r="IS111" i="2"/>
  <c r="IT111" i="2"/>
  <c r="IU111" i="2"/>
  <c r="IV111" i="2"/>
  <c r="IW111" i="2"/>
  <c r="IX111" i="2"/>
  <c r="IY111" i="2"/>
  <c r="IZ111" i="2"/>
  <c r="JA111" i="2"/>
  <c r="JB111" i="2"/>
  <c r="JC111" i="2"/>
  <c r="JD111" i="2"/>
  <c r="JE111" i="2"/>
  <c r="JF111" i="2"/>
  <c r="JG111" i="2"/>
  <c r="JH111" i="2"/>
  <c r="JI111" i="2"/>
  <c r="JJ111" i="2"/>
  <c r="JK111" i="2"/>
  <c r="JL111" i="2"/>
  <c r="JM111" i="2"/>
  <c r="JN111" i="2"/>
  <c r="JO111" i="2"/>
  <c r="JP111" i="2"/>
  <c r="JQ111" i="2"/>
  <c r="JR111" i="2"/>
  <c r="JS111" i="2"/>
  <c r="JT111" i="2"/>
  <c r="JU111" i="2"/>
  <c r="JV111" i="2"/>
  <c r="JW111" i="2"/>
  <c r="JX111" i="2"/>
  <c r="JY111" i="2"/>
  <c r="JZ111" i="2"/>
  <c r="KA111" i="2"/>
  <c r="KB111" i="2"/>
  <c r="KC111" i="2"/>
  <c r="KD111" i="2"/>
  <c r="KE111" i="2"/>
  <c r="KF111" i="2"/>
  <c r="KG111" i="2"/>
  <c r="KH111" i="2"/>
  <c r="KI111" i="2"/>
  <c r="KJ111" i="2"/>
  <c r="KK111" i="2"/>
  <c r="KL111" i="2"/>
  <c r="KM111" i="2"/>
  <c r="KN111" i="2"/>
  <c r="KO111" i="2"/>
  <c r="KP111" i="2"/>
  <c r="KQ111" i="2"/>
  <c r="KR111" i="2"/>
  <c r="KS111" i="2"/>
  <c r="KT111" i="2"/>
  <c r="KU111" i="2"/>
  <c r="KV111" i="2"/>
  <c r="KW111" i="2"/>
  <c r="KX111" i="2"/>
  <c r="KY111" i="2"/>
  <c r="KZ111" i="2"/>
  <c r="LA111" i="2"/>
  <c r="LB111" i="2"/>
  <c r="LC111" i="2"/>
  <c r="LD111" i="2"/>
  <c r="LE111" i="2"/>
  <c r="LF111" i="2"/>
  <c r="LG111" i="2"/>
  <c r="LH111" i="2"/>
  <c r="LI111" i="2"/>
  <c r="LJ111" i="2"/>
  <c r="LK111" i="2"/>
  <c r="LL111" i="2"/>
  <c r="LM111" i="2"/>
  <c r="LN111" i="2"/>
  <c r="LO111" i="2"/>
  <c r="LP111" i="2"/>
  <c r="LQ111" i="2"/>
  <c r="LR111" i="2"/>
  <c r="LS111" i="2"/>
  <c r="LT111" i="2"/>
  <c r="LU111" i="2"/>
  <c r="LV111" i="2"/>
  <c r="LW111" i="2"/>
  <c r="LX111" i="2"/>
  <c r="LY111" i="2"/>
  <c r="LZ111" i="2"/>
  <c r="MA111" i="2"/>
  <c r="MB111" i="2"/>
  <c r="MC111" i="2"/>
  <c r="MD111" i="2"/>
  <c r="ME111" i="2"/>
  <c r="MF111" i="2"/>
  <c r="MG111" i="2"/>
  <c r="MH111" i="2"/>
  <c r="MI111" i="2"/>
  <c r="MJ111" i="2"/>
  <c r="MK111" i="2"/>
  <c r="ML111" i="2"/>
  <c r="MM111" i="2"/>
  <c r="MN111" i="2"/>
  <c r="MO111" i="2"/>
  <c r="MP111" i="2"/>
  <c r="MQ111" i="2"/>
  <c r="MR111" i="2"/>
  <c r="MS111" i="2"/>
  <c r="MT111" i="2"/>
  <c r="MU111" i="2"/>
  <c r="MV111" i="2"/>
  <c r="MW111" i="2"/>
  <c r="MX111" i="2"/>
  <c r="MY111" i="2"/>
  <c r="MZ111" i="2"/>
  <c r="NA111" i="2"/>
  <c r="NB111" i="2"/>
  <c r="NC111" i="2"/>
  <c r="ND111" i="2"/>
  <c r="NE111" i="2"/>
  <c r="NF111" i="2"/>
  <c r="NG111" i="2"/>
  <c r="NH111" i="2"/>
  <c r="NI111" i="2"/>
  <c r="NJ111" i="2"/>
  <c r="NK111" i="2"/>
  <c r="NL111" i="2"/>
  <c r="NM111" i="2"/>
  <c r="NN111" i="2"/>
  <c r="NO111" i="2"/>
  <c r="NP111" i="2"/>
  <c r="NQ111" i="2"/>
  <c r="NR111" i="2"/>
  <c r="NS111" i="2"/>
  <c r="NT111" i="2"/>
  <c r="NU111" i="2"/>
  <c r="NV111" i="2"/>
  <c r="NW111" i="2"/>
  <c r="NX111" i="2"/>
  <c r="NY111" i="2"/>
  <c r="NZ111" i="2"/>
  <c r="OA111" i="2"/>
  <c r="OB111" i="2"/>
  <c r="OC111" i="2"/>
  <c r="OD111" i="2"/>
  <c r="OE111" i="2"/>
  <c r="OF111" i="2"/>
  <c r="OG111" i="2"/>
  <c r="OH111" i="2"/>
  <c r="OI111" i="2"/>
  <c r="OJ111" i="2"/>
  <c r="OK111" i="2"/>
  <c r="OL111" i="2"/>
  <c r="OM111" i="2"/>
  <c r="ON111" i="2"/>
  <c r="OO111" i="2"/>
  <c r="OP111" i="2"/>
  <c r="OQ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ER112" i="2"/>
  <c r="ES112" i="2"/>
  <c r="ET112" i="2"/>
  <c r="EU112" i="2"/>
  <c r="EV112" i="2"/>
  <c r="EW112" i="2"/>
  <c r="EX112" i="2"/>
  <c r="EY112" i="2"/>
  <c r="EZ112" i="2"/>
  <c r="FA112" i="2"/>
  <c r="FB112" i="2"/>
  <c r="FC112" i="2"/>
  <c r="FD112" i="2"/>
  <c r="FE112" i="2"/>
  <c r="FF112" i="2"/>
  <c r="FG112" i="2"/>
  <c r="FH112" i="2"/>
  <c r="FI112" i="2"/>
  <c r="FJ112" i="2"/>
  <c r="FK112" i="2"/>
  <c r="FL112" i="2"/>
  <c r="FM112" i="2"/>
  <c r="FN112" i="2"/>
  <c r="FO112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GG112" i="2"/>
  <c r="GH112" i="2"/>
  <c r="GI112" i="2"/>
  <c r="GJ112" i="2"/>
  <c r="GK112" i="2"/>
  <c r="GL112" i="2"/>
  <c r="GM112" i="2"/>
  <c r="GN112" i="2"/>
  <c r="GO112" i="2"/>
  <c r="GP112" i="2"/>
  <c r="GQ112" i="2"/>
  <c r="GR112" i="2"/>
  <c r="GS112" i="2"/>
  <c r="GT112" i="2"/>
  <c r="GU112" i="2"/>
  <c r="GV112" i="2"/>
  <c r="GW112" i="2"/>
  <c r="GX112" i="2"/>
  <c r="GY112" i="2"/>
  <c r="GZ112" i="2"/>
  <c r="HA112" i="2"/>
  <c r="HB112" i="2"/>
  <c r="HC112" i="2"/>
  <c r="HD112" i="2"/>
  <c r="HE112" i="2"/>
  <c r="HF112" i="2"/>
  <c r="HG112" i="2"/>
  <c r="HH112" i="2"/>
  <c r="HI112" i="2"/>
  <c r="HJ112" i="2"/>
  <c r="HK112" i="2"/>
  <c r="HL112" i="2"/>
  <c r="HM112" i="2"/>
  <c r="HN112" i="2"/>
  <c r="HO112" i="2"/>
  <c r="HP112" i="2"/>
  <c r="HQ112" i="2"/>
  <c r="HR112" i="2"/>
  <c r="HS112" i="2"/>
  <c r="HT112" i="2"/>
  <c r="HU112" i="2"/>
  <c r="HV112" i="2"/>
  <c r="HW112" i="2"/>
  <c r="HX112" i="2"/>
  <c r="HY112" i="2"/>
  <c r="HZ112" i="2"/>
  <c r="IA112" i="2"/>
  <c r="IB112" i="2"/>
  <c r="IC112" i="2"/>
  <c r="ID112" i="2"/>
  <c r="IE112" i="2"/>
  <c r="IF112" i="2"/>
  <c r="IG112" i="2"/>
  <c r="IH112" i="2"/>
  <c r="II112" i="2"/>
  <c r="IJ112" i="2"/>
  <c r="IK112" i="2"/>
  <c r="IL112" i="2"/>
  <c r="IM112" i="2"/>
  <c r="IN112" i="2"/>
  <c r="IO112" i="2"/>
  <c r="IP112" i="2"/>
  <c r="IQ112" i="2"/>
  <c r="IR112" i="2"/>
  <c r="IS112" i="2"/>
  <c r="IT112" i="2"/>
  <c r="IU112" i="2"/>
  <c r="IV112" i="2"/>
  <c r="IW112" i="2"/>
  <c r="IX112" i="2"/>
  <c r="IY112" i="2"/>
  <c r="IZ112" i="2"/>
  <c r="JA112" i="2"/>
  <c r="JB112" i="2"/>
  <c r="JC112" i="2"/>
  <c r="JD112" i="2"/>
  <c r="JE112" i="2"/>
  <c r="JF112" i="2"/>
  <c r="JG112" i="2"/>
  <c r="JH112" i="2"/>
  <c r="JI112" i="2"/>
  <c r="JJ112" i="2"/>
  <c r="JK112" i="2"/>
  <c r="JL112" i="2"/>
  <c r="JM112" i="2"/>
  <c r="JN112" i="2"/>
  <c r="JO112" i="2"/>
  <c r="JP112" i="2"/>
  <c r="JQ112" i="2"/>
  <c r="JR112" i="2"/>
  <c r="JS112" i="2"/>
  <c r="JT112" i="2"/>
  <c r="JU112" i="2"/>
  <c r="JV112" i="2"/>
  <c r="JW112" i="2"/>
  <c r="JX112" i="2"/>
  <c r="JY112" i="2"/>
  <c r="JZ112" i="2"/>
  <c r="KA112" i="2"/>
  <c r="KB112" i="2"/>
  <c r="KC112" i="2"/>
  <c r="KD112" i="2"/>
  <c r="KE112" i="2"/>
  <c r="KF112" i="2"/>
  <c r="KG112" i="2"/>
  <c r="KH112" i="2"/>
  <c r="KI112" i="2"/>
  <c r="KJ112" i="2"/>
  <c r="KK112" i="2"/>
  <c r="KL112" i="2"/>
  <c r="KM112" i="2"/>
  <c r="KN112" i="2"/>
  <c r="KO112" i="2"/>
  <c r="KP112" i="2"/>
  <c r="KQ112" i="2"/>
  <c r="KR112" i="2"/>
  <c r="KS112" i="2"/>
  <c r="KT112" i="2"/>
  <c r="KU112" i="2"/>
  <c r="KV112" i="2"/>
  <c r="KW112" i="2"/>
  <c r="KX112" i="2"/>
  <c r="KY112" i="2"/>
  <c r="KZ112" i="2"/>
  <c r="LA112" i="2"/>
  <c r="LB112" i="2"/>
  <c r="LC112" i="2"/>
  <c r="LD112" i="2"/>
  <c r="LE112" i="2"/>
  <c r="LF112" i="2"/>
  <c r="LG112" i="2"/>
  <c r="LH112" i="2"/>
  <c r="LI112" i="2"/>
  <c r="LJ112" i="2"/>
  <c r="LK112" i="2"/>
  <c r="LL112" i="2"/>
  <c r="LM112" i="2"/>
  <c r="LN112" i="2"/>
  <c r="LO112" i="2"/>
  <c r="LP112" i="2"/>
  <c r="LQ112" i="2"/>
  <c r="LR112" i="2"/>
  <c r="LS112" i="2"/>
  <c r="LT112" i="2"/>
  <c r="LU112" i="2"/>
  <c r="LV112" i="2"/>
  <c r="LW112" i="2"/>
  <c r="LX112" i="2"/>
  <c r="LY112" i="2"/>
  <c r="LZ112" i="2"/>
  <c r="MA112" i="2"/>
  <c r="MB112" i="2"/>
  <c r="MC112" i="2"/>
  <c r="MD112" i="2"/>
  <c r="ME112" i="2"/>
  <c r="MF112" i="2"/>
  <c r="MG112" i="2"/>
  <c r="MH112" i="2"/>
  <c r="MI112" i="2"/>
  <c r="MJ112" i="2"/>
  <c r="MK112" i="2"/>
  <c r="ML112" i="2"/>
  <c r="MM112" i="2"/>
  <c r="MN112" i="2"/>
  <c r="MO112" i="2"/>
  <c r="MP112" i="2"/>
  <c r="MQ112" i="2"/>
  <c r="MR112" i="2"/>
  <c r="MS112" i="2"/>
  <c r="MT112" i="2"/>
  <c r="MU112" i="2"/>
  <c r="MV112" i="2"/>
  <c r="MW112" i="2"/>
  <c r="MX112" i="2"/>
  <c r="MY112" i="2"/>
  <c r="MZ112" i="2"/>
  <c r="NA112" i="2"/>
  <c r="NB112" i="2"/>
  <c r="NC112" i="2"/>
  <c r="ND112" i="2"/>
  <c r="NE112" i="2"/>
  <c r="NF112" i="2"/>
  <c r="NG112" i="2"/>
  <c r="NH112" i="2"/>
  <c r="NI112" i="2"/>
  <c r="NJ112" i="2"/>
  <c r="NK112" i="2"/>
  <c r="NL112" i="2"/>
  <c r="NM112" i="2"/>
  <c r="NN112" i="2"/>
  <c r="NO112" i="2"/>
  <c r="NP112" i="2"/>
  <c r="NQ112" i="2"/>
  <c r="NR112" i="2"/>
  <c r="NS112" i="2"/>
  <c r="NT112" i="2"/>
  <c r="NU112" i="2"/>
  <c r="NV112" i="2"/>
  <c r="NW112" i="2"/>
  <c r="NX112" i="2"/>
  <c r="NY112" i="2"/>
  <c r="NZ112" i="2"/>
  <c r="OA112" i="2"/>
  <c r="OB112" i="2"/>
  <c r="OC112" i="2"/>
  <c r="OD112" i="2"/>
  <c r="OE112" i="2"/>
  <c r="OF112" i="2"/>
  <c r="OG112" i="2"/>
  <c r="OH112" i="2"/>
  <c r="OI112" i="2"/>
  <c r="OJ112" i="2"/>
  <c r="OK112" i="2"/>
  <c r="OL112" i="2"/>
  <c r="OM112" i="2"/>
  <c r="ON112" i="2"/>
  <c r="OO112" i="2"/>
  <c r="OP112" i="2"/>
  <c r="OQ112" i="2"/>
  <c r="C113" i="2"/>
  <c r="D113" i="2"/>
  <c r="E113" i="2"/>
  <c r="F113" i="2"/>
  <c r="G113" i="2"/>
  <c r="H113" i="2"/>
  <c r="O113" i="2"/>
  <c r="Z113" i="2"/>
  <c r="AA113" i="2"/>
  <c r="AB113" i="2"/>
  <c r="AC113" i="2"/>
  <c r="AD113" i="2"/>
  <c r="AM113" i="2"/>
  <c r="AX113" i="2"/>
  <c r="AY113" i="2"/>
  <c r="AZ113" i="2"/>
  <c r="BK113" i="2"/>
  <c r="BL113" i="2"/>
  <c r="BM113" i="2"/>
  <c r="BN113" i="2"/>
  <c r="BO113" i="2"/>
  <c r="BP113" i="2"/>
  <c r="BV113" i="2"/>
  <c r="BW113" i="2"/>
  <c r="CH113" i="2"/>
  <c r="CI113" i="2"/>
  <c r="CJ113" i="2"/>
  <c r="CK113" i="2"/>
  <c r="CL113" i="2"/>
  <c r="CM113" i="2"/>
  <c r="CU113" i="2"/>
  <c r="DF113" i="2"/>
  <c r="DG113" i="2"/>
  <c r="DH113" i="2"/>
  <c r="DI113" i="2"/>
  <c r="DS113" i="2"/>
  <c r="ED113" i="2"/>
  <c r="EE113" i="2"/>
  <c r="EP113" i="2"/>
  <c r="EQ113" i="2"/>
  <c r="ER113" i="2"/>
  <c r="ES113" i="2"/>
  <c r="ET113" i="2"/>
  <c r="EU113" i="2"/>
  <c r="EV113" i="2"/>
  <c r="FC113" i="2"/>
  <c r="FN113" i="2"/>
  <c r="FO113" i="2"/>
  <c r="FP113" i="2"/>
  <c r="FQ113" i="2"/>
  <c r="FR113" i="2"/>
  <c r="GA113" i="2"/>
  <c r="GL113" i="2"/>
  <c r="GM113" i="2"/>
  <c r="GN113" i="2"/>
  <c r="GY113" i="2"/>
  <c r="GZ113" i="2"/>
  <c r="HA113" i="2"/>
  <c r="HB113" i="2"/>
  <c r="HC113" i="2"/>
  <c r="HD113" i="2"/>
  <c r="HJ113" i="2"/>
  <c r="HK113" i="2"/>
  <c r="HV113" i="2"/>
  <c r="HW113" i="2"/>
  <c r="HX113" i="2"/>
  <c r="HY113" i="2"/>
  <c r="HZ113" i="2"/>
  <c r="IA113" i="2"/>
  <c r="II113" i="2"/>
  <c r="IT113" i="2"/>
  <c r="IU113" i="2"/>
  <c r="IV113" i="2"/>
  <c r="JF113" i="2"/>
  <c r="JG113" i="2"/>
  <c r="JH113" i="2"/>
  <c r="JI113" i="2"/>
  <c r="JJ113" i="2"/>
  <c r="JK113" i="2"/>
  <c r="JL113" i="2"/>
  <c r="JS113" i="2"/>
  <c r="KD113" i="2"/>
  <c r="KE113" i="2"/>
  <c r="KF113" i="2"/>
  <c r="KP113" i="2"/>
  <c r="KQ113" i="2"/>
  <c r="KR113" i="2"/>
  <c r="KS113" i="2"/>
  <c r="KT113" i="2"/>
  <c r="KU113" i="2"/>
  <c r="KV113" i="2"/>
  <c r="LC113" i="2"/>
  <c r="LN113" i="2"/>
  <c r="LO113" i="2"/>
  <c r="LP113" i="2"/>
  <c r="LZ113" i="2"/>
  <c r="MA113" i="2"/>
  <c r="MB113" i="2"/>
  <c r="MC113" i="2"/>
  <c r="MD113" i="2"/>
  <c r="ME113" i="2"/>
  <c r="MF113" i="2"/>
  <c r="MM113" i="2"/>
  <c r="MX113" i="2"/>
  <c r="MY113" i="2"/>
  <c r="MZ113" i="2"/>
  <c r="NJ113" i="2"/>
  <c r="NK113" i="2"/>
  <c r="NL113" i="2"/>
  <c r="NM113" i="2"/>
  <c r="NN113" i="2"/>
  <c r="NO113" i="2"/>
  <c r="NP113" i="2"/>
  <c r="NW113" i="2"/>
  <c r="OH113" i="2"/>
  <c r="OI113" i="2"/>
  <c r="OJ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P113" i="2" s="1"/>
  <c r="Q114" i="2"/>
  <c r="Q113" i="2" s="1"/>
  <c r="R114" i="2"/>
  <c r="R113" i="2" s="1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N113" i="2" s="1"/>
  <c r="AO114" i="2"/>
  <c r="AO113" i="2" s="1"/>
  <c r="AP114" i="2"/>
  <c r="AP113" i="2" s="1"/>
  <c r="AQ114" i="2"/>
  <c r="AQ113" i="2" s="1"/>
  <c r="AR114" i="2"/>
  <c r="AR113" i="2" s="1"/>
  <c r="AS114" i="2"/>
  <c r="AT114" i="2"/>
  <c r="AU114" i="2"/>
  <c r="AV114" i="2"/>
  <c r="AW114" i="2"/>
  <c r="AX114" i="2"/>
  <c r="AY114" i="2"/>
  <c r="AZ114" i="2"/>
  <c r="BA114" i="2"/>
  <c r="BA113" i="2" s="1"/>
  <c r="BB114" i="2"/>
  <c r="BB113" i="2" s="1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X113" i="2" s="1"/>
  <c r="BY114" i="2"/>
  <c r="BY113" i="2" s="1"/>
  <c r="BZ114" i="2"/>
  <c r="BZ113" i="2" s="1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V113" i="2" s="1"/>
  <c r="CW114" i="2"/>
  <c r="CW113" i="2" s="1"/>
  <c r="CX114" i="2"/>
  <c r="CX113" i="2" s="1"/>
  <c r="CY114" i="2"/>
  <c r="CY113" i="2" s="1"/>
  <c r="CZ114" i="2"/>
  <c r="CZ113" i="2" s="1"/>
  <c r="DA114" i="2"/>
  <c r="DB114" i="2"/>
  <c r="DC114" i="2"/>
  <c r="DD114" i="2"/>
  <c r="DE114" i="2"/>
  <c r="DF114" i="2"/>
  <c r="DG114" i="2"/>
  <c r="DH114" i="2"/>
  <c r="DI114" i="2"/>
  <c r="DJ114" i="2"/>
  <c r="DJ113" i="2" s="1"/>
  <c r="DK114" i="2"/>
  <c r="DL114" i="2"/>
  <c r="DM114" i="2"/>
  <c r="DN114" i="2"/>
  <c r="DO114" i="2"/>
  <c r="DP114" i="2"/>
  <c r="DQ114" i="2"/>
  <c r="DR114" i="2"/>
  <c r="DS114" i="2"/>
  <c r="DT114" i="2"/>
  <c r="DT113" i="2" s="1"/>
  <c r="DU114" i="2"/>
  <c r="DU113" i="2" s="1"/>
  <c r="DV114" i="2"/>
  <c r="DV113" i="2" s="1"/>
  <c r="DW114" i="2"/>
  <c r="DW113" i="2" s="1"/>
  <c r="DX114" i="2"/>
  <c r="DX113" i="2" s="1"/>
  <c r="DY114" i="2"/>
  <c r="DZ114" i="2"/>
  <c r="EA114" i="2"/>
  <c r="EB114" i="2"/>
  <c r="EC114" i="2"/>
  <c r="ED114" i="2"/>
  <c r="EE114" i="2"/>
  <c r="EF114" i="2"/>
  <c r="EF113" i="2" s="1"/>
  <c r="EG114" i="2"/>
  <c r="EG113" i="2" s="1"/>
  <c r="EH114" i="2"/>
  <c r="EH113" i="2" s="1"/>
  <c r="EI114" i="2"/>
  <c r="EJ114" i="2"/>
  <c r="EK114" i="2"/>
  <c r="EL114" i="2"/>
  <c r="EM114" i="2"/>
  <c r="EN114" i="2"/>
  <c r="EO114" i="2"/>
  <c r="EP114" i="2"/>
  <c r="EQ114" i="2"/>
  <c r="ER114" i="2"/>
  <c r="ES114" i="2"/>
  <c r="ET114" i="2"/>
  <c r="EU114" i="2"/>
  <c r="EV114" i="2"/>
  <c r="EW114" i="2"/>
  <c r="EX114" i="2"/>
  <c r="EY114" i="2"/>
  <c r="EZ114" i="2"/>
  <c r="FA114" i="2"/>
  <c r="FB114" i="2"/>
  <c r="FC114" i="2"/>
  <c r="FD114" i="2"/>
  <c r="FD113" i="2" s="1"/>
  <c r="FE114" i="2"/>
  <c r="FE113" i="2" s="1"/>
  <c r="FF114" i="2"/>
  <c r="FF113" i="2" s="1"/>
  <c r="FG114" i="2"/>
  <c r="FH114" i="2"/>
  <c r="FI114" i="2"/>
  <c r="FJ114" i="2"/>
  <c r="FK114" i="2"/>
  <c r="FL114" i="2"/>
  <c r="FM114" i="2"/>
  <c r="FN114" i="2"/>
  <c r="FO114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GB113" i="2" s="1"/>
  <c r="GC114" i="2"/>
  <c r="GC113" i="2" s="1"/>
  <c r="GD114" i="2"/>
  <c r="GD113" i="2" s="1"/>
  <c r="GE114" i="2"/>
  <c r="GE113" i="2" s="1"/>
  <c r="GF114" i="2"/>
  <c r="GF113" i="2" s="1"/>
  <c r="GG114" i="2"/>
  <c r="GH114" i="2"/>
  <c r="GI114" i="2"/>
  <c r="GJ114" i="2"/>
  <c r="GK114" i="2"/>
  <c r="GL114" i="2"/>
  <c r="GM114" i="2"/>
  <c r="GN114" i="2"/>
  <c r="GO114" i="2"/>
  <c r="GO113" i="2" s="1"/>
  <c r="GP114" i="2"/>
  <c r="GP113" i="2" s="1"/>
  <c r="GQ114" i="2"/>
  <c r="GR114" i="2"/>
  <c r="GS114" i="2"/>
  <c r="GT114" i="2"/>
  <c r="GU114" i="2"/>
  <c r="GV114" i="2"/>
  <c r="GW114" i="2"/>
  <c r="GX114" i="2"/>
  <c r="GY114" i="2"/>
  <c r="GZ114" i="2"/>
  <c r="HA114" i="2"/>
  <c r="HB114" i="2"/>
  <c r="HC114" i="2"/>
  <c r="HD114" i="2"/>
  <c r="HE114" i="2"/>
  <c r="HF114" i="2"/>
  <c r="HG114" i="2"/>
  <c r="HH114" i="2"/>
  <c r="HI114" i="2"/>
  <c r="HJ114" i="2"/>
  <c r="HK114" i="2"/>
  <c r="HL114" i="2"/>
  <c r="HL113" i="2" s="1"/>
  <c r="HM114" i="2"/>
  <c r="HM113" i="2" s="1"/>
  <c r="HN114" i="2"/>
  <c r="HN113" i="2" s="1"/>
  <c r="HO114" i="2"/>
  <c r="HP114" i="2"/>
  <c r="HQ114" i="2"/>
  <c r="HR114" i="2"/>
  <c r="HS114" i="2"/>
  <c r="HT114" i="2"/>
  <c r="HU114" i="2"/>
  <c r="HV114" i="2"/>
  <c r="HW114" i="2"/>
  <c r="HX114" i="2"/>
  <c r="HY114" i="2"/>
  <c r="HZ114" i="2"/>
  <c r="IA114" i="2"/>
  <c r="IB114" i="2"/>
  <c r="IC114" i="2"/>
  <c r="ID114" i="2"/>
  <c r="IE114" i="2"/>
  <c r="IF114" i="2"/>
  <c r="IG114" i="2"/>
  <c r="IH114" i="2"/>
  <c r="II114" i="2"/>
  <c r="IJ114" i="2"/>
  <c r="IJ113" i="2" s="1"/>
  <c r="IK114" i="2"/>
  <c r="IK113" i="2" s="1"/>
  <c r="IL114" i="2"/>
  <c r="IL113" i="2" s="1"/>
  <c r="IM114" i="2"/>
  <c r="IM113" i="2" s="1"/>
  <c r="IN114" i="2"/>
  <c r="IN113" i="2" s="1"/>
  <c r="IO114" i="2"/>
  <c r="IP114" i="2"/>
  <c r="IQ114" i="2"/>
  <c r="IR114" i="2"/>
  <c r="IS114" i="2"/>
  <c r="IT114" i="2"/>
  <c r="IU114" i="2"/>
  <c r="IV114" i="2"/>
  <c r="IW114" i="2"/>
  <c r="IW113" i="2" s="1"/>
  <c r="IX114" i="2"/>
  <c r="IX113" i="2" s="1"/>
  <c r="IY114" i="2"/>
  <c r="IZ114" i="2"/>
  <c r="JA114" i="2"/>
  <c r="JB114" i="2"/>
  <c r="JC114" i="2"/>
  <c r="JD114" i="2"/>
  <c r="JE114" i="2"/>
  <c r="JF114" i="2"/>
  <c r="JG114" i="2"/>
  <c r="JH114" i="2"/>
  <c r="JI114" i="2"/>
  <c r="JJ114" i="2"/>
  <c r="JK114" i="2"/>
  <c r="JL114" i="2"/>
  <c r="JM114" i="2"/>
  <c r="JN114" i="2"/>
  <c r="JO114" i="2"/>
  <c r="JP114" i="2"/>
  <c r="JQ114" i="2"/>
  <c r="JR114" i="2"/>
  <c r="JS114" i="2"/>
  <c r="JT114" i="2"/>
  <c r="JT113" i="2" s="1"/>
  <c r="JU114" i="2"/>
  <c r="JU113" i="2" s="1"/>
  <c r="JV114" i="2"/>
  <c r="JV113" i="2" s="1"/>
  <c r="JW114" i="2"/>
  <c r="JW113" i="2" s="1"/>
  <c r="JX114" i="2"/>
  <c r="JX113" i="2" s="1"/>
  <c r="JY114" i="2"/>
  <c r="JZ114" i="2"/>
  <c r="KA114" i="2"/>
  <c r="KB114" i="2"/>
  <c r="KC114" i="2"/>
  <c r="KD114" i="2"/>
  <c r="KE114" i="2"/>
  <c r="KF114" i="2"/>
  <c r="KG114" i="2"/>
  <c r="KG113" i="2" s="1"/>
  <c r="KH114" i="2"/>
  <c r="KH113" i="2" s="1"/>
  <c r="KI114" i="2"/>
  <c r="KJ114" i="2"/>
  <c r="KK114" i="2"/>
  <c r="KL114" i="2"/>
  <c r="KM114" i="2"/>
  <c r="KN114" i="2"/>
  <c r="KO114" i="2"/>
  <c r="KP114" i="2"/>
  <c r="KQ114" i="2"/>
  <c r="KR114" i="2"/>
  <c r="KS114" i="2"/>
  <c r="KT114" i="2"/>
  <c r="KU114" i="2"/>
  <c r="KV114" i="2"/>
  <c r="KW114" i="2"/>
  <c r="KX114" i="2"/>
  <c r="KY114" i="2"/>
  <c r="KZ114" i="2"/>
  <c r="LA114" i="2"/>
  <c r="LB114" i="2"/>
  <c r="LC114" i="2"/>
  <c r="LD114" i="2"/>
  <c r="LD113" i="2" s="1"/>
  <c r="LE114" i="2"/>
  <c r="LE113" i="2" s="1"/>
  <c r="LF114" i="2"/>
  <c r="LF113" i="2" s="1"/>
  <c r="LG114" i="2"/>
  <c r="LG113" i="2" s="1"/>
  <c r="LH114" i="2"/>
  <c r="LH113" i="2" s="1"/>
  <c r="LI114" i="2"/>
  <c r="LJ114" i="2"/>
  <c r="LK114" i="2"/>
  <c r="LL114" i="2"/>
  <c r="LM114" i="2"/>
  <c r="LN114" i="2"/>
  <c r="LO114" i="2"/>
  <c r="LP114" i="2"/>
  <c r="LQ114" i="2"/>
  <c r="LQ113" i="2" s="1"/>
  <c r="LR114" i="2"/>
  <c r="LR113" i="2" s="1"/>
  <c r="LS114" i="2"/>
  <c r="LT114" i="2"/>
  <c r="LU114" i="2"/>
  <c r="LV114" i="2"/>
  <c r="LW114" i="2"/>
  <c r="LX114" i="2"/>
  <c r="LY114" i="2"/>
  <c r="LZ114" i="2"/>
  <c r="MA114" i="2"/>
  <c r="MB114" i="2"/>
  <c r="MC114" i="2"/>
  <c r="MD114" i="2"/>
  <c r="ME114" i="2"/>
  <c r="MF114" i="2"/>
  <c r="MG114" i="2"/>
  <c r="MH114" i="2"/>
  <c r="MI114" i="2"/>
  <c r="MJ114" i="2"/>
  <c r="MK114" i="2"/>
  <c r="ML114" i="2"/>
  <c r="MM114" i="2"/>
  <c r="MN114" i="2"/>
  <c r="MN113" i="2" s="1"/>
  <c r="MO114" i="2"/>
  <c r="MO113" i="2" s="1"/>
  <c r="MP114" i="2"/>
  <c r="MP113" i="2" s="1"/>
  <c r="MQ114" i="2"/>
  <c r="MQ113" i="2" s="1"/>
  <c r="MR114" i="2"/>
  <c r="MR113" i="2" s="1"/>
  <c r="MS114" i="2"/>
  <c r="MT114" i="2"/>
  <c r="MU114" i="2"/>
  <c r="MV114" i="2"/>
  <c r="MW114" i="2"/>
  <c r="MX114" i="2"/>
  <c r="MY114" i="2"/>
  <c r="MZ114" i="2"/>
  <c r="NA114" i="2"/>
  <c r="NA113" i="2" s="1"/>
  <c r="NB114" i="2"/>
  <c r="NB113" i="2" s="1"/>
  <c r="NC114" i="2"/>
  <c r="ND114" i="2"/>
  <c r="NE114" i="2"/>
  <c r="NF114" i="2"/>
  <c r="NG114" i="2"/>
  <c r="NH114" i="2"/>
  <c r="NI114" i="2"/>
  <c r="NJ114" i="2"/>
  <c r="NK114" i="2"/>
  <c r="NL114" i="2"/>
  <c r="NM114" i="2"/>
  <c r="NN114" i="2"/>
  <c r="NO114" i="2"/>
  <c r="NP114" i="2"/>
  <c r="NQ114" i="2"/>
  <c r="NR114" i="2"/>
  <c r="NS114" i="2"/>
  <c r="NT114" i="2"/>
  <c r="NU114" i="2"/>
  <c r="NV114" i="2"/>
  <c r="NW114" i="2"/>
  <c r="NX114" i="2"/>
  <c r="NX113" i="2" s="1"/>
  <c r="NY114" i="2"/>
  <c r="NY113" i="2" s="1"/>
  <c r="NZ114" i="2"/>
  <c r="NZ113" i="2" s="1"/>
  <c r="OA114" i="2"/>
  <c r="OA113" i="2" s="1"/>
  <c r="OB114" i="2"/>
  <c r="OB113" i="2" s="1"/>
  <c r="OC114" i="2"/>
  <c r="OD114" i="2"/>
  <c r="OE114" i="2"/>
  <c r="OF114" i="2"/>
  <c r="OG114" i="2"/>
  <c r="OH114" i="2"/>
  <c r="OI114" i="2"/>
  <c r="OJ114" i="2"/>
  <c r="OK114" i="2"/>
  <c r="OK113" i="2" s="1"/>
  <c r="OL114" i="2"/>
  <c r="OL113" i="2" s="1"/>
  <c r="OM114" i="2"/>
  <c r="ON114" i="2"/>
  <c r="OO114" i="2"/>
  <c r="OP114" i="2"/>
  <c r="OQ114" i="2"/>
  <c r="C115" i="2"/>
  <c r="D115" i="2"/>
  <c r="E115" i="2"/>
  <c r="F115" i="2"/>
  <c r="G115" i="2"/>
  <c r="H115" i="2"/>
  <c r="I115" i="2"/>
  <c r="J115" i="2"/>
  <c r="K115" i="2"/>
  <c r="K113" i="2" s="1"/>
  <c r="L115" i="2"/>
  <c r="L113" i="2" s="1"/>
  <c r="M115" i="2"/>
  <c r="M113" i="2" s="1"/>
  <c r="N115" i="2"/>
  <c r="N113" i="2" s="1"/>
  <c r="O115" i="2"/>
  <c r="P115" i="2"/>
  <c r="Q115" i="2"/>
  <c r="R115" i="2"/>
  <c r="S115" i="2"/>
  <c r="S113" i="2" s="1"/>
  <c r="T115" i="2"/>
  <c r="T113" i="2" s="1"/>
  <c r="U115" i="2"/>
  <c r="V115" i="2"/>
  <c r="W115" i="2"/>
  <c r="W113" i="2" s="1"/>
  <c r="X115" i="2"/>
  <c r="X113" i="2" s="1"/>
  <c r="Y115" i="2"/>
  <c r="Y113" i="2" s="1"/>
  <c r="Z115" i="2"/>
  <c r="AA115" i="2"/>
  <c r="AB115" i="2"/>
  <c r="AC115" i="2"/>
  <c r="AD115" i="2"/>
  <c r="AE115" i="2"/>
  <c r="AE113" i="2" s="1"/>
  <c r="AF115" i="2"/>
  <c r="AF113" i="2" s="1"/>
  <c r="AG115" i="2"/>
  <c r="AH115" i="2"/>
  <c r="AI115" i="2"/>
  <c r="AI113" i="2" s="1"/>
  <c r="AJ115" i="2"/>
  <c r="AJ113" i="2" s="1"/>
  <c r="AK115" i="2"/>
  <c r="AK113" i="2" s="1"/>
  <c r="AL115" i="2"/>
  <c r="AL113" i="2" s="1"/>
  <c r="AM115" i="2"/>
  <c r="AN115" i="2"/>
  <c r="AO115" i="2"/>
  <c r="AP115" i="2"/>
  <c r="AQ115" i="2"/>
  <c r="AR115" i="2"/>
  <c r="AS115" i="2"/>
  <c r="AT115" i="2"/>
  <c r="AU115" i="2"/>
  <c r="AU113" i="2" s="1"/>
  <c r="AV115" i="2"/>
  <c r="AV113" i="2" s="1"/>
  <c r="AW115" i="2"/>
  <c r="AW113" i="2" s="1"/>
  <c r="AX115" i="2"/>
  <c r="AY115" i="2"/>
  <c r="AZ115" i="2"/>
  <c r="BA115" i="2"/>
  <c r="BB115" i="2"/>
  <c r="BC115" i="2"/>
  <c r="BC113" i="2" s="1"/>
  <c r="BD115" i="2"/>
  <c r="BD113" i="2" s="1"/>
  <c r="BE115" i="2"/>
  <c r="BF115" i="2"/>
  <c r="BG115" i="2"/>
  <c r="BG113" i="2" s="1"/>
  <c r="BH115" i="2"/>
  <c r="BH113" i="2" s="1"/>
  <c r="BI115" i="2"/>
  <c r="BI113" i="2" s="1"/>
  <c r="BJ115" i="2"/>
  <c r="BJ113" i="2" s="1"/>
  <c r="BK115" i="2"/>
  <c r="BL115" i="2"/>
  <c r="BM115" i="2"/>
  <c r="BN115" i="2"/>
  <c r="BO115" i="2"/>
  <c r="BP115" i="2"/>
  <c r="BQ115" i="2"/>
  <c r="BR115" i="2"/>
  <c r="BS115" i="2"/>
  <c r="BS113" i="2" s="1"/>
  <c r="BT115" i="2"/>
  <c r="BT113" i="2" s="1"/>
  <c r="BU115" i="2"/>
  <c r="BU113" i="2" s="1"/>
  <c r="BV115" i="2"/>
  <c r="BW115" i="2"/>
  <c r="BX115" i="2"/>
  <c r="BY115" i="2"/>
  <c r="BZ115" i="2"/>
  <c r="CA115" i="2"/>
  <c r="CA113" i="2" s="1"/>
  <c r="CB115" i="2"/>
  <c r="CB113" i="2" s="1"/>
  <c r="CC115" i="2"/>
  <c r="CD115" i="2"/>
  <c r="CE115" i="2"/>
  <c r="CE113" i="2" s="1"/>
  <c r="CF115" i="2"/>
  <c r="CF113" i="2" s="1"/>
  <c r="CG115" i="2"/>
  <c r="CG113" i="2" s="1"/>
  <c r="CH115" i="2"/>
  <c r="CI115" i="2"/>
  <c r="CJ115" i="2"/>
  <c r="CK115" i="2"/>
  <c r="CL115" i="2"/>
  <c r="CM115" i="2"/>
  <c r="CN115" i="2"/>
  <c r="CN113" i="2" s="1"/>
  <c r="CO115" i="2"/>
  <c r="CP115" i="2"/>
  <c r="CQ115" i="2"/>
  <c r="CQ113" i="2" s="1"/>
  <c r="CR115" i="2"/>
  <c r="CR113" i="2" s="1"/>
  <c r="CS115" i="2"/>
  <c r="CS113" i="2" s="1"/>
  <c r="CT115" i="2"/>
  <c r="CT113" i="2" s="1"/>
  <c r="CU115" i="2"/>
  <c r="CV115" i="2"/>
  <c r="CW115" i="2"/>
  <c r="CX115" i="2"/>
  <c r="CY115" i="2"/>
  <c r="CZ115" i="2"/>
  <c r="DA115" i="2"/>
  <c r="DB115" i="2"/>
  <c r="DC115" i="2"/>
  <c r="DC113" i="2" s="1"/>
  <c r="DD115" i="2"/>
  <c r="DD113" i="2" s="1"/>
  <c r="DE115" i="2"/>
  <c r="DE113" i="2" s="1"/>
  <c r="DF115" i="2"/>
  <c r="DG115" i="2"/>
  <c r="DH115" i="2"/>
  <c r="DI115" i="2"/>
  <c r="DJ115" i="2"/>
  <c r="DK115" i="2"/>
  <c r="DK113" i="2" s="1"/>
  <c r="DL115" i="2"/>
  <c r="DL113" i="2" s="1"/>
  <c r="DM115" i="2"/>
  <c r="DN115" i="2"/>
  <c r="DO115" i="2"/>
  <c r="DO113" i="2" s="1"/>
  <c r="DP115" i="2"/>
  <c r="DP113" i="2" s="1"/>
  <c r="DQ115" i="2"/>
  <c r="DQ113" i="2" s="1"/>
  <c r="DR115" i="2"/>
  <c r="DR113" i="2" s="1"/>
  <c r="DS115" i="2"/>
  <c r="DT115" i="2"/>
  <c r="DU115" i="2"/>
  <c r="DV115" i="2"/>
  <c r="DW115" i="2"/>
  <c r="DX115" i="2"/>
  <c r="DY115" i="2"/>
  <c r="DZ115" i="2"/>
  <c r="EA115" i="2"/>
  <c r="EA113" i="2" s="1"/>
  <c r="EB115" i="2"/>
  <c r="EB113" i="2" s="1"/>
  <c r="EC115" i="2"/>
  <c r="EC113" i="2" s="1"/>
  <c r="ED115" i="2"/>
  <c r="EE115" i="2"/>
  <c r="EF115" i="2"/>
  <c r="EG115" i="2"/>
  <c r="EH115" i="2"/>
  <c r="EI115" i="2"/>
  <c r="EI113" i="2" s="1"/>
  <c r="EJ115" i="2"/>
  <c r="EJ113" i="2" s="1"/>
  <c r="EK115" i="2"/>
  <c r="EL115" i="2"/>
  <c r="EM115" i="2"/>
  <c r="EM113" i="2" s="1"/>
  <c r="EN115" i="2"/>
  <c r="EN113" i="2" s="1"/>
  <c r="EO115" i="2"/>
  <c r="EO113" i="2" s="1"/>
  <c r="EP115" i="2"/>
  <c r="EQ115" i="2"/>
  <c r="ER115" i="2"/>
  <c r="ES115" i="2"/>
  <c r="ET115" i="2"/>
  <c r="EU115" i="2"/>
  <c r="EV115" i="2"/>
  <c r="EW115" i="2"/>
  <c r="EX115" i="2"/>
  <c r="EY115" i="2"/>
  <c r="EY113" i="2" s="1"/>
  <c r="EZ115" i="2"/>
  <c r="EZ113" i="2" s="1"/>
  <c r="FA115" i="2"/>
  <c r="FA113" i="2" s="1"/>
  <c r="FB115" i="2"/>
  <c r="FB113" i="2" s="1"/>
  <c r="FC115" i="2"/>
  <c r="FD115" i="2"/>
  <c r="FE115" i="2"/>
  <c r="FF115" i="2"/>
  <c r="FG115" i="2"/>
  <c r="FG113" i="2" s="1"/>
  <c r="FH115" i="2"/>
  <c r="FH113" i="2" s="1"/>
  <c r="FI115" i="2"/>
  <c r="FJ115" i="2"/>
  <c r="FK115" i="2"/>
  <c r="FK113" i="2" s="1"/>
  <c r="FL115" i="2"/>
  <c r="FL113" i="2" s="1"/>
  <c r="FM115" i="2"/>
  <c r="FM113" i="2" s="1"/>
  <c r="FN115" i="2"/>
  <c r="FO115" i="2"/>
  <c r="FP115" i="2"/>
  <c r="FQ115" i="2"/>
  <c r="FR115" i="2"/>
  <c r="FS115" i="2"/>
  <c r="FS113" i="2" s="1"/>
  <c r="FT115" i="2"/>
  <c r="FT113" i="2" s="1"/>
  <c r="FU115" i="2"/>
  <c r="FV115" i="2"/>
  <c r="FW115" i="2"/>
  <c r="FW113" i="2" s="1"/>
  <c r="FX115" i="2"/>
  <c r="FX113" i="2" s="1"/>
  <c r="FY115" i="2"/>
  <c r="FY113" i="2" s="1"/>
  <c r="FZ115" i="2"/>
  <c r="FZ113" i="2" s="1"/>
  <c r="GA115" i="2"/>
  <c r="GB115" i="2"/>
  <c r="GC115" i="2"/>
  <c r="GD115" i="2"/>
  <c r="GE115" i="2"/>
  <c r="GF115" i="2"/>
  <c r="GG115" i="2"/>
  <c r="GH115" i="2"/>
  <c r="GI115" i="2"/>
  <c r="GI113" i="2" s="1"/>
  <c r="GJ115" i="2"/>
  <c r="GJ113" i="2" s="1"/>
  <c r="GK115" i="2"/>
  <c r="GK113" i="2" s="1"/>
  <c r="GL115" i="2"/>
  <c r="GM115" i="2"/>
  <c r="GN115" i="2"/>
  <c r="GO115" i="2"/>
  <c r="GP115" i="2"/>
  <c r="GQ115" i="2"/>
  <c r="GQ113" i="2" s="1"/>
  <c r="GR115" i="2"/>
  <c r="GR113" i="2" s="1"/>
  <c r="GS115" i="2"/>
  <c r="GT115" i="2"/>
  <c r="GU115" i="2"/>
  <c r="GU113" i="2" s="1"/>
  <c r="GV115" i="2"/>
  <c r="GV113" i="2" s="1"/>
  <c r="GW115" i="2"/>
  <c r="GW113" i="2" s="1"/>
  <c r="GX115" i="2"/>
  <c r="GX113" i="2" s="1"/>
  <c r="GY115" i="2"/>
  <c r="GZ115" i="2"/>
  <c r="HA115" i="2"/>
  <c r="HB115" i="2"/>
  <c r="HC115" i="2"/>
  <c r="HD115" i="2"/>
  <c r="HE115" i="2"/>
  <c r="HF115" i="2"/>
  <c r="HG115" i="2"/>
  <c r="HG113" i="2" s="1"/>
  <c r="HH115" i="2"/>
  <c r="HH113" i="2" s="1"/>
  <c r="HI115" i="2"/>
  <c r="HI113" i="2" s="1"/>
  <c r="HJ115" i="2"/>
  <c r="HK115" i="2"/>
  <c r="HL115" i="2"/>
  <c r="HM115" i="2"/>
  <c r="HN115" i="2"/>
  <c r="HO115" i="2"/>
  <c r="HO113" i="2" s="1"/>
  <c r="HP115" i="2"/>
  <c r="HP113" i="2" s="1"/>
  <c r="HQ115" i="2"/>
  <c r="HR115" i="2"/>
  <c r="HS115" i="2"/>
  <c r="HS113" i="2" s="1"/>
  <c r="HT115" i="2"/>
  <c r="HT113" i="2" s="1"/>
  <c r="HU115" i="2"/>
  <c r="HU113" i="2" s="1"/>
  <c r="HV115" i="2"/>
  <c r="HW115" i="2"/>
  <c r="HX115" i="2"/>
  <c r="HY115" i="2"/>
  <c r="HZ115" i="2"/>
  <c r="IA115" i="2"/>
  <c r="IB115" i="2"/>
  <c r="IB113" i="2" s="1"/>
  <c r="IC115" i="2"/>
  <c r="ID115" i="2"/>
  <c r="IE115" i="2"/>
  <c r="IE113" i="2" s="1"/>
  <c r="IF115" i="2"/>
  <c r="IF113" i="2" s="1"/>
  <c r="IG115" i="2"/>
  <c r="IG113" i="2" s="1"/>
  <c r="IH115" i="2"/>
  <c r="IH113" i="2" s="1"/>
  <c r="II115" i="2"/>
  <c r="IJ115" i="2"/>
  <c r="IK115" i="2"/>
  <c r="IL115" i="2"/>
  <c r="IM115" i="2"/>
  <c r="IN115" i="2"/>
  <c r="IO115" i="2"/>
  <c r="IP115" i="2"/>
  <c r="IQ115" i="2"/>
  <c r="IQ113" i="2" s="1"/>
  <c r="IR115" i="2"/>
  <c r="IR113" i="2" s="1"/>
  <c r="IS115" i="2"/>
  <c r="IS113" i="2" s="1"/>
  <c r="IT115" i="2"/>
  <c r="IU115" i="2"/>
  <c r="IV115" i="2"/>
  <c r="IW115" i="2"/>
  <c r="IX115" i="2"/>
  <c r="IY115" i="2"/>
  <c r="IY113" i="2" s="1"/>
  <c r="IZ115" i="2"/>
  <c r="IZ113" i="2" s="1"/>
  <c r="JA115" i="2"/>
  <c r="JB115" i="2"/>
  <c r="JC115" i="2"/>
  <c r="JC113" i="2" s="1"/>
  <c r="JD115" i="2"/>
  <c r="JD113" i="2" s="1"/>
  <c r="JE115" i="2"/>
  <c r="JE113" i="2" s="1"/>
  <c r="JF115" i="2"/>
  <c r="JG115" i="2"/>
  <c r="JH115" i="2"/>
  <c r="JI115" i="2"/>
  <c r="JJ115" i="2"/>
  <c r="JK115" i="2"/>
  <c r="JL115" i="2"/>
  <c r="JM115" i="2"/>
  <c r="JN115" i="2"/>
  <c r="JO115" i="2"/>
  <c r="JO113" i="2" s="1"/>
  <c r="JP115" i="2"/>
  <c r="JP113" i="2" s="1"/>
  <c r="JQ115" i="2"/>
  <c r="JQ113" i="2" s="1"/>
  <c r="JR115" i="2"/>
  <c r="JR113" i="2" s="1"/>
  <c r="JS115" i="2"/>
  <c r="JT115" i="2"/>
  <c r="JU115" i="2"/>
  <c r="JV115" i="2"/>
  <c r="JW115" i="2"/>
  <c r="JX115" i="2"/>
  <c r="JY115" i="2"/>
  <c r="JZ115" i="2"/>
  <c r="KA115" i="2"/>
  <c r="KA113" i="2" s="1"/>
  <c r="KB115" i="2"/>
  <c r="KB113" i="2" s="1"/>
  <c r="KC115" i="2"/>
  <c r="KC113" i="2" s="1"/>
  <c r="KD115" i="2"/>
  <c r="KE115" i="2"/>
  <c r="KF115" i="2"/>
  <c r="KG115" i="2"/>
  <c r="KH115" i="2"/>
  <c r="KI115" i="2"/>
  <c r="KI113" i="2" s="1"/>
  <c r="KJ115" i="2"/>
  <c r="KJ113" i="2" s="1"/>
  <c r="KK115" i="2"/>
  <c r="KL115" i="2"/>
  <c r="KM115" i="2"/>
  <c r="KM113" i="2" s="1"/>
  <c r="KN115" i="2"/>
  <c r="KN113" i="2" s="1"/>
  <c r="KO115" i="2"/>
  <c r="KO113" i="2" s="1"/>
  <c r="KP115" i="2"/>
  <c r="KQ115" i="2"/>
  <c r="KR115" i="2"/>
  <c r="KS115" i="2"/>
  <c r="KT115" i="2"/>
  <c r="KU115" i="2"/>
  <c r="KV115" i="2"/>
  <c r="KW115" i="2"/>
  <c r="KX115" i="2"/>
  <c r="KY115" i="2"/>
  <c r="KY113" i="2" s="1"/>
  <c r="KZ115" i="2"/>
  <c r="KZ113" i="2" s="1"/>
  <c r="LA115" i="2"/>
  <c r="LA113" i="2" s="1"/>
  <c r="LB115" i="2"/>
  <c r="LB113" i="2" s="1"/>
  <c r="LC115" i="2"/>
  <c r="LD115" i="2"/>
  <c r="LE115" i="2"/>
  <c r="LF115" i="2"/>
  <c r="LG115" i="2"/>
  <c r="LH115" i="2"/>
  <c r="LI115" i="2"/>
  <c r="LJ115" i="2"/>
  <c r="LK115" i="2"/>
  <c r="LK113" i="2" s="1"/>
  <c r="LL115" i="2"/>
  <c r="LL113" i="2" s="1"/>
  <c r="LM115" i="2"/>
  <c r="LM113" i="2" s="1"/>
  <c r="LN115" i="2"/>
  <c r="LO115" i="2"/>
  <c r="LP115" i="2"/>
  <c r="LQ115" i="2"/>
  <c r="LR115" i="2"/>
  <c r="LS115" i="2"/>
  <c r="LS113" i="2" s="1"/>
  <c r="LT115" i="2"/>
  <c r="LT113" i="2" s="1"/>
  <c r="LU115" i="2"/>
  <c r="LV115" i="2"/>
  <c r="LW115" i="2"/>
  <c r="LW113" i="2" s="1"/>
  <c r="LX115" i="2"/>
  <c r="LX113" i="2" s="1"/>
  <c r="LY115" i="2"/>
  <c r="LY113" i="2" s="1"/>
  <c r="LZ115" i="2"/>
  <c r="MA115" i="2"/>
  <c r="MB115" i="2"/>
  <c r="MC115" i="2"/>
  <c r="MD115" i="2"/>
  <c r="ME115" i="2"/>
  <c r="MF115" i="2"/>
  <c r="MG115" i="2"/>
  <c r="MH115" i="2"/>
  <c r="MI115" i="2"/>
  <c r="MI113" i="2" s="1"/>
  <c r="MJ115" i="2"/>
  <c r="MJ113" i="2" s="1"/>
  <c r="MK115" i="2"/>
  <c r="MK113" i="2" s="1"/>
  <c r="ML115" i="2"/>
  <c r="ML113" i="2" s="1"/>
  <c r="MM115" i="2"/>
  <c r="MN115" i="2"/>
  <c r="MO115" i="2"/>
  <c r="MP115" i="2"/>
  <c r="MQ115" i="2"/>
  <c r="MR115" i="2"/>
  <c r="MS115" i="2"/>
  <c r="MT115" i="2"/>
  <c r="MU115" i="2"/>
  <c r="MU113" i="2" s="1"/>
  <c r="MV115" i="2"/>
  <c r="MV113" i="2" s="1"/>
  <c r="MW115" i="2"/>
  <c r="MW113" i="2" s="1"/>
  <c r="MX115" i="2"/>
  <c r="MY115" i="2"/>
  <c r="MZ115" i="2"/>
  <c r="NA115" i="2"/>
  <c r="NB115" i="2"/>
  <c r="NC115" i="2"/>
  <c r="NC113" i="2" s="1"/>
  <c r="ND115" i="2"/>
  <c r="ND113" i="2" s="1"/>
  <c r="NE115" i="2"/>
  <c r="NF115" i="2"/>
  <c r="NG115" i="2"/>
  <c r="NG113" i="2" s="1"/>
  <c r="NH115" i="2"/>
  <c r="NH113" i="2" s="1"/>
  <c r="NI115" i="2"/>
  <c r="NI113" i="2" s="1"/>
  <c r="NJ115" i="2"/>
  <c r="NK115" i="2"/>
  <c r="NL115" i="2"/>
  <c r="NM115" i="2"/>
  <c r="NN115" i="2"/>
  <c r="NO115" i="2"/>
  <c r="NP115" i="2"/>
  <c r="NQ115" i="2"/>
  <c r="NR115" i="2"/>
  <c r="NS115" i="2"/>
  <c r="NS113" i="2" s="1"/>
  <c r="NT115" i="2"/>
  <c r="NT113" i="2" s="1"/>
  <c r="NU115" i="2"/>
  <c r="NU113" i="2" s="1"/>
  <c r="NV115" i="2"/>
  <c r="NV113" i="2" s="1"/>
  <c r="NW115" i="2"/>
  <c r="NX115" i="2"/>
  <c r="NY115" i="2"/>
  <c r="NZ115" i="2"/>
  <c r="OA115" i="2"/>
  <c r="OB115" i="2"/>
  <c r="OC115" i="2"/>
  <c r="OD115" i="2"/>
  <c r="OE115" i="2"/>
  <c r="OE113" i="2" s="1"/>
  <c r="OF115" i="2"/>
  <c r="OF113" i="2" s="1"/>
  <c r="OG115" i="2"/>
  <c r="OG113" i="2" s="1"/>
  <c r="OH115" i="2"/>
  <c r="OI115" i="2"/>
  <c r="OJ115" i="2"/>
  <c r="OK115" i="2"/>
  <c r="OL115" i="2"/>
  <c r="OM115" i="2"/>
  <c r="OM113" i="2" s="1"/>
  <c r="ON115" i="2"/>
  <c r="ON113" i="2" s="1"/>
  <c r="OO115" i="2"/>
  <c r="OP115" i="2"/>
  <c r="OQ115" i="2"/>
  <c r="OQ113" i="2" s="1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EM117" i="2"/>
  <c r="EN117" i="2"/>
  <c r="EO117" i="2"/>
  <c r="EP117" i="2"/>
  <c r="EQ117" i="2"/>
  <c r="ER117" i="2"/>
  <c r="ES117" i="2"/>
  <c r="ET117" i="2"/>
  <c r="EU117" i="2"/>
  <c r="EV117" i="2"/>
  <c r="EW117" i="2"/>
  <c r="EX117" i="2"/>
  <c r="EY117" i="2"/>
  <c r="EZ117" i="2"/>
  <c r="FA117" i="2"/>
  <c r="FB117" i="2"/>
  <c r="FC117" i="2"/>
  <c r="FD117" i="2"/>
  <c r="FE117" i="2"/>
  <c r="FF117" i="2"/>
  <c r="FG117" i="2"/>
  <c r="FH117" i="2"/>
  <c r="FI117" i="2"/>
  <c r="FJ117" i="2"/>
  <c r="FK117" i="2"/>
  <c r="FL117" i="2"/>
  <c r="FM117" i="2"/>
  <c r="FN117" i="2"/>
  <c r="FO117" i="2"/>
  <c r="FP117" i="2"/>
  <c r="FQ117" i="2"/>
  <c r="FR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GG117" i="2"/>
  <c r="GH117" i="2"/>
  <c r="GI117" i="2"/>
  <c r="GJ117" i="2"/>
  <c r="GK117" i="2"/>
  <c r="GL117" i="2"/>
  <c r="GM117" i="2"/>
  <c r="GN117" i="2"/>
  <c r="GO117" i="2"/>
  <c r="GP117" i="2"/>
  <c r="GQ117" i="2"/>
  <c r="GR117" i="2"/>
  <c r="GS117" i="2"/>
  <c r="GT117" i="2"/>
  <c r="GU117" i="2"/>
  <c r="GV117" i="2"/>
  <c r="GW117" i="2"/>
  <c r="GY117" i="2"/>
  <c r="GZ117" i="2"/>
  <c r="HA117" i="2"/>
  <c r="HB117" i="2"/>
  <c r="HC117" i="2"/>
  <c r="HD117" i="2"/>
  <c r="HE117" i="2"/>
  <c r="HF117" i="2"/>
  <c r="HG117" i="2"/>
  <c r="HH117" i="2"/>
  <c r="HI117" i="2"/>
  <c r="HJ117" i="2"/>
  <c r="HK117" i="2"/>
  <c r="HL117" i="2"/>
  <c r="HM117" i="2"/>
  <c r="HN117" i="2"/>
  <c r="HO117" i="2"/>
  <c r="HP117" i="2"/>
  <c r="HQ117" i="2"/>
  <c r="HR117" i="2"/>
  <c r="HS117" i="2"/>
  <c r="HT117" i="2"/>
  <c r="HU117" i="2"/>
  <c r="HV117" i="2"/>
  <c r="HW117" i="2"/>
  <c r="HX117" i="2"/>
  <c r="HY117" i="2"/>
  <c r="HZ117" i="2"/>
  <c r="IA117" i="2"/>
  <c r="IB117" i="2"/>
  <c r="IC117" i="2"/>
  <c r="ID117" i="2"/>
  <c r="IE117" i="2"/>
  <c r="IF117" i="2"/>
  <c r="IG117" i="2"/>
  <c r="IH117" i="2"/>
  <c r="II117" i="2"/>
  <c r="IJ117" i="2"/>
  <c r="IK117" i="2"/>
  <c r="IL117" i="2"/>
  <c r="IM117" i="2"/>
  <c r="IN117" i="2"/>
  <c r="IO117" i="2"/>
  <c r="IP117" i="2"/>
  <c r="IQ117" i="2"/>
  <c r="IR117" i="2"/>
  <c r="IS117" i="2"/>
  <c r="IT117" i="2"/>
  <c r="IU117" i="2"/>
  <c r="IV117" i="2"/>
  <c r="IW117" i="2"/>
  <c r="IY117" i="2"/>
  <c r="IZ117" i="2"/>
  <c r="JA117" i="2"/>
  <c r="JB117" i="2"/>
  <c r="JC117" i="2"/>
  <c r="JD117" i="2"/>
  <c r="JE117" i="2"/>
  <c r="JF117" i="2"/>
  <c r="JG117" i="2"/>
  <c r="JH117" i="2"/>
  <c r="JI117" i="2"/>
  <c r="JJ117" i="2"/>
  <c r="JK117" i="2"/>
  <c r="JL117" i="2"/>
  <c r="JM117" i="2"/>
  <c r="JN117" i="2"/>
  <c r="JO117" i="2"/>
  <c r="JP117" i="2"/>
  <c r="JQ117" i="2"/>
  <c r="JR117" i="2"/>
  <c r="JS117" i="2"/>
  <c r="JT117" i="2"/>
  <c r="JU117" i="2"/>
  <c r="JV117" i="2"/>
  <c r="JW117" i="2"/>
  <c r="JX117" i="2"/>
  <c r="JY117" i="2"/>
  <c r="JZ117" i="2"/>
  <c r="KA117" i="2"/>
  <c r="KB117" i="2"/>
  <c r="KC117" i="2"/>
  <c r="KD117" i="2"/>
  <c r="KE117" i="2"/>
  <c r="KF117" i="2"/>
  <c r="KG117" i="2"/>
  <c r="KH117" i="2"/>
  <c r="KI117" i="2"/>
  <c r="KJ117" i="2"/>
  <c r="KK117" i="2"/>
  <c r="KL117" i="2"/>
  <c r="KM117" i="2"/>
  <c r="KN117" i="2"/>
  <c r="KO117" i="2"/>
  <c r="KP117" i="2"/>
  <c r="KQ117" i="2"/>
  <c r="KR117" i="2"/>
  <c r="KS117" i="2"/>
  <c r="KT117" i="2"/>
  <c r="KU117" i="2"/>
  <c r="KV117" i="2"/>
  <c r="KW117" i="2"/>
  <c r="KX117" i="2"/>
  <c r="KY117" i="2"/>
  <c r="KZ117" i="2"/>
  <c r="LA117" i="2"/>
  <c r="LB117" i="2"/>
  <c r="LC117" i="2"/>
  <c r="LD117" i="2"/>
  <c r="LE117" i="2"/>
  <c r="LF117" i="2"/>
  <c r="LG117" i="2"/>
  <c r="LH117" i="2"/>
  <c r="LJ117" i="2"/>
  <c r="LK117" i="2"/>
  <c r="LL117" i="2"/>
  <c r="LM117" i="2"/>
  <c r="LN117" i="2"/>
  <c r="LO117" i="2"/>
  <c r="LP117" i="2"/>
  <c r="LQ117" i="2"/>
  <c r="LR117" i="2"/>
  <c r="LS117" i="2"/>
  <c r="LT117" i="2"/>
  <c r="LV117" i="2"/>
  <c r="LW117" i="2"/>
  <c r="LX117" i="2"/>
  <c r="LY117" i="2"/>
  <c r="LZ117" i="2"/>
  <c r="MA117" i="2"/>
  <c r="MB117" i="2"/>
  <c r="MC117" i="2"/>
  <c r="MD117" i="2"/>
  <c r="ME117" i="2"/>
  <c r="MF117" i="2"/>
  <c r="MG117" i="2"/>
  <c r="MH117" i="2"/>
  <c r="MI117" i="2"/>
  <c r="MJ117" i="2"/>
  <c r="MK117" i="2"/>
  <c r="ML117" i="2"/>
  <c r="MM117" i="2"/>
  <c r="MN117" i="2"/>
  <c r="MO117" i="2"/>
  <c r="MP117" i="2"/>
  <c r="MQ117" i="2"/>
  <c r="MR117" i="2"/>
  <c r="MS117" i="2"/>
  <c r="MT117" i="2"/>
  <c r="MU117" i="2"/>
  <c r="MV117" i="2"/>
  <c r="MW117" i="2"/>
  <c r="MX117" i="2"/>
  <c r="MY117" i="2"/>
  <c r="MZ117" i="2"/>
  <c r="NA117" i="2"/>
  <c r="NB117" i="2"/>
  <c r="NC117" i="2"/>
  <c r="ND117" i="2"/>
  <c r="NE117" i="2"/>
  <c r="NF117" i="2"/>
  <c r="NG117" i="2"/>
  <c r="NH117" i="2"/>
  <c r="NI117" i="2"/>
  <c r="NJ117" i="2"/>
  <c r="NK117" i="2"/>
  <c r="NL117" i="2"/>
  <c r="NM117" i="2"/>
  <c r="NN117" i="2"/>
  <c r="NO117" i="2"/>
  <c r="NP117" i="2"/>
  <c r="NQ117" i="2"/>
  <c r="NR117" i="2"/>
  <c r="NS117" i="2"/>
  <c r="NT117" i="2"/>
  <c r="NU117" i="2"/>
  <c r="NV117" i="2"/>
  <c r="NW117" i="2"/>
  <c r="NX117" i="2"/>
  <c r="NY117" i="2"/>
  <c r="NZ117" i="2"/>
  <c r="OA117" i="2"/>
  <c r="OB117" i="2"/>
  <c r="OC117" i="2"/>
  <c r="OD117" i="2"/>
  <c r="OE117" i="2"/>
  <c r="OF117" i="2"/>
  <c r="OG117" i="2"/>
  <c r="OH117" i="2"/>
  <c r="OI117" i="2"/>
  <c r="OJ117" i="2"/>
  <c r="OK117" i="2"/>
  <c r="OL117" i="2"/>
  <c r="OM117" i="2"/>
  <c r="ON117" i="2"/>
  <c r="OO117" i="2"/>
  <c r="OP117" i="2"/>
  <c r="OQ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ER118" i="2"/>
  <c r="ES118" i="2"/>
  <c r="ET118" i="2"/>
  <c r="EU118" i="2"/>
  <c r="EV118" i="2"/>
  <c r="EW118" i="2"/>
  <c r="EX118" i="2"/>
  <c r="EY118" i="2"/>
  <c r="EZ118" i="2"/>
  <c r="FA118" i="2"/>
  <c r="FB118" i="2"/>
  <c r="FC118" i="2"/>
  <c r="FD118" i="2"/>
  <c r="FE118" i="2"/>
  <c r="FF118" i="2"/>
  <c r="FG118" i="2"/>
  <c r="FH118" i="2"/>
  <c r="FI118" i="2"/>
  <c r="FJ118" i="2"/>
  <c r="FK118" i="2"/>
  <c r="FL118" i="2"/>
  <c r="FM118" i="2"/>
  <c r="FN118" i="2"/>
  <c r="FO118" i="2"/>
  <c r="FP118" i="2"/>
  <c r="FQ118" i="2"/>
  <c r="FR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Y118" i="2"/>
  <c r="GZ118" i="2"/>
  <c r="HA118" i="2"/>
  <c r="HB118" i="2"/>
  <c r="HC118" i="2"/>
  <c r="HD118" i="2"/>
  <c r="HE118" i="2"/>
  <c r="HF118" i="2"/>
  <c r="HG118" i="2"/>
  <c r="HH118" i="2"/>
  <c r="HI118" i="2"/>
  <c r="HJ118" i="2"/>
  <c r="HK118" i="2"/>
  <c r="HL118" i="2"/>
  <c r="HM118" i="2"/>
  <c r="HN118" i="2"/>
  <c r="HO118" i="2"/>
  <c r="HP118" i="2"/>
  <c r="HQ118" i="2"/>
  <c r="HR118" i="2"/>
  <c r="HS118" i="2"/>
  <c r="HT118" i="2"/>
  <c r="HU118" i="2"/>
  <c r="HV118" i="2"/>
  <c r="HW118" i="2"/>
  <c r="HX118" i="2"/>
  <c r="HY118" i="2"/>
  <c r="HZ118" i="2"/>
  <c r="IA118" i="2"/>
  <c r="IB118" i="2"/>
  <c r="IC118" i="2"/>
  <c r="ID118" i="2"/>
  <c r="IE118" i="2"/>
  <c r="IF118" i="2"/>
  <c r="IG118" i="2"/>
  <c r="IH118" i="2"/>
  <c r="II118" i="2"/>
  <c r="IJ118" i="2"/>
  <c r="IK118" i="2"/>
  <c r="IL118" i="2"/>
  <c r="IM118" i="2"/>
  <c r="IN118" i="2"/>
  <c r="IO118" i="2"/>
  <c r="IP118" i="2"/>
  <c r="IQ118" i="2"/>
  <c r="IR118" i="2"/>
  <c r="IS118" i="2"/>
  <c r="IT118" i="2"/>
  <c r="IU118" i="2"/>
  <c r="IV118" i="2"/>
  <c r="IW118" i="2"/>
  <c r="IY118" i="2"/>
  <c r="IZ118" i="2"/>
  <c r="JA118" i="2"/>
  <c r="JB118" i="2"/>
  <c r="JC118" i="2"/>
  <c r="JD118" i="2"/>
  <c r="JE118" i="2"/>
  <c r="JF118" i="2"/>
  <c r="JG118" i="2"/>
  <c r="JH118" i="2"/>
  <c r="JI118" i="2"/>
  <c r="JJ118" i="2"/>
  <c r="JK118" i="2"/>
  <c r="JL118" i="2"/>
  <c r="JM118" i="2"/>
  <c r="JN118" i="2"/>
  <c r="JO118" i="2"/>
  <c r="JP118" i="2"/>
  <c r="JQ118" i="2"/>
  <c r="JR118" i="2"/>
  <c r="JS118" i="2"/>
  <c r="JT118" i="2"/>
  <c r="JU118" i="2"/>
  <c r="JV118" i="2"/>
  <c r="JW118" i="2"/>
  <c r="JX118" i="2"/>
  <c r="JY118" i="2"/>
  <c r="JZ118" i="2"/>
  <c r="KA118" i="2"/>
  <c r="KB118" i="2"/>
  <c r="KC118" i="2"/>
  <c r="KD118" i="2"/>
  <c r="KE118" i="2"/>
  <c r="KF118" i="2"/>
  <c r="KG118" i="2"/>
  <c r="KH118" i="2"/>
  <c r="KI118" i="2"/>
  <c r="KJ118" i="2"/>
  <c r="KK118" i="2"/>
  <c r="KL118" i="2"/>
  <c r="KM118" i="2"/>
  <c r="KN118" i="2"/>
  <c r="KO118" i="2"/>
  <c r="KP118" i="2"/>
  <c r="KQ118" i="2"/>
  <c r="KR118" i="2"/>
  <c r="KS118" i="2"/>
  <c r="KT118" i="2"/>
  <c r="KU118" i="2"/>
  <c r="KV118" i="2"/>
  <c r="KW118" i="2"/>
  <c r="KX118" i="2"/>
  <c r="KY118" i="2"/>
  <c r="KZ118" i="2"/>
  <c r="LA118" i="2"/>
  <c r="LB118" i="2"/>
  <c r="LC118" i="2"/>
  <c r="LD118" i="2"/>
  <c r="LE118" i="2"/>
  <c r="LF118" i="2"/>
  <c r="LG118" i="2"/>
  <c r="LH118" i="2"/>
  <c r="LJ118" i="2"/>
  <c r="LK118" i="2"/>
  <c r="LL118" i="2"/>
  <c r="LM118" i="2"/>
  <c r="LN118" i="2"/>
  <c r="LO118" i="2"/>
  <c r="LP118" i="2"/>
  <c r="LQ118" i="2"/>
  <c r="LR118" i="2"/>
  <c r="LS118" i="2"/>
  <c r="LT118" i="2"/>
  <c r="LV118" i="2"/>
  <c r="LW118" i="2"/>
  <c r="LX118" i="2"/>
  <c r="LY118" i="2"/>
  <c r="LZ118" i="2"/>
  <c r="MA118" i="2"/>
  <c r="MB118" i="2"/>
  <c r="MC118" i="2"/>
  <c r="MD118" i="2"/>
  <c r="ME118" i="2"/>
  <c r="MF118" i="2"/>
  <c r="MG118" i="2"/>
  <c r="MH118" i="2"/>
  <c r="MI118" i="2"/>
  <c r="MJ118" i="2"/>
  <c r="MK118" i="2"/>
  <c r="ML118" i="2"/>
  <c r="MM118" i="2"/>
  <c r="MN118" i="2"/>
  <c r="MO118" i="2"/>
  <c r="MP118" i="2"/>
  <c r="MQ118" i="2"/>
  <c r="MR118" i="2"/>
  <c r="MS118" i="2"/>
  <c r="MT118" i="2"/>
  <c r="MU118" i="2"/>
  <c r="MV118" i="2"/>
  <c r="MW118" i="2"/>
  <c r="MX118" i="2"/>
  <c r="MY118" i="2"/>
  <c r="MZ118" i="2"/>
  <c r="NA118" i="2"/>
  <c r="NB118" i="2"/>
  <c r="NC118" i="2"/>
  <c r="ND118" i="2"/>
  <c r="NE118" i="2"/>
  <c r="NF118" i="2"/>
  <c r="NG118" i="2"/>
  <c r="NH118" i="2"/>
  <c r="NI118" i="2"/>
  <c r="NJ118" i="2"/>
  <c r="NK118" i="2"/>
  <c r="NL118" i="2"/>
  <c r="NM118" i="2"/>
  <c r="NN118" i="2"/>
  <c r="NO118" i="2"/>
  <c r="NP118" i="2"/>
  <c r="NQ118" i="2"/>
  <c r="NR118" i="2"/>
  <c r="NS118" i="2"/>
  <c r="NT118" i="2"/>
  <c r="NU118" i="2"/>
  <c r="NV118" i="2"/>
  <c r="NW118" i="2"/>
  <c r="NX118" i="2"/>
  <c r="NY118" i="2"/>
  <c r="NZ118" i="2"/>
  <c r="OA118" i="2"/>
  <c r="OB118" i="2"/>
  <c r="OC118" i="2"/>
  <c r="OD118" i="2"/>
  <c r="OE118" i="2"/>
  <c r="OF118" i="2"/>
  <c r="OG118" i="2"/>
  <c r="OH118" i="2"/>
  <c r="OI118" i="2"/>
  <c r="OJ118" i="2"/>
  <c r="OK118" i="2"/>
  <c r="OL118" i="2"/>
  <c r="OM118" i="2"/>
  <c r="ON118" i="2"/>
  <c r="OO118" i="2"/>
  <c r="OP118" i="2"/>
  <c r="OQ118" i="2"/>
  <c r="B118" i="2"/>
  <c r="B117" i="2"/>
  <c r="B111" i="2"/>
  <c r="B113" i="2"/>
  <c r="B114" i="2"/>
  <c r="B115" i="2"/>
  <c r="B112" i="2"/>
  <c r="D109" i="2"/>
  <c r="P109" i="2"/>
  <c r="Q109" i="2"/>
  <c r="AB109" i="2"/>
  <c r="AN109" i="2"/>
  <c r="AO109" i="2"/>
  <c r="AZ109" i="2"/>
  <c r="BL109" i="2"/>
  <c r="BM109" i="2"/>
  <c r="BX109" i="2"/>
  <c r="CJ109" i="2"/>
  <c r="CK109" i="2"/>
  <c r="CV109" i="2"/>
  <c r="DH109" i="2"/>
  <c r="DI109" i="2"/>
  <c r="EF109" i="2"/>
  <c r="EG109" i="2"/>
  <c r="EM109" i="2"/>
  <c r="EN109" i="2"/>
  <c r="EO109" i="2"/>
  <c r="ER109" i="2"/>
  <c r="ES109" i="2"/>
  <c r="FD109" i="2"/>
  <c r="FE109" i="2"/>
  <c r="FK109" i="2"/>
  <c r="FQ109" i="2"/>
  <c r="FT109" i="2"/>
  <c r="FU109" i="2"/>
  <c r="FV109" i="2"/>
  <c r="FW109" i="2"/>
  <c r="FX109" i="2"/>
  <c r="FY109" i="2"/>
  <c r="GC109" i="2"/>
  <c r="GF109" i="2"/>
  <c r="GG109" i="2"/>
  <c r="GH109" i="2"/>
  <c r="GI109" i="2"/>
  <c r="GJ109" i="2"/>
  <c r="GK109" i="2"/>
  <c r="GL109" i="2"/>
  <c r="GM109" i="2"/>
  <c r="GR109" i="2"/>
  <c r="GS109" i="2"/>
  <c r="GT109" i="2"/>
  <c r="GU109" i="2"/>
  <c r="HA109" i="2"/>
  <c r="HD109" i="2"/>
  <c r="HE109" i="2"/>
  <c r="HF109" i="2"/>
  <c r="HG109" i="2"/>
  <c r="HM109" i="2"/>
  <c r="HP109" i="2"/>
  <c r="HQ109" i="2"/>
  <c r="HR109" i="2"/>
  <c r="HS109" i="2"/>
  <c r="HY109" i="2"/>
  <c r="IB109" i="2"/>
  <c r="IC109" i="2"/>
  <c r="ID109" i="2"/>
  <c r="IE109" i="2"/>
  <c r="IK109" i="2"/>
  <c r="IN109" i="2"/>
  <c r="IO109" i="2"/>
  <c r="IP109" i="2"/>
  <c r="IQ109" i="2"/>
  <c r="IR109" i="2"/>
  <c r="IS109" i="2"/>
  <c r="IW109" i="2"/>
  <c r="IZ109" i="2"/>
  <c r="JA109" i="2"/>
  <c r="JB109" i="2"/>
  <c r="JC109" i="2"/>
  <c r="JD109" i="2"/>
  <c r="JE109" i="2"/>
  <c r="JF109" i="2"/>
  <c r="JG109" i="2"/>
  <c r="JL109" i="2"/>
  <c r="JM109" i="2"/>
  <c r="JN109" i="2"/>
  <c r="JO109" i="2"/>
  <c r="JU109" i="2"/>
  <c r="JX109" i="2"/>
  <c r="JY109" i="2"/>
  <c r="JZ109" i="2"/>
  <c r="KA109" i="2"/>
  <c r="KG109" i="2"/>
  <c r="KJ109" i="2"/>
  <c r="KK109" i="2"/>
  <c r="KL109" i="2"/>
  <c r="KM109" i="2"/>
  <c r="KS109" i="2"/>
  <c r="KV109" i="2"/>
  <c r="KW109" i="2"/>
  <c r="KX109" i="2"/>
  <c r="KY109" i="2"/>
  <c r="LE109" i="2"/>
  <c r="LH109" i="2"/>
  <c r="LI109" i="2"/>
  <c r="LJ109" i="2"/>
  <c r="LK109" i="2"/>
  <c r="LL109" i="2"/>
  <c r="LM109" i="2"/>
  <c r="LQ109" i="2"/>
  <c r="LT109" i="2"/>
  <c r="LU109" i="2"/>
  <c r="LV109" i="2"/>
  <c r="LW109" i="2"/>
  <c r="LX109" i="2"/>
  <c r="LY109" i="2"/>
  <c r="LZ109" i="2"/>
  <c r="MA109" i="2"/>
  <c r="MF109" i="2"/>
  <c r="MG109" i="2"/>
  <c r="MH109" i="2"/>
  <c r="MI109" i="2"/>
  <c r="MO109" i="2"/>
  <c r="MR109" i="2"/>
  <c r="MS109" i="2"/>
  <c r="MT109" i="2"/>
  <c r="MU109" i="2"/>
  <c r="NA109" i="2"/>
  <c r="ND109" i="2"/>
  <c r="NE109" i="2"/>
  <c r="NF109" i="2"/>
  <c r="NG109" i="2"/>
  <c r="NM109" i="2"/>
  <c r="NP109" i="2"/>
  <c r="NQ109" i="2"/>
  <c r="NR109" i="2"/>
  <c r="NS109" i="2"/>
  <c r="NY109" i="2"/>
  <c r="OB109" i="2"/>
  <c r="OC109" i="2"/>
  <c r="OD109" i="2"/>
  <c r="OE109" i="2"/>
  <c r="OF109" i="2"/>
  <c r="OG109" i="2"/>
  <c r="OK109" i="2"/>
  <c r="ON109" i="2"/>
  <c r="OO109" i="2"/>
  <c r="OP109" i="2"/>
  <c r="OQ109" i="2"/>
  <c r="B108" i="2"/>
  <c r="B109" i="2" s="1"/>
  <c r="C108" i="2"/>
  <c r="C109" i="2" s="1"/>
  <c r="D108" i="2"/>
  <c r="E108" i="2"/>
  <c r="E109" i="2" s="1"/>
  <c r="F108" i="2"/>
  <c r="F109" i="2" s="1"/>
  <c r="G108" i="2"/>
  <c r="G109" i="2" s="1"/>
  <c r="H108" i="2"/>
  <c r="H109" i="2" s="1"/>
  <c r="I108" i="2"/>
  <c r="I109" i="2" s="1"/>
  <c r="J108" i="2"/>
  <c r="J109" i="2" s="1"/>
  <c r="K108" i="2"/>
  <c r="K109" i="2" s="1"/>
  <c r="L108" i="2"/>
  <c r="L109" i="2" s="1"/>
  <c r="M108" i="2"/>
  <c r="M109" i="2" s="1"/>
  <c r="N108" i="2"/>
  <c r="N109" i="2" s="1"/>
  <c r="O108" i="2"/>
  <c r="O109" i="2" s="1"/>
  <c r="P108" i="2"/>
  <c r="Q108" i="2"/>
  <c r="R108" i="2"/>
  <c r="R109" i="2" s="1"/>
  <c r="S108" i="2"/>
  <c r="S109" i="2" s="1"/>
  <c r="T108" i="2"/>
  <c r="T109" i="2" s="1"/>
  <c r="U108" i="2"/>
  <c r="U109" i="2" s="1"/>
  <c r="V108" i="2"/>
  <c r="V109" i="2" s="1"/>
  <c r="W108" i="2"/>
  <c r="W109" i="2" s="1"/>
  <c r="X108" i="2"/>
  <c r="X109" i="2" s="1"/>
  <c r="Y108" i="2"/>
  <c r="Y109" i="2" s="1"/>
  <c r="Z108" i="2"/>
  <c r="Z109" i="2" s="1"/>
  <c r="AA108" i="2"/>
  <c r="AA109" i="2" s="1"/>
  <c r="AB108" i="2"/>
  <c r="AC108" i="2"/>
  <c r="AC109" i="2" s="1"/>
  <c r="AD108" i="2"/>
  <c r="AD109" i="2" s="1"/>
  <c r="AE108" i="2"/>
  <c r="AE109" i="2" s="1"/>
  <c r="AF108" i="2"/>
  <c r="AF109" i="2" s="1"/>
  <c r="AG108" i="2"/>
  <c r="AG109" i="2" s="1"/>
  <c r="AH108" i="2"/>
  <c r="AH109" i="2" s="1"/>
  <c r="AI108" i="2"/>
  <c r="AI109" i="2" s="1"/>
  <c r="AJ108" i="2"/>
  <c r="AJ109" i="2" s="1"/>
  <c r="AK108" i="2"/>
  <c r="AK109" i="2" s="1"/>
  <c r="AL108" i="2"/>
  <c r="AL109" i="2" s="1"/>
  <c r="AM108" i="2"/>
  <c r="AM109" i="2" s="1"/>
  <c r="AN108" i="2"/>
  <c r="AO108" i="2"/>
  <c r="AP108" i="2"/>
  <c r="AP109" i="2" s="1"/>
  <c r="AQ108" i="2"/>
  <c r="AQ109" i="2" s="1"/>
  <c r="AR108" i="2"/>
  <c r="AR109" i="2" s="1"/>
  <c r="AS108" i="2"/>
  <c r="AS109" i="2" s="1"/>
  <c r="AT108" i="2"/>
  <c r="AT109" i="2" s="1"/>
  <c r="AU108" i="2"/>
  <c r="AU109" i="2" s="1"/>
  <c r="AV108" i="2"/>
  <c r="AV109" i="2" s="1"/>
  <c r="AW108" i="2"/>
  <c r="AW109" i="2" s="1"/>
  <c r="AX108" i="2"/>
  <c r="AX109" i="2" s="1"/>
  <c r="AY108" i="2"/>
  <c r="AY109" i="2" s="1"/>
  <c r="AZ108" i="2"/>
  <c r="BA108" i="2"/>
  <c r="BA109" i="2" s="1"/>
  <c r="BB108" i="2"/>
  <c r="BB109" i="2" s="1"/>
  <c r="BC108" i="2"/>
  <c r="BC109" i="2" s="1"/>
  <c r="BD108" i="2"/>
  <c r="BD109" i="2" s="1"/>
  <c r="BE108" i="2"/>
  <c r="BE109" i="2" s="1"/>
  <c r="BF108" i="2"/>
  <c r="BF109" i="2" s="1"/>
  <c r="BG108" i="2"/>
  <c r="BG109" i="2" s="1"/>
  <c r="BH108" i="2"/>
  <c r="BH109" i="2" s="1"/>
  <c r="BI108" i="2"/>
  <c r="BI109" i="2" s="1"/>
  <c r="BJ108" i="2"/>
  <c r="BJ109" i="2" s="1"/>
  <c r="BK108" i="2"/>
  <c r="BK109" i="2" s="1"/>
  <c r="BL108" i="2"/>
  <c r="BM108" i="2"/>
  <c r="BN108" i="2"/>
  <c r="BN109" i="2" s="1"/>
  <c r="BO108" i="2"/>
  <c r="BO109" i="2" s="1"/>
  <c r="BP108" i="2"/>
  <c r="BP109" i="2" s="1"/>
  <c r="BQ108" i="2"/>
  <c r="BQ109" i="2" s="1"/>
  <c r="BR108" i="2"/>
  <c r="BR109" i="2" s="1"/>
  <c r="BS108" i="2"/>
  <c r="BS109" i="2" s="1"/>
  <c r="BT108" i="2"/>
  <c r="BT109" i="2" s="1"/>
  <c r="BU108" i="2"/>
  <c r="BU109" i="2" s="1"/>
  <c r="BV108" i="2"/>
  <c r="BV109" i="2" s="1"/>
  <c r="BW108" i="2"/>
  <c r="BW109" i="2" s="1"/>
  <c r="BX108" i="2"/>
  <c r="BY108" i="2"/>
  <c r="BY109" i="2" s="1"/>
  <c r="BZ108" i="2"/>
  <c r="BZ109" i="2" s="1"/>
  <c r="CA108" i="2"/>
  <c r="CA109" i="2" s="1"/>
  <c r="CB108" i="2"/>
  <c r="CB109" i="2" s="1"/>
  <c r="CC108" i="2"/>
  <c r="CC109" i="2" s="1"/>
  <c r="CD108" i="2"/>
  <c r="CD109" i="2" s="1"/>
  <c r="CE108" i="2"/>
  <c r="CE109" i="2" s="1"/>
  <c r="CF108" i="2"/>
  <c r="CF109" i="2" s="1"/>
  <c r="CG108" i="2"/>
  <c r="CG109" i="2" s="1"/>
  <c r="CH108" i="2"/>
  <c r="CH109" i="2" s="1"/>
  <c r="CI108" i="2"/>
  <c r="CI109" i="2" s="1"/>
  <c r="CJ108" i="2"/>
  <c r="CK108" i="2"/>
  <c r="CL108" i="2"/>
  <c r="CL109" i="2" s="1"/>
  <c r="CM108" i="2"/>
  <c r="CM109" i="2" s="1"/>
  <c r="CN108" i="2"/>
  <c r="CN109" i="2" s="1"/>
  <c r="CO108" i="2"/>
  <c r="CO109" i="2" s="1"/>
  <c r="CP108" i="2"/>
  <c r="CP109" i="2" s="1"/>
  <c r="CQ108" i="2"/>
  <c r="CQ109" i="2" s="1"/>
  <c r="CR108" i="2"/>
  <c r="CR109" i="2" s="1"/>
  <c r="CS108" i="2"/>
  <c r="CS109" i="2" s="1"/>
  <c r="CT108" i="2"/>
  <c r="CT109" i="2" s="1"/>
  <c r="CU108" i="2"/>
  <c r="CU109" i="2" s="1"/>
  <c r="CV108" i="2"/>
  <c r="CW108" i="2"/>
  <c r="CW109" i="2" s="1"/>
  <c r="CX108" i="2"/>
  <c r="CX109" i="2" s="1"/>
  <c r="CY108" i="2"/>
  <c r="CY109" i="2" s="1"/>
  <c r="CZ108" i="2"/>
  <c r="CZ109" i="2" s="1"/>
  <c r="DA108" i="2"/>
  <c r="DA109" i="2" s="1"/>
  <c r="DB108" i="2"/>
  <c r="DB109" i="2" s="1"/>
  <c r="DC108" i="2"/>
  <c r="DC109" i="2" s="1"/>
  <c r="DD108" i="2"/>
  <c r="DD109" i="2" s="1"/>
  <c r="DE108" i="2"/>
  <c r="DE109" i="2" s="1"/>
  <c r="DF108" i="2"/>
  <c r="DF109" i="2" s="1"/>
  <c r="DG108" i="2"/>
  <c r="DG109" i="2" s="1"/>
  <c r="DH108" i="2"/>
  <c r="DI108" i="2"/>
  <c r="DJ108" i="2"/>
  <c r="DJ109" i="2" s="1"/>
  <c r="DK108" i="2"/>
  <c r="DK109" i="2" s="1"/>
  <c r="DL108" i="2"/>
  <c r="DL109" i="2" s="1"/>
  <c r="DM108" i="2"/>
  <c r="DM109" i="2" s="1"/>
  <c r="DN108" i="2"/>
  <c r="DN109" i="2" s="1"/>
  <c r="DO108" i="2"/>
  <c r="DO109" i="2" s="1"/>
  <c r="DP108" i="2"/>
  <c r="DP109" i="2" s="1"/>
  <c r="DQ108" i="2"/>
  <c r="DQ109" i="2" s="1"/>
  <c r="DR108" i="2"/>
  <c r="DR109" i="2" s="1"/>
  <c r="DS108" i="2"/>
  <c r="DS109" i="2" s="1"/>
  <c r="DT108" i="2"/>
  <c r="DT109" i="2" s="1"/>
  <c r="DU108" i="2"/>
  <c r="DU109" i="2" s="1"/>
  <c r="DV108" i="2"/>
  <c r="DV109" i="2" s="1"/>
  <c r="DW108" i="2"/>
  <c r="DW109" i="2" s="1"/>
  <c r="DX108" i="2"/>
  <c r="DX109" i="2" s="1"/>
  <c r="DY108" i="2"/>
  <c r="DY109" i="2" s="1"/>
  <c r="DZ108" i="2"/>
  <c r="DZ109" i="2" s="1"/>
  <c r="EA108" i="2"/>
  <c r="EA109" i="2" s="1"/>
  <c r="EB108" i="2"/>
  <c r="EB109" i="2" s="1"/>
  <c r="EC108" i="2"/>
  <c r="EC109" i="2" s="1"/>
  <c r="ED108" i="2"/>
  <c r="ED109" i="2" s="1"/>
  <c r="EE108" i="2"/>
  <c r="EE109" i="2" s="1"/>
  <c r="EF108" i="2"/>
  <c r="EG108" i="2"/>
  <c r="EH108" i="2"/>
  <c r="EH109" i="2" s="1"/>
  <c r="EI108" i="2"/>
  <c r="EI109" i="2" s="1"/>
  <c r="EJ108" i="2"/>
  <c r="EJ109" i="2" s="1"/>
  <c r="EK108" i="2"/>
  <c r="EK109" i="2" s="1"/>
  <c r="EL108" i="2"/>
  <c r="EL109" i="2" s="1"/>
  <c r="EM108" i="2"/>
  <c r="EN108" i="2"/>
  <c r="EO108" i="2"/>
  <c r="EP108" i="2"/>
  <c r="EP109" i="2" s="1"/>
  <c r="EQ108" i="2"/>
  <c r="EQ109" i="2" s="1"/>
  <c r="ER108" i="2"/>
  <c r="ES108" i="2"/>
  <c r="ET108" i="2"/>
  <c r="ET109" i="2" s="1"/>
  <c r="EU108" i="2"/>
  <c r="EU109" i="2" s="1"/>
  <c r="EV108" i="2"/>
  <c r="EV109" i="2" s="1"/>
  <c r="EW108" i="2"/>
  <c r="EW109" i="2" s="1"/>
  <c r="EX108" i="2"/>
  <c r="EX109" i="2" s="1"/>
  <c r="EY108" i="2"/>
  <c r="EY109" i="2" s="1"/>
  <c r="EZ108" i="2"/>
  <c r="EZ109" i="2" s="1"/>
  <c r="FA108" i="2"/>
  <c r="FA109" i="2" s="1"/>
  <c r="FB108" i="2"/>
  <c r="FB109" i="2" s="1"/>
  <c r="FC108" i="2"/>
  <c r="FC109" i="2" s="1"/>
  <c r="FD108" i="2"/>
  <c r="FE108" i="2"/>
  <c r="FF108" i="2"/>
  <c r="FF109" i="2" s="1"/>
  <c r="FG108" i="2"/>
  <c r="FG109" i="2" s="1"/>
  <c r="FH108" i="2"/>
  <c r="FH109" i="2" s="1"/>
  <c r="FI108" i="2"/>
  <c r="FI109" i="2" s="1"/>
  <c r="FJ108" i="2"/>
  <c r="FJ109" i="2" s="1"/>
  <c r="FL108" i="2"/>
  <c r="FL109" i="2" s="1"/>
  <c r="FM108" i="2"/>
  <c r="FM109" i="2" s="1"/>
  <c r="FN108" i="2"/>
  <c r="FN109" i="2" s="1"/>
  <c r="FO108" i="2"/>
  <c r="FO109" i="2" s="1"/>
  <c r="FP108" i="2"/>
  <c r="FP109" i="2" s="1"/>
  <c r="FQ108" i="2"/>
  <c r="FR108" i="2"/>
  <c r="FR109" i="2" s="1"/>
  <c r="FS108" i="2"/>
  <c r="FS109" i="2" s="1"/>
  <c r="FT108" i="2"/>
  <c r="FU108" i="2"/>
  <c r="FV108" i="2"/>
  <c r="FW108" i="2"/>
  <c r="FX108" i="2"/>
  <c r="FY108" i="2"/>
  <c r="FZ108" i="2"/>
  <c r="FZ109" i="2" s="1"/>
  <c r="GA108" i="2"/>
  <c r="GA109" i="2" s="1"/>
  <c r="GB108" i="2"/>
  <c r="GB109" i="2" s="1"/>
  <c r="GC108" i="2"/>
  <c r="GD108" i="2"/>
  <c r="GD109" i="2" s="1"/>
  <c r="GE108" i="2"/>
  <c r="GE109" i="2" s="1"/>
  <c r="GF108" i="2"/>
  <c r="GG108" i="2"/>
  <c r="GH108" i="2"/>
  <c r="GI108" i="2"/>
  <c r="GJ108" i="2"/>
  <c r="GK108" i="2"/>
  <c r="GL108" i="2"/>
  <c r="GM108" i="2"/>
  <c r="GN108" i="2"/>
  <c r="GN109" i="2" s="1"/>
  <c r="GO108" i="2"/>
  <c r="GO109" i="2" s="1"/>
  <c r="GP108" i="2"/>
  <c r="GP109" i="2" s="1"/>
  <c r="GQ108" i="2"/>
  <c r="GQ109" i="2" s="1"/>
  <c r="GR108" i="2"/>
  <c r="GS108" i="2"/>
  <c r="GT108" i="2"/>
  <c r="GU108" i="2"/>
  <c r="GV108" i="2"/>
  <c r="GV109" i="2" s="1"/>
  <c r="GW108" i="2"/>
  <c r="GW109" i="2" s="1"/>
  <c r="GX108" i="2"/>
  <c r="GX109" i="2" s="1"/>
  <c r="GY108" i="2"/>
  <c r="GY109" i="2" s="1"/>
  <c r="GZ108" i="2"/>
  <c r="GZ109" i="2" s="1"/>
  <c r="HA108" i="2"/>
  <c r="HB108" i="2"/>
  <c r="HB109" i="2" s="1"/>
  <c r="HC108" i="2"/>
  <c r="HC109" i="2" s="1"/>
  <c r="HD108" i="2"/>
  <c r="HE108" i="2"/>
  <c r="HF108" i="2"/>
  <c r="HG108" i="2"/>
  <c r="HH108" i="2"/>
  <c r="HH109" i="2" s="1"/>
  <c r="HI108" i="2"/>
  <c r="HI109" i="2" s="1"/>
  <c r="HJ108" i="2"/>
  <c r="HJ109" i="2" s="1"/>
  <c r="HK108" i="2"/>
  <c r="HK109" i="2" s="1"/>
  <c r="HL108" i="2"/>
  <c r="HL109" i="2" s="1"/>
  <c r="HM108" i="2"/>
  <c r="HN108" i="2"/>
  <c r="HN109" i="2" s="1"/>
  <c r="HO108" i="2"/>
  <c r="HO109" i="2" s="1"/>
  <c r="HP108" i="2"/>
  <c r="HQ108" i="2"/>
  <c r="HR108" i="2"/>
  <c r="HS108" i="2"/>
  <c r="HT108" i="2"/>
  <c r="HT109" i="2" s="1"/>
  <c r="HU108" i="2"/>
  <c r="HU109" i="2" s="1"/>
  <c r="HV108" i="2"/>
  <c r="HV109" i="2" s="1"/>
  <c r="HW108" i="2"/>
  <c r="HW109" i="2" s="1"/>
  <c r="HX108" i="2"/>
  <c r="HX109" i="2" s="1"/>
  <c r="HY108" i="2"/>
  <c r="HZ108" i="2"/>
  <c r="HZ109" i="2" s="1"/>
  <c r="IA108" i="2"/>
  <c r="IA109" i="2" s="1"/>
  <c r="IB108" i="2"/>
  <c r="IC108" i="2"/>
  <c r="ID108" i="2"/>
  <c r="IE108" i="2"/>
  <c r="IF108" i="2"/>
  <c r="IF109" i="2" s="1"/>
  <c r="IG108" i="2"/>
  <c r="IG109" i="2" s="1"/>
  <c r="IH108" i="2"/>
  <c r="IH109" i="2" s="1"/>
  <c r="II108" i="2"/>
  <c r="II109" i="2" s="1"/>
  <c r="IJ108" i="2"/>
  <c r="IJ109" i="2" s="1"/>
  <c r="IK108" i="2"/>
  <c r="IL108" i="2"/>
  <c r="IL109" i="2" s="1"/>
  <c r="IM108" i="2"/>
  <c r="IM109" i="2" s="1"/>
  <c r="IN108" i="2"/>
  <c r="IO108" i="2"/>
  <c r="IP108" i="2"/>
  <c r="IQ108" i="2"/>
  <c r="IR108" i="2"/>
  <c r="IS108" i="2"/>
  <c r="IT108" i="2"/>
  <c r="IT109" i="2" s="1"/>
  <c r="IU108" i="2"/>
  <c r="IU109" i="2" s="1"/>
  <c r="IV108" i="2"/>
  <c r="IV109" i="2" s="1"/>
  <c r="IW108" i="2"/>
  <c r="IX108" i="2"/>
  <c r="IX109" i="2" s="1"/>
  <c r="IY108" i="2"/>
  <c r="IY109" i="2" s="1"/>
  <c r="IZ108" i="2"/>
  <c r="JA108" i="2"/>
  <c r="JB108" i="2"/>
  <c r="JC108" i="2"/>
  <c r="JD108" i="2"/>
  <c r="JE108" i="2"/>
  <c r="JF108" i="2"/>
  <c r="JG108" i="2"/>
  <c r="JH108" i="2"/>
  <c r="JH109" i="2" s="1"/>
  <c r="JI108" i="2"/>
  <c r="JI109" i="2" s="1"/>
  <c r="JJ108" i="2"/>
  <c r="JJ109" i="2" s="1"/>
  <c r="JK108" i="2"/>
  <c r="JK109" i="2" s="1"/>
  <c r="JL108" i="2"/>
  <c r="JM108" i="2"/>
  <c r="JN108" i="2"/>
  <c r="JO108" i="2"/>
  <c r="JP108" i="2"/>
  <c r="JP109" i="2" s="1"/>
  <c r="JQ108" i="2"/>
  <c r="JQ109" i="2" s="1"/>
  <c r="JR108" i="2"/>
  <c r="JR109" i="2" s="1"/>
  <c r="JS108" i="2"/>
  <c r="JS109" i="2" s="1"/>
  <c r="JT108" i="2"/>
  <c r="JT109" i="2" s="1"/>
  <c r="JU108" i="2"/>
  <c r="JV108" i="2"/>
  <c r="JV109" i="2" s="1"/>
  <c r="JW108" i="2"/>
  <c r="JW109" i="2" s="1"/>
  <c r="JX108" i="2"/>
  <c r="JY108" i="2"/>
  <c r="JZ108" i="2"/>
  <c r="KA108" i="2"/>
  <c r="KB108" i="2"/>
  <c r="KB109" i="2" s="1"/>
  <c r="KC108" i="2"/>
  <c r="KC109" i="2" s="1"/>
  <c r="KD108" i="2"/>
  <c r="KD109" i="2" s="1"/>
  <c r="KE108" i="2"/>
  <c r="KE109" i="2" s="1"/>
  <c r="KF108" i="2"/>
  <c r="KF109" i="2" s="1"/>
  <c r="KG108" i="2"/>
  <c r="KH108" i="2"/>
  <c r="KH109" i="2" s="1"/>
  <c r="KI108" i="2"/>
  <c r="KI109" i="2" s="1"/>
  <c r="KJ108" i="2"/>
  <c r="KK108" i="2"/>
  <c r="KL108" i="2"/>
  <c r="KM108" i="2"/>
  <c r="KN108" i="2"/>
  <c r="KN109" i="2" s="1"/>
  <c r="KO108" i="2"/>
  <c r="KO109" i="2" s="1"/>
  <c r="KP108" i="2"/>
  <c r="KP109" i="2" s="1"/>
  <c r="KQ108" i="2"/>
  <c r="KQ109" i="2" s="1"/>
  <c r="KR108" i="2"/>
  <c r="KR109" i="2" s="1"/>
  <c r="KS108" i="2"/>
  <c r="KT108" i="2"/>
  <c r="KT109" i="2" s="1"/>
  <c r="KU108" i="2"/>
  <c r="KU109" i="2" s="1"/>
  <c r="KV108" i="2"/>
  <c r="KW108" i="2"/>
  <c r="KX108" i="2"/>
  <c r="KY108" i="2"/>
  <c r="KZ108" i="2"/>
  <c r="KZ109" i="2" s="1"/>
  <c r="LA108" i="2"/>
  <c r="LA109" i="2" s="1"/>
  <c r="LB108" i="2"/>
  <c r="LB109" i="2" s="1"/>
  <c r="LC108" i="2"/>
  <c r="LC109" i="2" s="1"/>
  <c r="LD108" i="2"/>
  <c r="LD109" i="2" s="1"/>
  <c r="LE108" i="2"/>
  <c r="LF108" i="2"/>
  <c r="LF109" i="2" s="1"/>
  <c r="LG108" i="2"/>
  <c r="LG109" i="2" s="1"/>
  <c r="LH108" i="2"/>
  <c r="LI108" i="2"/>
  <c r="LJ108" i="2"/>
  <c r="LK108" i="2"/>
  <c r="LL108" i="2"/>
  <c r="LM108" i="2"/>
  <c r="LN108" i="2"/>
  <c r="LN109" i="2" s="1"/>
  <c r="LO108" i="2"/>
  <c r="LO109" i="2" s="1"/>
  <c r="LP108" i="2"/>
  <c r="LP109" i="2" s="1"/>
  <c r="LQ108" i="2"/>
  <c r="LR108" i="2"/>
  <c r="LR109" i="2" s="1"/>
  <c r="LS108" i="2"/>
  <c r="LS109" i="2" s="1"/>
  <c r="LT108" i="2"/>
  <c r="LU108" i="2"/>
  <c r="LV108" i="2"/>
  <c r="LW108" i="2"/>
  <c r="LX108" i="2"/>
  <c r="LY108" i="2"/>
  <c r="LZ108" i="2"/>
  <c r="MA108" i="2"/>
  <c r="MB108" i="2"/>
  <c r="MB109" i="2" s="1"/>
  <c r="MC108" i="2"/>
  <c r="MC109" i="2" s="1"/>
  <c r="MD108" i="2"/>
  <c r="MD109" i="2" s="1"/>
  <c r="ME108" i="2"/>
  <c r="ME109" i="2" s="1"/>
  <c r="MF108" i="2"/>
  <c r="MG108" i="2"/>
  <c r="MH108" i="2"/>
  <c r="MI108" i="2"/>
  <c r="MJ108" i="2"/>
  <c r="MJ109" i="2" s="1"/>
  <c r="MK108" i="2"/>
  <c r="MK109" i="2" s="1"/>
  <c r="ML108" i="2"/>
  <c r="ML109" i="2" s="1"/>
  <c r="MM108" i="2"/>
  <c r="MM109" i="2" s="1"/>
  <c r="MN108" i="2"/>
  <c r="MN109" i="2" s="1"/>
  <c r="MO108" i="2"/>
  <c r="MP108" i="2"/>
  <c r="MP109" i="2" s="1"/>
  <c r="MQ108" i="2"/>
  <c r="MQ109" i="2" s="1"/>
  <c r="MR108" i="2"/>
  <c r="MS108" i="2"/>
  <c r="MT108" i="2"/>
  <c r="MU108" i="2"/>
  <c r="MV108" i="2"/>
  <c r="MV109" i="2" s="1"/>
  <c r="MW108" i="2"/>
  <c r="MW109" i="2" s="1"/>
  <c r="MX108" i="2"/>
  <c r="MX109" i="2" s="1"/>
  <c r="MY108" i="2"/>
  <c r="MY109" i="2" s="1"/>
  <c r="MZ108" i="2"/>
  <c r="MZ109" i="2" s="1"/>
  <c r="NA108" i="2"/>
  <c r="NB108" i="2"/>
  <c r="NB109" i="2" s="1"/>
  <c r="NC108" i="2"/>
  <c r="NC109" i="2" s="1"/>
  <c r="ND108" i="2"/>
  <c r="NE108" i="2"/>
  <c r="NF108" i="2"/>
  <c r="NG108" i="2"/>
  <c r="NH108" i="2"/>
  <c r="NH109" i="2" s="1"/>
  <c r="NI108" i="2"/>
  <c r="NI109" i="2" s="1"/>
  <c r="NJ108" i="2"/>
  <c r="NJ109" i="2" s="1"/>
  <c r="NK108" i="2"/>
  <c r="NK109" i="2" s="1"/>
  <c r="NL108" i="2"/>
  <c r="NL109" i="2" s="1"/>
  <c r="NM108" i="2"/>
  <c r="NN108" i="2"/>
  <c r="NN109" i="2" s="1"/>
  <c r="NO108" i="2"/>
  <c r="NO109" i="2" s="1"/>
  <c r="NP108" i="2"/>
  <c r="NQ108" i="2"/>
  <c r="NR108" i="2"/>
  <c r="NS108" i="2"/>
  <c r="NT108" i="2"/>
  <c r="NT109" i="2" s="1"/>
  <c r="NU108" i="2"/>
  <c r="NU109" i="2" s="1"/>
  <c r="NV108" i="2"/>
  <c r="NV109" i="2" s="1"/>
  <c r="NW108" i="2"/>
  <c r="NW109" i="2" s="1"/>
  <c r="NX108" i="2"/>
  <c r="NX109" i="2" s="1"/>
  <c r="NY108" i="2"/>
  <c r="NZ108" i="2"/>
  <c r="NZ109" i="2" s="1"/>
  <c r="OA108" i="2"/>
  <c r="OA109" i="2" s="1"/>
  <c r="OB108" i="2"/>
  <c r="OC108" i="2"/>
  <c r="OD108" i="2"/>
  <c r="OE108" i="2"/>
  <c r="OF108" i="2"/>
  <c r="OG108" i="2"/>
  <c r="OH108" i="2"/>
  <c r="OH109" i="2" s="1"/>
  <c r="OI108" i="2"/>
  <c r="OI109" i="2" s="1"/>
  <c r="OJ108" i="2"/>
  <c r="OJ109" i="2" s="1"/>
  <c r="OK108" i="2"/>
  <c r="OL108" i="2"/>
  <c r="OL109" i="2" s="1"/>
  <c r="OM108" i="2"/>
  <c r="OM109" i="2" s="1"/>
  <c r="ON108" i="2"/>
  <c r="OO108" i="2"/>
  <c r="OP108" i="2"/>
  <c r="OQ108" i="2"/>
  <c r="FK108" i="2"/>
  <c r="OP113" i="2" l="1"/>
  <c r="NR113" i="2"/>
  <c r="MT113" i="2"/>
  <c r="LV113" i="2"/>
  <c r="KX113" i="2"/>
  <c r="JZ113" i="2"/>
  <c r="JB113" i="2"/>
  <c r="ID113" i="2"/>
  <c r="HF113" i="2"/>
  <c r="GH113" i="2"/>
  <c r="FJ113" i="2"/>
  <c r="EL113" i="2"/>
  <c r="DN113" i="2"/>
  <c r="CP113" i="2"/>
  <c r="BR113" i="2"/>
  <c r="AT113" i="2"/>
  <c r="V113" i="2"/>
  <c r="OC113" i="2"/>
  <c r="NE113" i="2"/>
  <c r="MG113" i="2"/>
  <c r="KW113" i="2"/>
  <c r="KK113" i="2"/>
  <c r="JM113" i="2"/>
  <c r="IO113" i="2"/>
  <c r="HQ113" i="2"/>
  <c r="GS113" i="2"/>
  <c r="FU113" i="2"/>
  <c r="EW113" i="2"/>
  <c r="DY113" i="2"/>
  <c r="DA113" i="2"/>
  <c r="CO113" i="2"/>
  <c r="BQ113" i="2"/>
  <c r="AS113" i="2"/>
  <c r="U113" i="2"/>
  <c r="OD113" i="2"/>
  <c r="NF113" i="2"/>
  <c r="MH113" i="2"/>
  <c r="LJ113" i="2"/>
  <c r="KL113" i="2"/>
  <c r="JN113" i="2"/>
  <c r="IP113" i="2"/>
  <c r="HR113" i="2"/>
  <c r="GT113" i="2"/>
  <c r="FV113" i="2"/>
  <c r="EX113" i="2"/>
  <c r="DZ113" i="2"/>
  <c r="DB113" i="2"/>
  <c r="CD113" i="2"/>
  <c r="BF113" i="2"/>
  <c r="AH113" i="2"/>
  <c r="J113" i="2"/>
  <c r="OO113" i="2"/>
  <c r="NQ113" i="2"/>
  <c r="MS113" i="2"/>
  <c r="LU113" i="2"/>
  <c r="LI113" i="2"/>
  <c r="JY113" i="2"/>
  <c r="JA113" i="2"/>
  <c r="IC113" i="2"/>
  <c r="HE113" i="2"/>
  <c r="GG113" i="2"/>
  <c r="FI113" i="2"/>
  <c r="EK113" i="2"/>
  <c r="DM113" i="2"/>
  <c r="CC113" i="2"/>
  <c r="BE113" i="2"/>
  <c r="AG113" i="2"/>
  <c r="I113" i="2"/>
  <c r="J107" i="2" l="1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EM107" i="2"/>
  <c r="EN107" i="2"/>
  <c r="EO107" i="2"/>
  <c r="EP107" i="2"/>
  <c r="EQ107" i="2"/>
  <c r="ER107" i="2"/>
  <c r="ES107" i="2"/>
  <c r="ET107" i="2"/>
  <c r="EU107" i="2"/>
  <c r="EV107" i="2"/>
  <c r="EW107" i="2"/>
  <c r="EX107" i="2"/>
  <c r="EY107" i="2"/>
  <c r="EZ107" i="2"/>
  <c r="FA107" i="2"/>
  <c r="FB107" i="2"/>
  <c r="FC107" i="2"/>
  <c r="FD107" i="2"/>
  <c r="FE107" i="2"/>
  <c r="FF107" i="2"/>
  <c r="FG107" i="2"/>
  <c r="FH107" i="2"/>
  <c r="FI107" i="2"/>
  <c r="FJ107" i="2"/>
  <c r="FK107" i="2"/>
  <c r="FL107" i="2"/>
  <c r="FM107" i="2"/>
  <c r="FN107" i="2"/>
  <c r="FO107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GG107" i="2"/>
  <c r="GH107" i="2"/>
  <c r="GI107" i="2"/>
  <c r="GJ107" i="2"/>
  <c r="GK107" i="2"/>
  <c r="GL107" i="2"/>
  <c r="GM107" i="2"/>
  <c r="GN107" i="2"/>
  <c r="GO107" i="2"/>
  <c r="GP107" i="2"/>
  <c r="GQ107" i="2"/>
  <c r="GR107" i="2"/>
  <c r="GS107" i="2"/>
  <c r="GT107" i="2"/>
  <c r="GU107" i="2"/>
  <c r="GV107" i="2"/>
  <c r="GW107" i="2"/>
  <c r="GX107" i="2"/>
  <c r="GY107" i="2"/>
  <c r="GZ107" i="2"/>
  <c r="HA107" i="2"/>
  <c r="HB107" i="2"/>
  <c r="HC107" i="2"/>
  <c r="HD107" i="2"/>
  <c r="HE107" i="2"/>
  <c r="HF107" i="2"/>
  <c r="HG107" i="2"/>
  <c r="HH107" i="2"/>
  <c r="HI107" i="2"/>
  <c r="HJ107" i="2"/>
  <c r="HK107" i="2"/>
  <c r="HL107" i="2"/>
  <c r="HM107" i="2"/>
  <c r="HN107" i="2"/>
  <c r="HO107" i="2"/>
  <c r="HP107" i="2"/>
  <c r="HQ107" i="2"/>
  <c r="HR107" i="2"/>
  <c r="HS107" i="2"/>
  <c r="HT107" i="2"/>
  <c r="HU107" i="2"/>
  <c r="HV107" i="2"/>
  <c r="HW107" i="2"/>
  <c r="HX107" i="2"/>
  <c r="HY107" i="2"/>
  <c r="HZ107" i="2"/>
  <c r="IA107" i="2"/>
  <c r="IB107" i="2"/>
  <c r="IC107" i="2"/>
  <c r="ID107" i="2"/>
  <c r="IE107" i="2"/>
  <c r="IF107" i="2"/>
  <c r="IG107" i="2"/>
  <c r="IH107" i="2"/>
  <c r="II107" i="2"/>
  <c r="IJ107" i="2"/>
  <c r="IK107" i="2"/>
  <c r="IL107" i="2"/>
  <c r="IM107" i="2"/>
  <c r="IN107" i="2"/>
  <c r="IO107" i="2"/>
  <c r="IP107" i="2"/>
  <c r="IQ107" i="2"/>
  <c r="IR107" i="2"/>
  <c r="IS107" i="2"/>
  <c r="IT107" i="2"/>
  <c r="IU107" i="2"/>
  <c r="IV107" i="2"/>
  <c r="IW107" i="2"/>
  <c r="IX107" i="2"/>
  <c r="IY107" i="2"/>
  <c r="IZ107" i="2"/>
  <c r="JA107" i="2"/>
  <c r="JB107" i="2"/>
  <c r="JC107" i="2"/>
  <c r="JD107" i="2"/>
  <c r="JE107" i="2"/>
  <c r="JF107" i="2"/>
  <c r="JG107" i="2"/>
  <c r="JH107" i="2"/>
  <c r="JI107" i="2"/>
  <c r="JJ107" i="2"/>
  <c r="JK107" i="2"/>
  <c r="JL107" i="2"/>
  <c r="JM107" i="2"/>
  <c r="JN107" i="2"/>
  <c r="JO107" i="2"/>
  <c r="JP107" i="2"/>
  <c r="JQ107" i="2"/>
  <c r="JR107" i="2"/>
  <c r="JS107" i="2"/>
  <c r="JT107" i="2"/>
  <c r="JU107" i="2"/>
  <c r="JV107" i="2"/>
  <c r="JW107" i="2"/>
  <c r="JX107" i="2"/>
  <c r="JY107" i="2"/>
  <c r="JZ107" i="2"/>
  <c r="KA107" i="2"/>
  <c r="KB107" i="2"/>
  <c r="KC107" i="2"/>
  <c r="KD107" i="2"/>
  <c r="KE107" i="2"/>
  <c r="KF107" i="2"/>
  <c r="KG107" i="2"/>
  <c r="KH107" i="2"/>
  <c r="KI107" i="2"/>
  <c r="KJ107" i="2"/>
  <c r="KK107" i="2"/>
  <c r="KL107" i="2"/>
  <c r="KM107" i="2"/>
  <c r="KN107" i="2"/>
  <c r="KO107" i="2"/>
  <c r="KP107" i="2"/>
  <c r="KQ107" i="2"/>
  <c r="KR107" i="2"/>
  <c r="KS107" i="2"/>
  <c r="KT107" i="2"/>
  <c r="KU107" i="2"/>
  <c r="KV107" i="2"/>
  <c r="KW107" i="2"/>
  <c r="KX107" i="2"/>
  <c r="KY107" i="2"/>
  <c r="KZ107" i="2"/>
  <c r="LA107" i="2"/>
  <c r="LB107" i="2"/>
  <c r="LC107" i="2"/>
  <c r="LD107" i="2"/>
  <c r="LE107" i="2"/>
  <c r="LF107" i="2"/>
  <c r="LG107" i="2"/>
  <c r="LH107" i="2"/>
  <c r="LI107" i="2"/>
  <c r="LJ107" i="2"/>
  <c r="LK107" i="2"/>
  <c r="LL107" i="2"/>
  <c r="LM107" i="2"/>
  <c r="LN107" i="2"/>
  <c r="LO107" i="2"/>
  <c r="LP107" i="2"/>
  <c r="LQ107" i="2"/>
  <c r="LR107" i="2"/>
  <c r="LS107" i="2"/>
  <c r="LT107" i="2"/>
  <c r="LU107" i="2"/>
  <c r="LV107" i="2"/>
  <c r="LW107" i="2"/>
  <c r="LX107" i="2"/>
  <c r="LY107" i="2"/>
  <c r="LZ107" i="2"/>
  <c r="MA107" i="2"/>
  <c r="MB107" i="2"/>
  <c r="MC107" i="2"/>
  <c r="MD107" i="2"/>
  <c r="ME107" i="2"/>
  <c r="MF107" i="2"/>
  <c r="MG107" i="2"/>
  <c r="MH107" i="2"/>
  <c r="MI107" i="2"/>
  <c r="MJ107" i="2"/>
  <c r="MK107" i="2"/>
  <c r="ML107" i="2"/>
  <c r="MM107" i="2"/>
  <c r="MN107" i="2"/>
  <c r="MO107" i="2"/>
  <c r="MP107" i="2"/>
  <c r="MQ107" i="2"/>
  <c r="MR107" i="2"/>
  <c r="MS107" i="2"/>
  <c r="MT107" i="2"/>
  <c r="MU107" i="2"/>
  <c r="MV107" i="2"/>
  <c r="MW107" i="2"/>
  <c r="MX107" i="2"/>
  <c r="MY107" i="2"/>
  <c r="MZ107" i="2"/>
  <c r="NA107" i="2"/>
  <c r="NB107" i="2"/>
  <c r="NC107" i="2"/>
  <c r="ND107" i="2"/>
  <c r="NE107" i="2"/>
  <c r="NF107" i="2"/>
  <c r="NG107" i="2"/>
  <c r="NH107" i="2"/>
  <c r="NI107" i="2"/>
  <c r="NJ107" i="2"/>
  <c r="NK107" i="2"/>
  <c r="NL107" i="2"/>
  <c r="NM107" i="2"/>
  <c r="NN107" i="2"/>
  <c r="NO107" i="2"/>
  <c r="NP107" i="2"/>
  <c r="NQ107" i="2"/>
  <c r="NR107" i="2"/>
  <c r="NS107" i="2"/>
  <c r="NT107" i="2"/>
  <c r="NU107" i="2"/>
  <c r="NV107" i="2"/>
  <c r="NW107" i="2"/>
  <c r="NX107" i="2"/>
  <c r="NY107" i="2"/>
  <c r="NZ107" i="2"/>
  <c r="OA107" i="2"/>
  <c r="OB107" i="2"/>
  <c r="OC107" i="2"/>
  <c r="OD107" i="2"/>
  <c r="OE107" i="2"/>
  <c r="OF107" i="2"/>
  <c r="OG107" i="2"/>
  <c r="OH107" i="2"/>
  <c r="OI107" i="2"/>
  <c r="OJ107" i="2"/>
  <c r="OK107" i="2"/>
  <c r="OL107" i="2"/>
  <c r="OM107" i="2"/>
  <c r="ON107" i="2"/>
  <c r="OO107" i="2"/>
  <c r="OP107" i="2"/>
  <c r="OQ107" i="2"/>
  <c r="H107" i="2"/>
  <c r="I107" i="2"/>
  <c r="B107" i="2"/>
  <c r="C107" i="2"/>
  <c r="D107" i="2"/>
  <c r="E107" i="2"/>
  <c r="G107" i="2"/>
  <c r="F107" i="2"/>
  <c r="GO3" i="1"/>
  <c r="GO4" i="1"/>
  <c r="GO5" i="1"/>
  <c r="GO6" i="1"/>
  <c r="GO7" i="1"/>
  <c r="GO8" i="1"/>
  <c r="GO9" i="1"/>
  <c r="GO10" i="1"/>
  <c r="GO11" i="1"/>
  <c r="GO12" i="1"/>
  <c r="GO13" i="1"/>
  <c r="GO14" i="1"/>
  <c r="GO15" i="1"/>
  <c r="GO16" i="1"/>
  <c r="GO17" i="1"/>
  <c r="GO18" i="1"/>
  <c r="GO19" i="1"/>
  <c r="GO20" i="1"/>
  <c r="GO21" i="1"/>
  <c r="GO22" i="1"/>
  <c r="GO23" i="1"/>
  <c r="GO24" i="1"/>
  <c r="GO25" i="1"/>
  <c r="GO26" i="1"/>
  <c r="GO27" i="1"/>
  <c r="GO28" i="1"/>
  <c r="GO29" i="1"/>
  <c r="GO30" i="1"/>
  <c r="GO31" i="1"/>
  <c r="GO32" i="1"/>
  <c r="GO33" i="1"/>
  <c r="GO34" i="1"/>
  <c r="GO35" i="1"/>
  <c r="GO36" i="1"/>
  <c r="GO37" i="1"/>
  <c r="GO38" i="1"/>
  <c r="GO39" i="1"/>
  <c r="GO40" i="1"/>
  <c r="GO41" i="1"/>
  <c r="GO42" i="1"/>
  <c r="GO43" i="1"/>
  <c r="GO44" i="1"/>
  <c r="GO45" i="1"/>
  <c r="GO46" i="1"/>
  <c r="GO47" i="1"/>
  <c r="GO48" i="1"/>
  <c r="GO49" i="1"/>
  <c r="GO50" i="1"/>
  <c r="GO51" i="1"/>
  <c r="GO52" i="1"/>
  <c r="GO53" i="1"/>
  <c r="GO54" i="1"/>
  <c r="GO55" i="1"/>
  <c r="GO56" i="1"/>
  <c r="GO57" i="1"/>
  <c r="GO58" i="1"/>
  <c r="GO59" i="1"/>
  <c r="GO60" i="1"/>
  <c r="GO61" i="1"/>
  <c r="GO62" i="1"/>
  <c r="GO63" i="1"/>
  <c r="GO64" i="1"/>
  <c r="GO65" i="1"/>
  <c r="GO66" i="1"/>
  <c r="GO67" i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2" i="1"/>
  <c r="OS10" i="2"/>
  <c r="OS11" i="2"/>
  <c r="OS12" i="2"/>
  <c r="OS13" i="2"/>
  <c r="OS14" i="2"/>
  <c r="OS15" i="2"/>
  <c r="OS16" i="2"/>
  <c r="OS17" i="2"/>
  <c r="OS18" i="2"/>
  <c r="OS19" i="2"/>
  <c r="OS20" i="2"/>
  <c r="OS21" i="2"/>
  <c r="OS22" i="2"/>
  <c r="OS23" i="2"/>
  <c r="OS24" i="2"/>
  <c r="OS25" i="2"/>
  <c r="OS26" i="2"/>
  <c r="OS27" i="2"/>
  <c r="OS28" i="2"/>
  <c r="OS29" i="2"/>
  <c r="OS30" i="2"/>
  <c r="OS31" i="2"/>
  <c r="OS32" i="2"/>
  <c r="OS33" i="2"/>
  <c r="OS34" i="2"/>
  <c r="OS35" i="2"/>
  <c r="OS36" i="2"/>
  <c r="OS37" i="2"/>
  <c r="OS38" i="2"/>
  <c r="OS39" i="2"/>
  <c r="OS40" i="2"/>
  <c r="OS41" i="2"/>
  <c r="OS42" i="2"/>
  <c r="OS43" i="2"/>
  <c r="OS44" i="2"/>
  <c r="OS45" i="2"/>
  <c r="OS46" i="2"/>
  <c r="OS47" i="2"/>
  <c r="OS48" i="2"/>
  <c r="OS49" i="2"/>
  <c r="OS50" i="2"/>
  <c r="OS51" i="2"/>
  <c r="OS52" i="2"/>
  <c r="OS53" i="2"/>
  <c r="OS54" i="2"/>
  <c r="OS55" i="2"/>
  <c r="OS56" i="2"/>
  <c r="OS57" i="2"/>
  <c r="OS58" i="2"/>
  <c r="OS59" i="2"/>
  <c r="OS60" i="2"/>
  <c r="OS61" i="2"/>
  <c r="OS62" i="2"/>
  <c r="OS63" i="2"/>
  <c r="OS64" i="2"/>
  <c r="OS65" i="2"/>
  <c r="OS66" i="2"/>
  <c r="OS67" i="2"/>
  <c r="OS68" i="2"/>
  <c r="OS69" i="2"/>
  <c r="OS70" i="2"/>
  <c r="OS71" i="2"/>
  <c r="OS72" i="2"/>
  <c r="OS73" i="2"/>
  <c r="OS74" i="2"/>
  <c r="OS75" i="2"/>
  <c r="OS76" i="2"/>
  <c r="OS77" i="2"/>
  <c r="OS78" i="2"/>
  <c r="OS79" i="2"/>
  <c r="OS80" i="2"/>
  <c r="OS81" i="2"/>
  <c r="OS82" i="2"/>
  <c r="OS83" i="2"/>
  <c r="OS84" i="2"/>
  <c r="OS85" i="2"/>
  <c r="OS86" i="2"/>
  <c r="OS87" i="2"/>
  <c r="OS88" i="2"/>
  <c r="OS89" i="2"/>
  <c r="OS90" i="2"/>
  <c r="OS91" i="2"/>
  <c r="OS92" i="2"/>
  <c r="OS93" i="2"/>
  <c r="OS94" i="2"/>
  <c r="OS95" i="2"/>
  <c r="OS96" i="2"/>
  <c r="OS97" i="2"/>
  <c r="OS98" i="2"/>
  <c r="OS99" i="2"/>
  <c r="OS100" i="2"/>
  <c r="OS101" i="2"/>
  <c r="OS3" i="2"/>
  <c r="OS4" i="2"/>
  <c r="OS5" i="2"/>
  <c r="OS6" i="2"/>
  <c r="OS7" i="2"/>
  <c r="OS8" i="2"/>
  <c r="OS9" i="2"/>
  <c r="OS2" i="2"/>
  <c r="OT3" i="2"/>
  <c r="OT4" i="2"/>
  <c r="OT5" i="2"/>
  <c r="OT6" i="2"/>
  <c r="OT7" i="2"/>
  <c r="OT8" i="2"/>
  <c r="OT9" i="2"/>
  <c r="OT10" i="2"/>
  <c r="OT11" i="2"/>
  <c r="OT12" i="2"/>
  <c r="OT13" i="2"/>
  <c r="OT14" i="2"/>
  <c r="OT15" i="2"/>
  <c r="OT16" i="2"/>
  <c r="OT17" i="2"/>
  <c r="OT18" i="2"/>
  <c r="OT19" i="2"/>
  <c r="OT20" i="2"/>
  <c r="OT21" i="2"/>
  <c r="OT22" i="2"/>
  <c r="OT23" i="2"/>
  <c r="OT24" i="2"/>
  <c r="OT25" i="2"/>
  <c r="OT26" i="2"/>
  <c r="OT27" i="2"/>
  <c r="OT28" i="2"/>
  <c r="OT29" i="2"/>
  <c r="OT30" i="2"/>
  <c r="OT31" i="2"/>
  <c r="OT32" i="2"/>
  <c r="OT33" i="2"/>
  <c r="OT34" i="2"/>
  <c r="OT35" i="2"/>
  <c r="OT36" i="2"/>
  <c r="OT37" i="2"/>
  <c r="OT38" i="2"/>
  <c r="OT39" i="2"/>
  <c r="OT40" i="2"/>
  <c r="OT41" i="2"/>
  <c r="OT42" i="2"/>
  <c r="OT43" i="2"/>
  <c r="OT44" i="2"/>
  <c r="OT45" i="2"/>
  <c r="OT46" i="2"/>
  <c r="OT47" i="2"/>
  <c r="OT48" i="2"/>
  <c r="OT49" i="2"/>
  <c r="OT50" i="2"/>
  <c r="OT51" i="2"/>
  <c r="OT52" i="2"/>
  <c r="OT53" i="2"/>
  <c r="OT54" i="2"/>
  <c r="OT55" i="2"/>
  <c r="OT56" i="2"/>
  <c r="OT57" i="2"/>
  <c r="OT58" i="2"/>
  <c r="OT59" i="2"/>
  <c r="OT60" i="2"/>
  <c r="OT61" i="2"/>
  <c r="OT62" i="2"/>
  <c r="OT63" i="2"/>
  <c r="OT64" i="2"/>
  <c r="OT65" i="2"/>
  <c r="OT66" i="2"/>
  <c r="OT67" i="2"/>
  <c r="OT68" i="2"/>
  <c r="OT69" i="2"/>
  <c r="OT70" i="2"/>
  <c r="OT71" i="2"/>
  <c r="OT72" i="2"/>
  <c r="OT73" i="2"/>
  <c r="OT74" i="2"/>
  <c r="OT75" i="2"/>
  <c r="OT76" i="2"/>
  <c r="OT77" i="2"/>
  <c r="OT78" i="2"/>
  <c r="OT79" i="2"/>
  <c r="OT80" i="2"/>
  <c r="OT81" i="2"/>
  <c r="OT82" i="2"/>
  <c r="OT83" i="2"/>
  <c r="OT84" i="2"/>
  <c r="OT85" i="2"/>
  <c r="OT86" i="2"/>
  <c r="OT87" i="2"/>
  <c r="OT88" i="2"/>
  <c r="OT89" i="2"/>
  <c r="OT90" i="2"/>
  <c r="OT91" i="2"/>
  <c r="OT92" i="2"/>
  <c r="OT93" i="2"/>
  <c r="OT94" i="2"/>
  <c r="OT95" i="2"/>
  <c r="OT96" i="2"/>
  <c r="OT97" i="2"/>
  <c r="OT98" i="2"/>
  <c r="OT99" i="2"/>
  <c r="OT100" i="2"/>
  <c r="OT101" i="2"/>
  <c r="OT2" i="2"/>
  <c r="GP3" i="1"/>
  <c r="GP4" i="1"/>
  <c r="GP5" i="1"/>
  <c r="GP6" i="1"/>
  <c r="GP7" i="1"/>
  <c r="GP8" i="1"/>
  <c r="GP9" i="1"/>
  <c r="GP10" i="1"/>
  <c r="GP11" i="1"/>
  <c r="GP12" i="1"/>
  <c r="GP13" i="1"/>
  <c r="GP14" i="1"/>
  <c r="GP15" i="1"/>
  <c r="GP16" i="1"/>
  <c r="GP17" i="1"/>
  <c r="GP18" i="1"/>
  <c r="GP19" i="1"/>
  <c r="GP20" i="1"/>
  <c r="GP21" i="1"/>
  <c r="GP22" i="1"/>
  <c r="GP23" i="1"/>
  <c r="GP24" i="1"/>
  <c r="GP25" i="1"/>
  <c r="GP26" i="1"/>
  <c r="GP27" i="1"/>
  <c r="GP28" i="1"/>
  <c r="GP29" i="1"/>
  <c r="GP30" i="1"/>
  <c r="GP31" i="1"/>
  <c r="GP32" i="1"/>
  <c r="GP33" i="1"/>
  <c r="GP34" i="1"/>
  <c r="GP35" i="1"/>
  <c r="GP36" i="1"/>
  <c r="GP37" i="1"/>
  <c r="GP38" i="1"/>
  <c r="GP39" i="1"/>
  <c r="GP40" i="1"/>
  <c r="GP41" i="1"/>
  <c r="GP42" i="1"/>
  <c r="GP43" i="1"/>
  <c r="GP44" i="1"/>
  <c r="GP45" i="1"/>
  <c r="GP46" i="1"/>
  <c r="GP47" i="1"/>
  <c r="GP48" i="1"/>
  <c r="GP49" i="1"/>
  <c r="GP50" i="1"/>
  <c r="GP51" i="1"/>
  <c r="GP52" i="1"/>
  <c r="GP53" i="1"/>
  <c r="GP54" i="1"/>
  <c r="GP55" i="1"/>
  <c r="GP56" i="1"/>
  <c r="GP57" i="1"/>
  <c r="GP58" i="1"/>
  <c r="GP59" i="1"/>
  <c r="GP60" i="1"/>
  <c r="GP61" i="1"/>
  <c r="GP62" i="1"/>
  <c r="GP63" i="1"/>
  <c r="GP64" i="1"/>
  <c r="GP65" i="1"/>
  <c r="GP66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2" i="1"/>
  <c r="V104" i="2"/>
  <c r="V105" i="2" s="1"/>
  <c r="H104" i="1"/>
  <c r="H105" i="1" s="1"/>
  <c r="N104" i="1"/>
  <c r="N105" i="1" s="1"/>
  <c r="CL104" i="1"/>
  <c r="CL105" i="1" s="1"/>
  <c r="DB104" i="1"/>
  <c r="DB105" i="1" s="1"/>
  <c r="DW104" i="1"/>
  <c r="DW105" i="1" s="1"/>
  <c r="GJ104" i="1"/>
  <c r="GJ105" i="1" s="1"/>
  <c r="CA104" i="2"/>
  <c r="CA105" i="2" s="1"/>
  <c r="DO104" i="2"/>
  <c r="DO105" i="2" s="1"/>
  <c r="EI104" i="2"/>
  <c r="EI105" i="2" s="1"/>
  <c r="HC104" i="2"/>
  <c r="HC105" i="2" s="1"/>
  <c r="HH104" i="2"/>
  <c r="HH105" i="2" s="1"/>
  <c r="II104" i="2"/>
  <c r="II105" i="2" s="1"/>
  <c r="IR104" i="2"/>
  <c r="IR105" i="2" s="1"/>
  <c r="JM104" i="2"/>
  <c r="JM105" i="2" s="1"/>
  <c r="KA104" i="2"/>
  <c r="KA105" i="2" s="1"/>
  <c r="KB104" i="2"/>
  <c r="KB105" i="2" s="1"/>
  <c r="KV104" i="2"/>
  <c r="KV105" i="2" s="1"/>
  <c r="KY104" i="2"/>
  <c r="KY105" i="2" s="1"/>
  <c r="LM104" i="2"/>
  <c r="LM105" i="2" s="1"/>
  <c r="NJ104" i="2"/>
  <c r="NJ105" i="2" s="1"/>
  <c r="NY104" i="2"/>
  <c r="NY105" i="2" s="1"/>
  <c r="AK104" i="1"/>
  <c r="AK105" i="1" s="1"/>
  <c r="BM104" i="1"/>
  <c r="BM105" i="1" s="1"/>
  <c r="BY104" i="1"/>
  <c r="BY105" i="1" s="1"/>
  <c r="EC104" i="1"/>
  <c r="EC105" i="1" s="1"/>
  <c r="FR104" i="2"/>
  <c r="FR105" i="2" s="1"/>
  <c r="GD104" i="2"/>
  <c r="GD105" i="2" s="1"/>
  <c r="NS104" i="2"/>
  <c r="NS105" i="2" s="1"/>
  <c r="AS104" i="1"/>
  <c r="AS105" i="1" s="1"/>
  <c r="CT104" i="1"/>
  <c r="CT105" i="1" s="1"/>
  <c r="JK104" i="2"/>
  <c r="JK105" i="2" s="1"/>
  <c r="CH104" i="2"/>
  <c r="CH105" i="2" s="1"/>
  <c r="CG104" i="2"/>
  <c r="CG105" i="2" s="1"/>
  <c r="BU104" i="2"/>
  <c r="BU105" i="2" s="1"/>
  <c r="FX104" i="2"/>
  <c r="FX105" i="2" s="1"/>
  <c r="P104" i="1"/>
  <c r="P105" i="1" s="1"/>
  <c r="EN104" i="2"/>
  <c r="EN105" i="2" s="1"/>
  <c r="EL104" i="2"/>
  <c r="EL105" i="2" s="1"/>
  <c r="LC104" i="2"/>
  <c r="LC105" i="2" s="1"/>
  <c r="MT104" i="2"/>
  <c r="MT105" i="2" s="1"/>
  <c r="NB104" i="2"/>
  <c r="NB105" i="2" s="1"/>
  <c r="OD104" i="2"/>
  <c r="OD105" i="2" s="1"/>
  <c r="OO104" i="2"/>
  <c r="OO105" i="2" s="1"/>
  <c r="OP104" i="2"/>
  <c r="OP105" i="2" s="1"/>
  <c r="OQ104" i="2"/>
  <c r="OQ105" i="2" s="1"/>
  <c r="B104" i="1"/>
  <c r="B105" i="1" s="1"/>
  <c r="C104" i="1"/>
  <c r="C105" i="1" s="1"/>
  <c r="D104" i="1"/>
  <c r="D105" i="1" s="1"/>
  <c r="E104" i="1"/>
  <c r="E105" i="1" s="1"/>
  <c r="F104" i="1"/>
  <c r="F105" i="1" s="1"/>
  <c r="G104" i="1"/>
  <c r="G105" i="1" s="1"/>
  <c r="I104" i="1"/>
  <c r="I105" i="1" s="1"/>
  <c r="J104" i="1"/>
  <c r="J105" i="1" s="1"/>
  <c r="K104" i="1"/>
  <c r="K105" i="1" s="1"/>
  <c r="L104" i="1"/>
  <c r="L105" i="1" s="1"/>
  <c r="M104" i="1"/>
  <c r="M105" i="1" s="1"/>
  <c r="O104" i="1"/>
  <c r="O105" i="1" s="1"/>
  <c r="Q104" i="1"/>
  <c r="Q105" i="1" s="1"/>
  <c r="R104" i="1"/>
  <c r="R105" i="1" s="1"/>
  <c r="S104" i="1"/>
  <c r="S105" i="1" s="1"/>
  <c r="T104" i="1"/>
  <c r="T105" i="1" s="1"/>
  <c r="U104" i="1"/>
  <c r="U105" i="1" s="1"/>
  <c r="V104" i="1"/>
  <c r="V105" i="1" s="1"/>
  <c r="W104" i="1"/>
  <c r="W105" i="1" s="1"/>
  <c r="X104" i="1"/>
  <c r="X105" i="1" s="1"/>
  <c r="Y104" i="1"/>
  <c r="Y105" i="1" s="1"/>
  <c r="Z104" i="1"/>
  <c r="Z105" i="1" s="1"/>
  <c r="AA104" i="1"/>
  <c r="AA105" i="1" s="1"/>
  <c r="AB104" i="1"/>
  <c r="AB105" i="1" s="1"/>
  <c r="AC104" i="1"/>
  <c r="AC105" i="1" s="1"/>
  <c r="AD104" i="1"/>
  <c r="AD105" i="1" s="1"/>
  <c r="AE104" i="1"/>
  <c r="AF104" i="1"/>
  <c r="AF105" i="1" s="1"/>
  <c r="AG104" i="1"/>
  <c r="AG105" i="1" s="1"/>
  <c r="AH104" i="1"/>
  <c r="AH105" i="1" s="1"/>
  <c r="AI104" i="1"/>
  <c r="AI105" i="1" s="1"/>
  <c r="AJ104" i="1"/>
  <c r="AJ105" i="1" s="1"/>
  <c r="AM104" i="1"/>
  <c r="AM105" i="1" s="1"/>
  <c r="AN104" i="1"/>
  <c r="AN105" i="1" s="1"/>
  <c r="AO104" i="1"/>
  <c r="AO105" i="1" s="1"/>
  <c r="AP104" i="1"/>
  <c r="AP105" i="1" s="1"/>
  <c r="AQ104" i="1"/>
  <c r="AQ105" i="1" s="1"/>
  <c r="AR104" i="1"/>
  <c r="AR105" i="1" s="1"/>
  <c r="AT104" i="1"/>
  <c r="AT105" i="1" s="1"/>
  <c r="AU104" i="1"/>
  <c r="AU105" i="1" s="1"/>
  <c r="AV104" i="1"/>
  <c r="AV105" i="1" s="1"/>
  <c r="AW104" i="1"/>
  <c r="AW105" i="1" s="1"/>
  <c r="AX104" i="1"/>
  <c r="AX105" i="1" s="1"/>
  <c r="AY104" i="1"/>
  <c r="AY105" i="1" s="1"/>
  <c r="AZ104" i="1"/>
  <c r="AZ105" i="1" s="1"/>
  <c r="BA104" i="1"/>
  <c r="BA105" i="1" s="1"/>
  <c r="BB104" i="1"/>
  <c r="BB105" i="1" s="1"/>
  <c r="BC104" i="1"/>
  <c r="BC105" i="1" s="1"/>
  <c r="BD104" i="1"/>
  <c r="BD105" i="1" s="1"/>
  <c r="BE104" i="1"/>
  <c r="BE105" i="1" s="1"/>
  <c r="BF104" i="1"/>
  <c r="BF105" i="1" s="1"/>
  <c r="BG104" i="1"/>
  <c r="BG105" i="1" s="1"/>
  <c r="BH104" i="1"/>
  <c r="BH105" i="1" s="1"/>
  <c r="BI104" i="1"/>
  <c r="BI105" i="1" s="1"/>
  <c r="BJ104" i="1"/>
  <c r="BJ105" i="1" s="1"/>
  <c r="BK104" i="1"/>
  <c r="BK105" i="1" s="1"/>
  <c r="BL104" i="1"/>
  <c r="BL105" i="1" s="1"/>
  <c r="BN104" i="1"/>
  <c r="BN105" i="1" s="1"/>
  <c r="BO104" i="1"/>
  <c r="BO105" i="1" s="1"/>
  <c r="BP104" i="1"/>
  <c r="BP105" i="1" s="1"/>
  <c r="BQ104" i="1"/>
  <c r="BQ105" i="1" s="1"/>
  <c r="BR104" i="1"/>
  <c r="BR105" i="1" s="1"/>
  <c r="BS104" i="1"/>
  <c r="BS105" i="1" s="1"/>
  <c r="BT104" i="1"/>
  <c r="BT105" i="1" s="1"/>
  <c r="BU104" i="1"/>
  <c r="BU105" i="1" s="1"/>
  <c r="BV104" i="1"/>
  <c r="BV105" i="1" s="1"/>
  <c r="BW104" i="1"/>
  <c r="BW105" i="1" s="1"/>
  <c r="BX104" i="1"/>
  <c r="BX105" i="1" s="1"/>
  <c r="BZ104" i="1"/>
  <c r="BZ105" i="1" s="1"/>
  <c r="CA104" i="1"/>
  <c r="CA105" i="1" s="1"/>
  <c r="CB104" i="1"/>
  <c r="CB105" i="1" s="1"/>
  <c r="CC104" i="1"/>
  <c r="CC105" i="1" s="1"/>
  <c r="CD104" i="1"/>
  <c r="CD105" i="1" s="1"/>
  <c r="CE104" i="1"/>
  <c r="CE105" i="1" s="1"/>
  <c r="CF104" i="1"/>
  <c r="CF105" i="1" s="1"/>
  <c r="CG104" i="1"/>
  <c r="CG105" i="1" s="1"/>
  <c r="CH104" i="1"/>
  <c r="CH105" i="1" s="1"/>
  <c r="CI104" i="1"/>
  <c r="CI105" i="1" s="1"/>
  <c r="CJ104" i="1"/>
  <c r="CJ105" i="1" s="1"/>
  <c r="CK104" i="1"/>
  <c r="CK105" i="1" s="1"/>
  <c r="CM104" i="1"/>
  <c r="CM105" i="1" s="1"/>
  <c r="CN104" i="1"/>
  <c r="CN105" i="1" s="1"/>
  <c r="CO104" i="1"/>
  <c r="CO105" i="1" s="1"/>
  <c r="CP104" i="1"/>
  <c r="CP105" i="1" s="1"/>
  <c r="CQ104" i="1"/>
  <c r="CQ105" i="1" s="1"/>
  <c r="CR104" i="1"/>
  <c r="CR105" i="1" s="1"/>
  <c r="CS104" i="1"/>
  <c r="CS105" i="1" s="1"/>
  <c r="CU104" i="1"/>
  <c r="CU105" i="1" s="1"/>
  <c r="CV104" i="1"/>
  <c r="CV105" i="1" s="1"/>
  <c r="CW104" i="1"/>
  <c r="CW105" i="1" s="1"/>
  <c r="CX104" i="1"/>
  <c r="CX105" i="1" s="1"/>
  <c r="CY104" i="1"/>
  <c r="CY105" i="1" s="1"/>
  <c r="CZ104" i="1"/>
  <c r="CZ105" i="1" s="1"/>
  <c r="DA104" i="1"/>
  <c r="DA105" i="1" s="1"/>
  <c r="DC104" i="1"/>
  <c r="DC105" i="1" s="1"/>
  <c r="DD104" i="1"/>
  <c r="DD105" i="1" s="1"/>
  <c r="DE104" i="1"/>
  <c r="DE105" i="1" s="1"/>
  <c r="DF104" i="1"/>
  <c r="DF105" i="1" s="1"/>
  <c r="DG104" i="1"/>
  <c r="DG105" i="1" s="1"/>
  <c r="DH104" i="1"/>
  <c r="DH105" i="1" s="1"/>
  <c r="DI104" i="1"/>
  <c r="DI105" i="1" s="1"/>
  <c r="DJ104" i="1"/>
  <c r="DJ105" i="1" s="1"/>
  <c r="DK104" i="1"/>
  <c r="DK105" i="1" s="1"/>
  <c r="DL104" i="1"/>
  <c r="DL105" i="1" s="1"/>
  <c r="DM104" i="1"/>
  <c r="DM105" i="1" s="1"/>
  <c r="DN104" i="1"/>
  <c r="DN105" i="1" s="1"/>
  <c r="DO104" i="1"/>
  <c r="DO105" i="1" s="1"/>
  <c r="DP104" i="1"/>
  <c r="DP105" i="1" s="1"/>
  <c r="DQ104" i="1"/>
  <c r="DQ105" i="1" s="1"/>
  <c r="DR104" i="1"/>
  <c r="DR105" i="1" s="1"/>
  <c r="DS104" i="1"/>
  <c r="DS105" i="1" s="1"/>
  <c r="DT104" i="1"/>
  <c r="DT105" i="1" s="1"/>
  <c r="DU104" i="1"/>
  <c r="DU105" i="1" s="1"/>
  <c r="DV104" i="1"/>
  <c r="DV105" i="1" s="1"/>
  <c r="DX104" i="1"/>
  <c r="DX105" i="1" s="1"/>
  <c r="DY104" i="1"/>
  <c r="DY105" i="1" s="1"/>
  <c r="DZ104" i="1"/>
  <c r="DZ105" i="1" s="1"/>
  <c r="EA104" i="1"/>
  <c r="EA105" i="1" s="1"/>
  <c r="EB104" i="1"/>
  <c r="EB105" i="1" s="1"/>
  <c r="ED104" i="1"/>
  <c r="ED105" i="1" s="1"/>
  <c r="EE104" i="1"/>
  <c r="EE105" i="1" s="1"/>
  <c r="EF104" i="1"/>
  <c r="EF105" i="1" s="1"/>
  <c r="EG104" i="1"/>
  <c r="EG105" i="1" s="1"/>
  <c r="EH104" i="1"/>
  <c r="EH105" i="1" s="1"/>
  <c r="EI104" i="1"/>
  <c r="EI105" i="1" s="1"/>
  <c r="EJ104" i="1"/>
  <c r="EJ105" i="1" s="1"/>
  <c r="EK104" i="1"/>
  <c r="EK105" i="1" s="1"/>
  <c r="EL104" i="1"/>
  <c r="EL105" i="1" s="1"/>
  <c r="EM104" i="1"/>
  <c r="EM105" i="1" s="1"/>
  <c r="EN104" i="1"/>
  <c r="EN105" i="1" s="1"/>
  <c r="EO104" i="1"/>
  <c r="EO105" i="1" s="1"/>
  <c r="EP104" i="1"/>
  <c r="EP105" i="1" s="1"/>
  <c r="EQ104" i="1"/>
  <c r="EQ105" i="1" s="1"/>
  <c r="ER104" i="1"/>
  <c r="ER105" i="1" s="1"/>
  <c r="ES104" i="1"/>
  <c r="ES105" i="1" s="1"/>
  <c r="ET104" i="1"/>
  <c r="ET105" i="1" s="1"/>
  <c r="EU104" i="1"/>
  <c r="EU105" i="1" s="1"/>
  <c r="EV104" i="1"/>
  <c r="EV105" i="1" s="1"/>
  <c r="EW104" i="1"/>
  <c r="EW105" i="1" s="1"/>
  <c r="EX104" i="1"/>
  <c r="EX105" i="1" s="1"/>
  <c r="EY104" i="1"/>
  <c r="EY105" i="1" s="1"/>
  <c r="EZ104" i="1"/>
  <c r="EZ105" i="1" s="1"/>
  <c r="FA104" i="1"/>
  <c r="FA105" i="1" s="1"/>
  <c r="FB104" i="1"/>
  <c r="FB105" i="1" s="1"/>
  <c r="FC104" i="1"/>
  <c r="FC105" i="1" s="1"/>
  <c r="FD104" i="1"/>
  <c r="FD105" i="1" s="1"/>
  <c r="FE104" i="1"/>
  <c r="FE105" i="1" s="1"/>
  <c r="FF104" i="1"/>
  <c r="FF105" i="1" s="1"/>
  <c r="FG104" i="1"/>
  <c r="FG105" i="1" s="1"/>
  <c r="FH104" i="1"/>
  <c r="FH105" i="1" s="1"/>
  <c r="FI104" i="1"/>
  <c r="FI105" i="1" s="1"/>
  <c r="FJ104" i="1"/>
  <c r="FJ105" i="1" s="1"/>
  <c r="FK104" i="1"/>
  <c r="FK105" i="1" s="1"/>
  <c r="FL104" i="1"/>
  <c r="FL105" i="1" s="1"/>
  <c r="FM104" i="1"/>
  <c r="FM105" i="1" s="1"/>
  <c r="FN104" i="1"/>
  <c r="FN105" i="1" s="1"/>
  <c r="FO104" i="1"/>
  <c r="FO105" i="1" s="1"/>
  <c r="FP104" i="1"/>
  <c r="FP105" i="1" s="1"/>
  <c r="FQ104" i="1"/>
  <c r="FQ105" i="1" s="1"/>
  <c r="FR104" i="1"/>
  <c r="FR105" i="1" s="1"/>
  <c r="FS104" i="1"/>
  <c r="FS105" i="1" s="1"/>
  <c r="FT104" i="1"/>
  <c r="FT105" i="1" s="1"/>
  <c r="FU104" i="1"/>
  <c r="FU105" i="1" s="1"/>
  <c r="FV104" i="1"/>
  <c r="FV105" i="1" s="1"/>
  <c r="FW104" i="1"/>
  <c r="FW105" i="1" s="1"/>
  <c r="FX104" i="1"/>
  <c r="FX105" i="1" s="1"/>
  <c r="FY104" i="1"/>
  <c r="FY105" i="1" s="1"/>
  <c r="FZ104" i="1"/>
  <c r="FZ105" i="1" s="1"/>
  <c r="GA104" i="1"/>
  <c r="GA105" i="1" s="1"/>
  <c r="GB104" i="1"/>
  <c r="GB105" i="1" s="1"/>
  <c r="GC104" i="1"/>
  <c r="GC105" i="1" s="1"/>
  <c r="GD104" i="1"/>
  <c r="GD105" i="1" s="1"/>
  <c r="GE104" i="1"/>
  <c r="GE105" i="1" s="1"/>
  <c r="GF104" i="1"/>
  <c r="GF105" i="1" s="1"/>
  <c r="GG104" i="1"/>
  <c r="GG105" i="1" s="1"/>
  <c r="GH104" i="1"/>
  <c r="GH105" i="1" s="1"/>
  <c r="GI104" i="1"/>
  <c r="GI105" i="1" s="1"/>
  <c r="GK104" i="1"/>
  <c r="GK105" i="1" s="1"/>
  <c r="GL104" i="1"/>
  <c r="GL105" i="1" s="1"/>
  <c r="AE105" i="1"/>
  <c r="GM104" i="1"/>
  <c r="GM105" i="1" s="1"/>
  <c r="C104" i="2"/>
  <c r="C105" i="2" s="1"/>
  <c r="D104" i="2"/>
  <c r="D105" i="2" s="1"/>
  <c r="E104" i="2"/>
  <c r="E105" i="2" s="1"/>
  <c r="F104" i="2"/>
  <c r="F105" i="2" s="1"/>
  <c r="G104" i="2"/>
  <c r="G105" i="2" s="1"/>
  <c r="H104" i="2"/>
  <c r="H105" i="2" s="1"/>
  <c r="I104" i="2"/>
  <c r="I105" i="2" s="1"/>
  <c r="J104" i="2"/>
  <c r="J105" i="2" s="1"/>
  <c r="K104" i="2"/>
  <c r="K105" i="2" s="1"/>
  <c r="L104" i="2"/>
  <c r="L105" i="2" s="1"/>
  <c r="M104" i="2"/>
  <c r="M105" i="2" s="1"/>
  <c r="N104" i="2"/>
  <c r="N105" i="2" s="1"/>
  <c r="O104" i="2"/>
  <c r="O105" i="2" s="1"/>
  <c r="P104" i="2"/>
  <c r="P105" i="2" s="1"/>
  <c r="Q104" i="2"/>
  <c r="Q105" i="2" s="1"/>
  <c r="R104" i="2"/>
  <c r="R105" i="2" s="1"/>
  <c r="S104" i="2"/>
  <c r="S105" i="2" s="1"/>
  <c r="T104" i="2"/>
  <c r="T105" i="2" s="1"/>
  <c r="U104" i="2"/>
  <c r="U105" i="2" s="1"/>
  <c r="W104" i="2"/>
  <c r="W105" i="2" s="1"/>
  <c r="X104" i="2"/>
  <c r="X105" i="2" s="1"/>
  <c r="Y104" i="2"/>
  <c r="Y105" i="2" s="1"/>
  <c r="Z104" i="2"/>
  <c r="Z105" i="2" s="1"/>
  <c r="AA104" i="2"/>
  <c r="AA105" i="2" s="1"/>
  <c r="AB104" i="2"/>
  <c r="AB105" i="2" s="1"/>
  <c r="AC104" i="2"/>
  <c r="AC105" i="2" s="1"/>
  <c r="AD104" i="2"/>
  <c r="AD105" i="2" s="1"/>
  <c r="AE104" i="2"/>
  <c r="AE105" i="2" s="1"/>
  <c r="AF104" i="2"/>
  <c r="AF105" i="2" s="1"/>
  <c r="AG104" i="2"/>
  <c r="AG105" i="2" s="1"/>
  <c r="AH104" i="2"/>
  <c r="AH105" i="2" s="1"/>
  <c r="AI104" i="2"/>
  <c r="AI105" i="2" s="1"/>
  <c r="AJ104" i="2"/>
  <c r="AJ105" i="2" s="1"/>
  <c r="AK104" i="2"/>
  <c r="AK105" i="2" s="1"/>
  <c r="AL104" i="2"/>
  <c r="AL105" i="2" s="1"/>
  <c r="AM104" i="2"/>
  <c r="AM105" i="2" s="1"/>
  <c r="AN104" i="2"/>
  <c r="AN105" i="2" s="1"/>
  <c r="AO104" i="2"/>
  <c r="AO105" i="2" s="1"/>
  <c r="AP104" i="2"/>
  <c r="AP105" i="2" s="1"/>
  <c r="AQ104" i="2"/>
  <c r="AQ105" i="2" s="1"/>
  <c r="AR104" i="2"/>
  <c r="AR105" i="2" s="1"/>
  <c r="AS104" i="2"/>
  <c r="AS105" i="2" s="1"/>
  <c r="AT104" i="2"/>
  <c r="AT105" i="2" s="1"/>
  <c r="AU104" i="2"/>
  <c r="AU105" i="2" s="1"/>
  <c r="AV104" i="2"/>
  <c r="AV105" i="2" s="1"/>
  <c r="AW104" i="2"/>
  <c r="AW105" i="2" s="1"/>
  <c r="AX104" i="2"/>
  <c r="AX105" i="2" s="1"/>
  <c r="AY104" i="2"/>
  <c r="AY105" i="2" s="1"/>
  <c r="AZ104" i="2"/>
  <c r="AZ105" i="2" s="1"/>
  <c r="BA104" i="2"/>
  <c r="BA105" i="2" s="1"/>
  <c r="BB104" i="2"/>
  <c r="BB105" i="2" s="1"/>
  <c r="BC104" i="2"/>
  <c r="BC105" i="2" s="1"/>
  <c r="BD104" i="2"/>
  <c r="BD105" i="2" s="1"/>
  <c r="BE104" i="2"/>
  <c r="BE105" i="2" s="1"/>
  <c r="BF104" i="2"/>
  <c r="BF105" i="2" s="1"/>
  <c r="BG104" i="2"/>
  <c r="BG105" i="2" s="1"/>
  <c r="BH104" i="2"/>
  <c r="BH105" i="2" s="1"/>
  <c r="BI104" i="2"/>
  <c r="BI105" i="2" s="1"/>
  <c r="BJ104" i="2"/>
  <c r="BJ105" i="2" s="1"/>
  <c r="BK104" i="2"/>
  <c r="BK105" i="2" s="1"/>
  <c r="BL104" i="2"/>
  <c r="BL105" i="2" s="1"/>
  <c r="BM104" i="2"/>
  <c r="BM105" i="2" s="1"/>
  <c r="BN104" i="2"/>
  <c r="BN105" i="2" s="1"/>
  <c r="BO104" i="2"/>
  <c r="BO105" i="2" s="1"/>
  <c r="BP104" i="2"/>
  <c r="BP105" i="2" s="1"/>
  <c r="BQ104" i="2"/>
  <c r="BQ105" i="2" s="1"/>
  <c r="BR104" i="2"/>
  <c r="BR105" i="2" s="1"/>
  <c r="BS104" i="2"/>
  <c r="BS105" i="2" s="1"/>
  <c r="BT104" i="2"/>
  <c r="BT105" i="2" s="1"/>
  <c r="BV104" i="2"/>
  <c r="BV105" i="2" s="1"/>
  <c r="BW104" i="2"/>
  <c r="BW105" i="2" s="1"/>
  <c r="BX104" i="2"/>
  <c r="BX105" i="2" s="1"/>
  <c r="BY104" i="2"/>
  <c r="BY105" i="2" s="1"/>
  <c r="BZ104" i="2"/>
  <c r="BZ105" i="2" s="1"/>
  <c r="CB104" i="2"/>
  <c r="CB105" i="2" s="1"/>
  <c r="CC104" i="2"/>
  <c r="CC105" i="2" s="1"/>
  <c r="CD104" i="2"/>
  <c r="CD105" i="2" s="1"/>
  <c r="CE104" i="2"/>
  <c r="CE105" i="2" s="1"/>
  <c r="CF104" i="2"/>
  <c r="CF105" i="2" s="1"/>
  <c r="CI104" i="2"/>
  <c r="CI105" i="2" s="1"/>
  <c r="CJ104" i="2"/>
  <c r="CJ105" i="2" s="1"/>
  <c r="CK104" i="2"/>
  <c r="CK105" i="2" s="1"/>
  <c r="CL104" i="2"/>
  <c r="CL105" i="2" s="1"/>
  <c r="CM104" i="2"/>
  <c r="CM105" i="2" s="1"/>
  <c r="CN104" i="2"/>
  <c r="CN105" i="2" s="1"/>
  <c r="CO104" i="2"/>
  <c r="CO105" i="2" s="1"/>
  <c r="CP104" i="2"/>
  <c r="CP105" i="2" s="1"/>
  <c r="CQ104" i="2"/>
  <c r="CQ105" i="2" s="1"/>
  <c r="CR104" i="2"/>
  <c r="CR105" i="2" s="1"/>
  <c r="CS104" i="2"/>
  <c r="CS105" i="2" s="1"/>
  <c r="CT104" i="2"/>
  <c r="CT105" i="2" s="1"/>
  <c r="CU104" i="2"/>
  <c r="CU105" i="2" s="1"/>
  <c r="CV104" i="2"/>
  <c r="CV105" i="2" s="1"/>
  <c r="CW104" i="2"/>
  <c r="CW105" i="2" s="1"/>
  <c r="CX104" i="2"/>
  <c r="CX105" i="2" s="1"/>
  <c r="CY104" i="2"/>
  <c r="CY105" i="2" s="1"/>
  <c r="CZ104" i="2"/>
  <c r="CZ105" i="2" s="1"/>
  <c r="DA104" i="2"/>
  <c r="DA105" i="2" s="1"/>
  <c r="DB104" i="2"/>
  <c r="DB105" i="2" s="1"/>
  <c r="DC104" i="2"/>
  <c r="DC105" i="2" s="1"/>
  <c r="DD104" i="2"/>
  <c r="DD105" i="2" s="1"/>
  <c r="DE104" i="2"/>
  <c r="DE105" i="2" s="1"/>
  <c r="DF104" i="2"/>
  <c r="DF105" i="2" s="1"/>
  <c r="DG104" i="2"/>
  <c r="DG105" i="2" s="1"/>
  <c r="DH104" i="2"/>
  <c r="DH105" i="2" s="1"/>
  <c r="DI104" i="2"/>
  <c r="DI105" i="2" s="1"/>
  <c r="DJ104" i="2"/>
  <c r="DJ105" i="2" s="1"/>
  <c r="DK104" i="2"/>
  <c r="DK105" i="2" s="1"/>
  <c r="DL104" i="2"/>
  <c r="DL105" i="2" s="1"/>
  <c r="DM104" i="2"/>
  <c r="DM105" i="2" s="1"/>
  <c r="DN104" i="2"/>
  <c r="DN105" i="2" s="1"/>
  <c r="DP104" i="2"/>
  <c r="DP105" i="2" s="1"/>
  <c r="DQ104" i="2"/>
  <c r="DQ105" i="2" s="1"/>
  <c r="DR104" i="2"/>
  <c r="DR105" i="2" s="1"/>
  <c r="DS104" i="2"/>
  <c r="DS105" i="2" s="1"/>
  <c r="DT104" i="2"/>
  <c r="DT105" i="2" s="1"/>
  <c r="DU104" i="2"/>
  <c r="DU105" i="2" s="1"/>
  <c r="DV104" i="2"/>
  <c r="DV105" i="2" s="1"/>
  <c r="DW104" i="2"/>
  <c r="DW105" i="2" s="1"/>
  <c r="DX104" i="2"/>
  <c r="DX105" i="2" s="1"/>
  <c r="DY104" i="2"/>
  <c r="DY105" i="2" s="1"/>
  <c r="DZ104" i="2"/>
  <c r="DZ105" i="2" s="1"/>
  <c r="EA104" i="2"/>
  <c r="EA105" i="2" s="1"/>
  <c r="EB104" i="2"/>
  <c r="EB105" i="2" s="1"/>
  <c r="EC104" i="2"/>
  <c r="EC105" i="2" s="1"/>
  <c r="ED104" i="2"/>
  <c r="ED105" i="2" s="1"/>
  <c r="EE104" i="2"/>
  <c r="EE105" i="2" s="1"/>
  <c r="EF104" i="2"/>
  <c r="EF105" i="2" s="1"/>
  <c r="EG104" i="2"/>
  <c r="EG105" i="2" s="1"/>
  <c r="EH104" i="2"/>
  <c r="EH105" i="2" s="1"/>
  <c r="EJ104" i="2"/>
  <c r="EJ105" i="2" s="1"/>
  <c r="EK104" i="2"/>
  <c r="EK105" i="2" s="1"/>
  <c r="EM104" i="2"/>
  <c r="EM105" i="2" s="1"/>
  <c r="EO104" i="2"/>
  <c r="EO105" i="2" s="1"/>
  <c r="EP104" i="2"/>
  <c r="EP105" i="2" s="1"/>
  <c r="EQ104" i="2"/>
  <c r="EQ105" i="2" s="1"/>
  <c r="ER104" i="2"/>
  <c r="ER105" i="2" s="1"/>
  <c r="ES104" i="2"/>
  <c r="ES105" i="2" s="1"/>
  <c r="ET104" i="2"/>
  <c r="ET105" i="2" s="1"/>
  <c r="EU104" i="2"/>
  <c r="EU105" i="2" s="1"/>
  <c r="EV104" i="2"/>
  <c r="EV105" i="2" s="1"/>
  <c r="EW104" i="2"/>
  <c r="EW105" i="2" s="1"/>
  <c r="EX104" i="2"/>
  <c r="EX105" i="2" s="1"/>
  <c r="EY104" i="2"/>
  <c r="EY105" i="2" s="1"/>
  <c r="EZ104" i="2"/>
  <c r="EZ105" i="2" s="1"/>
  <c r="FA104" i="2"/>
  <c r="FA105" i="2" s="1"/>
  <c r="FB104" i="2"/>
  <c r="FB105" i="2" s="1"/>
  <c r="FC104" i="2"/>
  <c r="FC105" i="2" s="1"/>
  <c r="FD104" i="2"/>
  <c r="FD105" i="2" s="1"/>
  <c r="FE104" i="2"/>
  <c r="FE105" i="2" s="1"/>
  <c r="FF104" i="2"/>
  <c r="FF105" i="2" s="1"/>
  <c r="FG104" i="2"/>
  <c r="FG105" i="2" s="1"/>
  <c r="FH104" i="2"/>
  <c r="FH105" i="2" s="1"/>
  <c r="FI104" i="2"/>
  <c r="FI105" i="2" s="1"/>
  <c r="FJ104" i="2"/>
  <c r="FJ105" i="2" s="1"/>
  <c r="FK104" i="2"/>
  <c r="FK105" i="2" s="1"/>
  <c r="FL104" i="2"/>
  <c r="FL105" i="2" s="1"/>
  <c r="FM104" i="2"/>
  <c r="FM105" i="2" s="1"/>
  <c r="FN104" i="2"/>
  <c r="FN105" i="2" s="1"/>
  <c r="FO104" i="2"/>
  <c r="FO105" i="2" s="1"/>
  <c r="FP104" i="2"/>
  <c r="FP105" i="2" s="1"/>
  <c r="FQ104" i="2"/>
  <c r="FQ105" i="2" s="1"/>
  <c r="FS104" i="2"/>
  <c r="FS105" i="2" s="1"/>
  <c r="FT104" i="2"/>
  <c r="FT105" i="2" s="1"/>
  <c r="FU104" i="2"/>
  <c r="FU105" i="2" s="1"/>
  <c r="FV104" i="2"/>
  <c r="FV105" i="2" s="1"/>
  <c r="FW104" i="2"/>
  <c r="FW105" i="2" s="1"/>
  <c r="FY104" i="2"/>
  <c r="FY105" i="2" s="1"/>
  <c r="FZ104" i="2"/>
  <c r="FZ105" i="2" s="1"/>
  <c r="GA104" i="2"/>
  <c r="GA105" i="2" s="1"/>
  <c r="GB104" i="2"/>
  <c r="GB105" i="2" s="1"/>
  <c r="GC104" i="2"/>
  <c r="GC105" i="2" s="1"/>
  <c r="GE104" i="2"/>
  <c r="GE105" i="2" s="1"/>
  <c r="GF104" i="2"/>
  <c r="GF105" i="2" s="1"/>
  <c r="GG104" i="2"/>
  <c r="GG105" i="2" s="1"/>
  <c r="GH104" i="2"/>
  <c r="GH105" i="2" s="1"/>
  <c r="GI104" i="2"/>
  <c r="GI105" i="2" s="1"/>
  <c r="GJ104" i="2"/>
  <c r="GJ105" i="2" s="1"/>
  <c r="GK104" i="2"/>
  <c r="GK105" i="2" s="1"/>
  <c r="GL104" i="2"/>
  <c r="GL105" i="2" s="1"/>
  <c r="GM104" i="2"/>
  <c r="GM105" i="2" s="1"/>
  <c r="GN104" i="2"/>
  <c r="GN105" i="2" s="1"/>
  <c r="GO104" i="2"/>
  <c r="GO105" i="2" s="1"/>
  <c r="GP104" i="2"/>
  <c r="GP105" i="2" s="1"/>
  <c r="GQ104" i="2"/>
  <c r="GQ105" i="2" s="1"/>
  <c r="GR104" i="2"/>
  <c r="GR105" i="2" s="1"/>
  <c r="GS104" i="2"/>
  <c r="GS105" i="2" s="1"/>
  <c r="GT104" i="2"/>
  <c r="GT105" i="2" s="1"/>
  <c r="GU104" i="2"/>
  <c r="GU105" i="2" s="1"/>
  <c r="GV104" i="2"/>
  <c r="GV105" i="2" s="1"/>
  <c r="GW104" i="2"/>
  <c r="GW105" i="2" s="1"/>
  <c r="GX104" i="2"/>
  <c r="GX105" i="2" s="1"/>
  <c r="GY104" i="2"/>
  <c r="GY105" i="2" s="1"/>
  <c r="GZ104" i="2"/>
  <c r="GZ105" i="2" s="1"/>
  <c r="HA104" i="2"/>
  <c r="HA105" i="2" s="1"/>
  <c r="HB104" i="2"/>
  <c r="HB105" i="2" s="1"/>
  <c r="HD104" i="2"/>
  <c r="HD105" i="2" s="1"/>
  <c r="HE104" i="2"/>
  <c r="HE105" i="2" s="1"/>
  <c r="HF104" i="2"/>
  <c r="HF105" i="2" s="1"/>
  <c r="HG104" i="2"/>
  <c r="HG105" i="2" s="1"/>
  <c r="HI104" i="2"/>
  <c r="HI105" i="2" s="1"/>
  <c r="HJ104" i="2"/>
  <c r="HJ105" i="2" s="1"/>
  <c r="HK104" i="2"/>
  <c r="HK105" i="2" s="1"/>
  <c r="HL104" i="2"/>
  <c r="HL105" i="2" s="1"/>
  <c r="HM104" i="2"/>
  <c r="HM105" i="2" s="1"/>
  <c r="HN104" i="2"/>
  <c r="HN105" i="2" s="1"/>
  <c r="HO104" i="2"/>
  <c r="HO105" i="2" s="1"/>
  <c r="HP104" i="2"/>
  <c r="HP105" i="2" s="1"/>
  <c r="HQ104" i="2"/>
  <c r="HQ105" i="2" s="1"/>
  <c r="HR104" i="2"/>
  <c r="HR105" i="2" s="1"/>
  <c r="HS104" i="2"/>
  <c r="HS105" i="2" s="1"/>
  <c r="HT104" i="2"/>
  <c r="HT105" i="2" s="1"/>
  <c r="HU104" i="2"/>
  <c r="HU105" i="2" s="1"/>
  <c r="HV104" i="2"/>
  <c r="HV105" i="2" s="1"/>
  <c r="HW104" i="2"/>
  <c r="HW105" i="2" s="1"/>
  <c r="HX104" i="2"/>
  <c r="HX105" i="2" s="1"/>
  <c r="HY104" i="2"/>
  <c r="HY105" i="2" s="1"/>
  <c r="HZ104" i="2"/>
  <c r="HZ105" i="2" s="1"/>
  <c r="IA104" i="2"/>
  <c r="IA105" i="2" s="1"/>
  <c r="IB104" i="2"/>
  <c r="IB105" i="2" s="1"/>
  <c r="IC104" i="2"/>
  <c r="IC105" i="2" s="1"/>
  <c r="ID104" i="2"/>
  <c r="ID105" i="2" s="1"/>
  <c r="IE104" i="2"/>
  <c r="IE105" i="2" s="1"/>
  <c r="IF104" i="2"/>
  <c r="IF105" i="2" s="1"/>
  <c r="IG104" i="2"/>
  <c r="IG105" i="2" s="1"/>
  <c r="IH104" i="2"/>
  <c r="IH105" i="2" s="1"/>
  <c r="IJ104" i="2"/>
  <c r="IJ105" i="2" s="1"/>
  <c r="IK104" i="2"/>
  <c r="IK105" i="2" s="1"/>
  <c r="IL104" i="2"/>
  <c r="IL105" i="2" s="1"/>
  <c r="IM104" i="2"/>
  <c r="IM105" i="2" s="1"/>
  <c r="IN104" i="2"/>
  <c r="IN105" i="2" s="1"/>
  <c r="IO104" i="2"/>
  <c r="IO105" i="2" s="1"/>
  <c r="IP104" i="2"/>
  <c r="IP105" i="2" s="1"/>
  <c r="IQ104" i="2"/>
  <c r="IQ105" i="2" s="1"/>
  <c r="IS104" i="2"/>
  <c r="IS105" i="2" s="1"/>
  <c r="IT104" i="2"/>
  <c r="IT105" i="2" s="1"/>
  <c r="IU104" i="2"/>
  <c r="IU105" i="2" s="1"/>
  <c r="IV104" i="2"/>
  <c r="IV105" i="2" s="1"/>
  <c r="IW104" i="2"/>
  <c r="IW105" i="2" s="1"/>
  <c r="IX104" i="2"/>
  <c r="IX105" i="2" s="1"/>
  <c r="IY104" i="2"/>
  <c r="IY105" i="2" s="1"/>
  <c r="IZ104" i="2"/>
  <c r="IZ105" i="2" s="1"/>
  <c r="JA104" i="2"/>
  <c r="JA105" i="2" s="1"/>
  <c r="JB104" i="2"/>
  <c r="JB105" i="2" s="1"/>
  <c r="JC104" i="2"/>
  <c r="JC105" i="2" s="1"/>
  <c r="JD104" i="2"/>
  <c r="JD105" i="2" s="1"/>
  <c r="JE104" i="2"/>
  <c r="JE105" i="2" s="1"/>
  <c r="JF104" i="2"/>
  <c r="JF105" i="2" s="1"/>
  <c r="JG104" i="2"/>
  <c r="JG105" i="2" s="1"/>
  <c r="JH104" i="2"/>
  <c r="JH105" i="2" s="1"/>
  <c r="JI104" i="2"/>
  <c r="JI105" i="2" s="1"/>
  <c r="JJ104" i="2"/>
  <c r="JJ105" i="2" s="1"/>
  <c r="JL104" i="2"/>
  <c r="JL105" i="2" s="1"/>
  <c r="JN104" i="2"/>
  <c r="JN105" i="2" s="1"/>
  <c r="JO104" i="2"/>
  <c r="JO105" i="2" s="1"/>
  <c r="JP104" i="2"/>
  <c r="JP105" i="2" s="1"/>
  <c r="JQ104" i="2"/>
  <c r="JQ105" i="2" s="1"/>
  <c r="JR104" i="2"/>
  <c r="JR105" i="2" s="1"/>
  <c r="JS104" i="2"/>
  <c r="JS105" i="2" s="1"/>
  <c r="JT104" i="2"/>
  <c r="JT105" i="2" s="1"/>
  <c r="JU104" i="2"/>
  <c r="JU105" i="2" s="1"/>
  <c r="JV104" i="2"/>
  <c r="JV105" i="2" s="1"/>
  <c r="JW104" i="2"/>
  <c r="JW105" i="2" s="1"/>
  <c r="JX104" i="2"/>
  <c r="JX105" i="2" s="1"/>
  <c r="JY104" i="2"/>
  <c r="JY105" i="2" s="1"/>
  <c r="JZ104" i="2"/>
  <c r="JZ105" i="2" s="1"/>
  <c r="KC104" i="2"/>
  <c r="KC105" i="2" s="1"/>
  <c r="KD104" i="2"/>
  <c r="KD105" i="2" s="1"/>
  <c r="KE104" i="2"/>
  <c r="KE105" i="2" s="1"/>
  <c r="KF104" i="2"/>
  <c r="KF105" i="2" s="1"/>
  <c r="KG104" i="2"/>
  <c r="KG105" i="2" s="1"/>
  <c r="KH104" i="2"/>
  <c r="KH105" i="2" s="1"/>
  <c r="KI104" i="2"/>
  <c r="KI105" i="2" s="1"/>
  <c r="KJ104" i="2"/>
  <c r="KJ105" i="2" s="1"/>
  <c r="KK104" i="2"/>
  <c r="KK105" i="2" s="1"/>
  <c r="KL104" i="2"/>
  <c r="KL105" i="2" s="1"/>
  <c r="KM104" i="2"/>
  <c r="KM105" i="2" s="1"/>
  <c r="KN104" i="2"/>
  <c r="KN105" i="2" s="1"/>
  <c r="KO104" i="2"/>
  <c r="KO105" i="2" s="1"/>
  <c r="KP104" i="2"/>
  <c r="KP105" i="2" s="1"/>
  <c r="KQ104" i="2"/>
  <c r="KQ105" i="2" s="1"/>
  <c r="KR104" i="2"/>
  <c r="KR105" i="2" s="1"/>
  <c r="KS104" i="2"/>
  <c r="KS105" i="2" s="1"/>
  <c r="KT104" i="2"/>
  <c r="KT105" i="2" s="1"/>
  <c r="KU104" i="2"/>
  <c r="KU105" i="2" s="1"/>
  <c r="KW104" i="2"/>
  <c r="KW105" i="2" s="1"/>
  <c r="KX104" i="2"/>
  <c r="KX105" i="2" s="1"/>
  <c r="KZ104" i="2"/>
  <c r="KZ105" i="2" s="1"/>
  <c r="LA104" i="2"/>
  <c r="LA105" i="2" s="1"/>
  <c r="LB104" i="2"/>
  <c r="LB105" i="2" s="1"/>
  <c r="LD104" i="2"/>
  <c r="LD105" i="2" s="1"/>
  <c r="LE104" i="2"/>
  <c r="LE105" i="2" s="1"/>
  <c r="LF104" i="2"/>
  <c r="LF105" i="2" s="1"/>
  <c r="LG104" i="2"/>
  <c r="LG105" i="2" s="1"/>
  <c r="LH104" i="2"/>
  <c r="LH105" i="2" s="1"/>
  <c r="LI104" i="2"/>
  <c r="LI105" i="2" s="1"/>
  <c r="LJ104" i="2"/>
  <c r="LJ105" i="2" s="1"/>
  <c r="LK104" i="2"/>
  <c r="LK105" i="2" s="1"/>
  <c r="LL104" i="2"/>
  <c r="LL105" i="2" s="1"/>
  <c r="LN104" i="2"/>
  <c r="LN105" i="2" s="1"/>
  <c r="LO104" i="2"/>
  <c r="LO105" i="2" s="1"/>
  <c r="LP104" i="2"/>
  <c r="LP105" i="2" s="1"/>
  <c r="LQ104" i="2"/>
  <c r="LQ105" i="2" s="1"/>
  <c r="LR104" i="2"/>
  <c r="LR105" i="2" s="1"/>
  <c r="LS104" i="2"/>
  <c r="LS105" i="2" s="1"/>
  <c r="LT104" i="2"/>
  <c r="LT105" i="2" s="1"/>
  <c r="LU104" i="2"/>
  <c r="LU105" i="2" s="1"/>
  <c r="LV104" i="2"/>
  <c r="LV105" i="2" s="1"/>
  <c r="LW104" i="2"/>
  <c r="LW105" i="2" s="1"/>
  <c r="LX104" i="2"/>
  <c r="LX105" i="2" s="1"/>
  <c r="LY104" i="2"/>
  <c r="LY105" i="2" s="1"/>
  <c r="LZ104" i="2"/>
  <c r="LZ105" i="2" s="1"/>
  <c r="MA104" i="2"/>
  <c r="MA105" i="2" s="1"/>
  <c r="MB104" i="2"/>
  <c r="MB105" i="2" s="1"/>
  <c r="MC104" i="2"/>
  <c r="MC105" i="2" s="1"/>
  <c r="MD104" i="2"/>
  <c r="MD105" i="2" s="1"/>
  <c r="ME104" i="2"/>
  <c r="ME105" i="2" s="1"/>
  <c r="MF104" i="2"/>
  <c r="MF105" i="2" s="1"/>
  <c r="MG104" i="2"/>
  <c r="MG105" i="2" s="1"/>
  <c r="MH104" i="2"/>
  <c r="MH105" i="2" s="1"/>
  <c r="MI104" i="2"/>
  <c r="MI105" i="2" s="1"/>
  <c r="MJ104" i="2"/>
  <c r="MJ105" i="2" s="1"/>
  <c r="MK104" i="2"/>
  <c r="MK105" i="2" s="1"/>
  <c r="ML104" i="2"/>
  <c r="ML105" i="2" s="1"/>
  <c r="MM104" i="2"/>
  <c r="MM105" i="2" s="1"/>
  <c r="MN104" i="2"/>
  <c r="MN105" i="2" s="1"/>
  <c r="MO104" i="2"/>
  <c r="MO105" i="2" s="1"/>
  <c r="MP104" i="2"/>
  <c r="MP105" i="2" s="1"/>
  <c r="MQ104" i="2"/>
  <c r="MQ105" i="2" s="1"/>
  <c r="MR104" i="2"/>
  <c r="MR105" i="2" s="1"/>
  <c r="MS104" i="2"/>
  <c r="MS105" i="2" s="1"/>
  <c r="MU104" i="2"/>
  <c r="MU105" i="2" s="1"/>
  <c r="MV104" i="2"/>
  <c r="MV105" i="2" s="1"/>
  <c r="MW104" i="2"/>
  <c r="MW105" i="2" s="1"/>
  <c r="MX104" i="2"/>
  <c r="MX105" i="2" s="1"/>
  <c r="MY104" i="2"/>
  <c r="MY105" i="2" s="1"/>
  <c r="MZ104" i="2"/>
  <c r="MZ105" i="2" s="1"/>
  <c r="NA104" i="2"/>
  <c r="NA105" i="2" s="1"/>
  <c r="NC104" i="2"/>
  <c r="NC105" i="2" s="1"/>
  <c r="ND104" i="2"/>
  <c r="ND105" i="2" s="1"/>
  <c r="NE104" i="2"/>
  <c r="NE105" i="2" s="1"/>
  <c r="NF104" i="2"/>
  <c r="NF105" i="2" s="1"/>
  <c r="NG104" i="2"/>
  <c r="NG105" i="2" s="1"/>
  <c r="NH104" i="2"/>
  <c r="NH105" i="2" s="1"/>
  <c r="NI104" i="2"/>
  <c r="NI105" i="2" s="1"/>
  <c r="NK104" i="2"/>
  <c r="NK105" i="2" s="1"/>
  <c r="NL104" i="2"/>
  <c r="NL105" i="2" s="1"/>
  <c r="NM104" i="2"/>
  <c r="NM105" i="2" s="1"/>
  <c r="NN104" i="2"/>
  <c r="NN105" i="2" s="1"/>
  <c r="NO104" i="2"/>
  <c r="NO105" i="2" s="1"/>
  <c r="NP104" i="2"/>
  <c r="NP105" i="2" s="1"/>
  <c r="NQ104" i="2"/>
  <c r="NQ105" i="2" s="1"/>
  <c r="NR104" i="2"/>
  <c r="NR105" i="2" s="1"/>
  <c r="NT104" i="2"/>
  <c r="NT105" i="2" s="1"/>
  <c r="NU104" i="2"/>
  <c r="NU105" i="2" s="1"/>
  <c r="NV104" i="2"/>
  <c r="NV105" i="2" s="1"/>
  <c r="NW104" i="2"/>
  <c r="NW105" i="2" s="1"/>
  <c r="NX104" i="2"/>
  <c r="NX105" i="2" s="1"/>
  <c r="NZ104" i="2"/>
  <c r="NZ105" i="2" s="1"/>
  <c r="OA104" i="2"/>
  <c r="OA105" i="2" s="1"/>
  <c r="OB104" i="2"/>
  <c r="OB105" i="2" s="1"/>
  <c r="OC104" i="2"/>
  <c r="OC105" i="2" s="1"/>
  <c r="OE104" i="2"/>
  <c r="OE105" i="2" s="1"/>
  <c r="OF104" i="2"/>
  <c r="OF105" i="2" s="1"/>
  <c r="OG104" i="2"/>
  <c r="OG105" i="2" s="1"/>
  <c r="OH104" i="2"/>
  <c r="OH105" i="2" s="1"/>
  <c r="OI104" i="2"/>
  <c r="OI105" i="2" s="1"/>
  <c r="OJ104" i="2"/>
  <c r="OJ105" i="2" s="1"/>
  <c r="OK104" i="2"/>
  <c r="OK105" i="2" s="1"/>
  <c r="OL104" i="2"/>
  <c r="OL105" i="2" s="1"/>
  <c r="OM104" i="2"/>
  <c r="OM105" i="2" s="1"/>
  <c r="ON104" i="2"/>
  <c r="ON105" i="2" s="1"/>
  <c r="B104" i="2"/>
  <c r="B105" i="2" s="1"/>
</calcChain>
</file>

<file path=xl/sharedStrings.xml><?xml version="1.0" encoding="utf-8"?>
<sst xmlns="http://schemas.openxmlformats.org/spreadsheetml/2006/main" count="1236" uniqueCount="717">
  <si>
    <t>instance of</t>
  </si>
  <si>
    <t>inception</t>
  </si>
  <si>
    <t>logo image</t>
  </si>
  <si>
    <t>image</t>
  </si>
  <si>
    <t>official name</t>
  </si>
  <si>
    <t>native label</t>
  </si>
  <si>
    <t>field of work</t>
  </si>
  <si>
    <t>student</t>
  </si>
  <si>
    <t>affiliation</t>
  </si>
  <si>
    <t>named after</t>
  </si>
  <si>
    <t>trading name</t>
  </si>
  <si>
    <t>founded by</t>
  </si>
  <si>
    <t>office held by head of the organization</t>
  </si>
  <si>
    <t>chairperson</t>
  </si>
  <si>
    <t>corporate officer</t>
  </si>
  <si>
    <t>motto text</t>
  </si>
  <si>
    <t>country</t>
  </si>
  <si>
    <t>located in the administrative territorial entity</t>
  </si>
  <si>
    <t>coordinate location</t>
  </si>
  <si>
    <t>basic form of government</t>
  </si>
  <si>
    <t>member of</t>
  </si>
  <si>
    <t>member count</t>
  </si>
  <si>
    <t>Carnegie Classification of Institutions of Higher Education</t>
  </si>
  <si>
    <t>students count</t>
  </si>
  <si>
    <t>total assets</t>
  </si>
  <si>
    <t>parent organization</t>
  </si>
  <si>
    <t>has subsidiary</t>
  </si>
  <si>
    <t>owner of</t>
  </si>
  <si>
    <t>headquarters location</t>
  </si>
  <si>
    <t>employees</t>
  </si>
  <si>
    <t>language used</t>
  </si>
  <si>
    <t>significant event</t>
  </si>
  <si>
    <t>budget</t>
  </si>
  <si>
    <t>present in work</t>
  </si>
  <si>
    <t>mascot</t>
  </si>
  <si>
    <t>IPv6 routing prefix</t>
  </si>
  <si>
    <t>fee</t>
  </si>
  <si>
    <t>street address</t>
  </si>
  <si>
    <t>postal code</t>
  </si>
  <si>
    <t>official website</t>
  </si>
  <si>
    <t>coat of arms image</t>
  </si>
  <si>
    <t>seal image</t>
  </si>
  <si>
    <t>described by source</t>
  </si>
  <si>
    <t>on focus list of Wikimedia project</t>
  </si>
  <si>
    <t>Wikimedia outline</t>
  </si>
  <si>
    <t>official color</t>
  </si>
  <si>
    <t>academic calendar type</t>
  </si>
  <si>
    <t>athletics program</t>
  </si>
  <si>
    <t>admission rate</t>
  </si>
  <si>
    <t>endowment</t>
  </si>
  <si>
    <t>social media followers</t>
  </si>
  <si>
    <t>admission yield rate</t>
  </si>
  <si>
    <t>API endpoint URL</t>
  </si>
  <si>
    <t>WordLift URL</t>
  </si>
  <si>
    <t>has part(s)</t>
  </si>
  <si>
    <t>different from</t>
  </si>
  <si>
    <t>Commons gallery</t>
  </si>
  <si>
    <t>Commons Institution page</t>
  </si>
  <si>
    <t>Commons category</t>
  </si>
  <si>
    <t>topic's main template</t>
  </si>
  <si>
    <t>topic's main category</t>
  </si>
  <si>
    <t>category for alumni of educational institution</t>
  </si>
  <si>
    <t>category for employees of the organization</t>
  </si>
  <si>
    <t>Legal Entity Identifier</t>
  </si>
  <si>
    <t>ISIL</t>
  </si>
  <si>
    <t>VIAF ID</t>
  </si>
  <si>
    <t>ISNI</t>
  </si>
  <si>
    <t>Vatican Library VcBA ID</t>
  </si>
  <si>
    <t>BAnQ authority ID</t>
  </si>
  <si>
    <t>NORAF ID</t>
  </si>
  <si>
    <t>National Library of Brazil ID</t>
  </si>
  <si>
    <t>National Library of Spain ID</t>
  </si>
  <si>
    <t>Bibliothèque nationale de France ID</t>
  </si>
  <si>
    <t>Canadiana Name Authority ID</t>
  </si>
  <si>
    <t>Canadiana Authorities ID (former scheme)</t>
  </si>
  <si>
    <t>GND ID</t>
  </si>
  <si>
    <t>National Library of Greece ID</t>
  </si>
  <si>
    <t>FAST ID</t>
  </si>
  <si>
    <t>National Library of Israel J9U ID</t>
  </si>
  <si>
    <t>Union List of Artist Names ID</t>
  </si>
  <si>
    <t>National Library of Korea ID</t>
  </si>
  <si>
    <t>Library of Congress authority ID</t>
  </si>
  <si>
    <t>National Library of Lithuania ID</t>
  </si>
  <si>
    <t>National Library of Latvia ID</t>
  </si>
  <si>
    <t>National Library of Ireland ID</t>
  </si>
  <si>
    <t>NACSIS-CAT author ID</t>
  </si>
  <si>
    <t>NL CR AUT ID</t>
  </si>
  <si>
    <t>Libraries Australia ID</t>
  </si>
  <si>
    <t>NSK ID</t>
  </si>
  <si>
    <t>NUKAT ID</t>
  </si>
  <si>
    <t>PLWABN ID</t>
  </si>
  <si>
    <t>Portuguese National Library author ID</t>
  </si>
  <si>
    <t>RERO ID (obsolete)</t>
  </si>
  <si>
    <t>Slovak National Library (VIAF) ID</t>
  </si>
  <si>
    <t>IdRef ID</t>
  </si>
  <si>
    <t>WorldCat Identities ID (superseded)</t>
  </si>
  <si>
    <t>Academia.edu institutional ID</t>
  </si>
  <si>
    <t>AGORHA person/institution ID</t>
  </si>
  <si>
    <t>Alexander Turnbull Library ID</t>
  </si>
  <si>
    <t>ARAE ID</t>
  </si>
  <si>
    <t>archINFORM keyword ID</t>
  </si>
  <si>
    <t>ARCHON code</t>
  </si>
  <si>
    <t>Armeniapedia ID</t>
  </si>
  <si>
    <t>ARWU university ID</t>
  </si>
  <si>
    <t>autonomous system number</t>
  </si>
  <si>
    <t>Babelio author ID</t>
  </si>
  <si>
    <t>BabelNet ID</t>
  </si>
  <si>
    <t>Baidu Tieba name</t>
  </si>
  <si>
    <t>BHCL UUID</t>
  </si>
  <si>
    <t>BHL creator ID</t>
  </si>
  <si>
    <t>Bibale ID</t>
  </si>
  <si>
    <t>Brockhaus Enzyklopädie online ID</t>
  </si>
  <si>
    <t>C-SPAN organization ID</t>
  </si>
  <si>
    <t>CiNii Research ID</t>
  </si>
  <si>
    <t>Comparably company ID</t>
  </si>
  <si>
    <t>Crunchbase organization ID</t>
  </si>
  <si>
    <t>De Agostini ID</t>
  </si>
  <si>
    <t>DPLA subject term</t>
  </si>
  <si>
    <t>Den Store Danske ID</t>
  </si>
  <si>
    <t>Encyclopædia Britannica Online ID</t>
  </si>
  <si>
    <t>Encyclopedia of China (Third Edition) ID</t>
  </si>
  <si>
    <t>ETS Designated Institution code</t>
  </si>
  <si>
    <t>Facebook username</t>
  </si>
  <si>
    <t>FactGrid item ID</t>
  </si>
  <si>
    <t>Freebase ID</t>
  </si>
  <si>
    <t>French Vikidia ID</t>
  </si>
  <si>
    <t>GeoNames ID</t>
  </si>
  <si>
    <t>Giphy username</t>
  </si>
  <si>
    <t>Getty Thesaurus of Geographic Names ID</t>
  </si>
  <si>
    <t>GitHub topic</t>
  </si>
  <si>
    <t>GNIS Feature ID</t>
  </si>
  <si>
    <t>Golden ID</t>
  </si>
  <si>
    <t>Google Arts &amp; Culture entity ID</t>
  </si>
  <si>
    <t>Google Maps Customer ID</t>
  </si>
  <si>
    <t>Google Scholar organization ID</t>
  </si>
  <si>
    <t>Google+ ID</t>
  </si>
  <si>
    <t>Gran Enciclopèdia Catalana ID</t>
  </si>
  <si>
    <t>Gran Enciclopèdia Catalana ID (former scheme)</t>
  </si>
  <si>
    <t>Great Russian Encyclopedia Online ID (old version)</t>
  </si>
  <si>
    <t>GRID ID</t>
  </si>
  <si>
    <t>Guardian topic ID</t>
  </si>
  <si>
    <t>Hill Museum &amp; Manuscript Library ID</t>
  </si>
  <si>
    <t>Hrvatska enciklopedija ID</t>
  </si>
  <si>
    <t>IMDb ID</t>
  </si>
  <si>
    <t>IMDb keyword</t>
  </si>
  <si>
    <t>INAPP author ID</t>
  </si>
  <si>
    <t>Instagram username</t>
  </si>
  <si>
    <t>Integrated Postsecondary Education Data System ID</t>
  </si>
  <si>
    <t>Interlingual Index ID</t>
  </si>
  <si>
    <t>ITU/ISO/IEC object ID</t>
  </si>
  <si>
    <t>Japan Search name ID</t>
  </si>
  <si>
    <t>KBpedia ID</t>
  </si>
  <si>
    <t>LibraryThing author ID</t>
  </si>
  <si>
    <t>LittleSis organization ID</t>
  </si>
  <si>
    <t>Mastodon address</t>
  </si>
  <si>
    <t>Met Constituent ID</t>
  </si>
  <si>
    <t>Media Arts Database ID</t>
  </si>
  <si>
    <t>Microsoft Academic ID</t>
  </si>
  <si>
    <t>MPPDA Digital Archive organisation ID</t>
  </si>
  <si>
    <t>Museum of Modern Art artist ID</t>
  </si>
  <si>
    <t>museum-digital place ID</t>
  </si>
  <si>
    <t>MusicBrainz label ID</t>
  </si>
  <si>
    <t>MusicBrainz place ID</t>
  </si>
  <si>
    <t>National Library of Israel ID (old)</t>
  </si>
  <si>
    <t>NE.se ID</t>
  </si>
  <si>
    <t>New York Times topic ID</t>
  </si>
  <si>
    <t>NicoNicoPedia ID</t>
  </si>
  <si>
    <t>NLA Trove people ID</t>
  </si>
  <si>
    <t>NLP ID (old)</t>
  </si>
  <si>
    <t>NLC authorities</t>
  </si>
  <si>
    <t>Online Books Page author ID</t>
  </si>
  <si>
    <t>Online PWN Encyclopedia ID</t>
  </si>
  <si>
    <t>Open Funder Registry funder ID</t>
  </si>
  <si>
    <t>OpenCorporates ID</t>
  </si>
  <si>
    <t>Open Library ID</t>
  </si>
  <si>
    <t>OpenAlex ID</t>
  </si>
  <si>
    <t>openMLOL author ID</t>
  </si>
  <si>
    <t>OpenStreetMap relation ID</t>
  </si>
  <si>
    <t>PermID</t>
  </si>
  <si>
    <t>PM20 folder ID</t>
  </si>
  <si>
    <t>Postimees topic ID</t>
  </si>
  <si>
    <t>Proleksis enciklopedija ID</t>
  </si>
  <si>
    <t>QS World University ID</t>
  </si>
  <si>
    <t>Quora topic ID</t>
  </si>
  <si>
    <t>Relationship Science organization ID</t>
  </si>
  <si>
    <t>RePEc institute ID</t>
  </si>
  <si>
    <t>ResearchGate institute ID</t>
  </si>
  <si>
    <t>Ringgold ID</t>
  </si>
  <si>
    <t>ROR ID</t>
  </si>
  <si>
    <t>Schoenberg Database of Manuscripts name ID</t>
  </si>
  <si>
    <t>setlist.fm venue ID</t>
  </si>
  <si>
    <t>Science Museum people ID</t>
  </si>
  <si>
    <t>SEVIS school ID</t>
  </si>
  <si>
    <t>SHARE Catalogue author ID</t>
  </si>
  <si>
    <t>SNAC ARK ID</t>
  </si>
  <si>
    <t>SNARC ID</t>
  </si>
  <si>
    <t>Songkick venue ID</t>
  </si>
  <si>
    <t>SoundCloud ID</t>
  </si>
  <si>
    <t>Store norske leksikon ID</t>
  </si>
  <si>
    <t>Structurae structure ID</t>
  </si>
  <si>
    <t>subreddit</t>
  </si>
  <si>
    <t>Te Papa agent ID</t>
  </si>
  <si>
    <t>Theatricalia theatre ID</t>
  </si>
  <si>
    <t>Threads username</t>
  </si>
  <si>
    <t>Times Higher Education World University ID</t>
  </si>
  <si>
    <t>Treccani ID</t>
  </si>
  <si>
    <t>Treccani's Enciclopedia Italiana ID</t>
  </si>
  <si>
    <t>TMDB company ID</t>
  </si>
  <si>
    <t>Twitter (X) username</t>
  </si>
  <si>
    <t>U-Multirank university ID</t>
  </si>
  <si>
    <t>UK Parliament thesaurus ID</t>
  </si>
  <si>
    <t>Uppsala University Alvin ID</t>
  </si>
  <si>
    <t>Vatican Library ID (former scheme)</t>
  </si>
  <si>
    <t>WikiKids ID</t>
  </si>
  <si>
    <t>Wolfram Language entity code</t>
  </si>
  <si>
    <t>WOEID</t>
  </si>
  <si>
    <t>WordNet 3.1 Synset ID</t>
  </si>
  <si>
    <t>YouTube channel ID</t>
  </si>
  <si>
    <t>X topic ID</t>
  </si>
  <si>
    <t>Zhihu topic ID</t>
  </si>
  <si>
    <t>short name</t>
  </si>
  <si>
    <t>location</t>
  </si>
  <si>
    <t>total revenue</t>
  </si>
  <si>
    <t>partnership with</t>
  </si>
  <si>
    <t>IPv4 routing prefix</t>
  </si>
  <si>
    <t>phone number</t>
  </si>
  <si>
    <t>website account on</t>
  </si>
  <si>
    <t>ACM Classification Code (2012)</t>
  </si>
  <si>
    <t>CANTIC ID</t>
  </si>
  <si>
    <t>NDL Authority ID</t>
  </si>
  <si>
    <t>BBC News topic ID</t>
  </si>
  <si>
    <t>BBC Things ID</t>
  </si>
  <si>
    <t>Carnegie Hall agent ID</t>
  </si>
  <si>
    <t>data.gouv.fr organisation ID</t>
  </si>
  <si>
    <t>Encyclopedia of China (Second Edition) ID</t>
  </si>
  <si>
    <t>‎Indie DB company ID</t>
  </si>
  <si>
    <t>InfluenceWatch influencer</t>
  </si>
  <si>
    <t>LinkedIn company or organization ID</t>
  </si>
  <si>
    <t>Larousse ID</t>
  </si>
  <si>
    <t>Justia Patents inventor ID</t>
  </si>
  <si>
    <t>Justia Patents assignee ID</t>
  </si>
  <si>
    <t>Name Assigning Authority Number</t>
  </si>
  <si>
    <t>OmegaWiki Defined Meaning</t>
  </si>
  <si>
    <t>Semantic Scholar author ID</t>
  </si>
  <si>
    <t>University of Barcelona authority ID</t>
  </si>
  <si>
    <t>X username</t>
  </si>
  <si>
    <t>part of</t>
  </si>
  <si>
    <t>located in time zone</t>
  </si>
  <si>
    <t>historic county</t>
  </si>
  <si>
    <t>color</t>
  </si>
  <si>
    <t>flag image</t>
  </si>
  <si>
    <t>coat of arms</t>
  </si>
  <si>
    <t>patron saint</t>
  </si>
  <si>
    <t>significant place</t>
  </si>
  <si>
    <t>tuition fee</t>
  </si>
  <si>
    <t>normal graduation time</t>
  </si>
  <si>
    <t>permanent duplicated item</t>
  </si>
  <si>
    <t>has list</t>
  </si>
  <si>
    <t>RISM ID</t>
  </si>
  <si>
    <t>Libris-URI</t>
  </si>
  <si>
    <t>SELIBR ID</t>
  </si>
  <si>
    <t>British Museum person or institution ID</t>
  </si>
  <si>
    <t>Catholic Encyclopedia ID</t>
  </si>
  <si>
    <t>DfE URN</t>
  </si>
  <si>
    <t>Dharma Drum Institute of Liberal Arts place ID</t>
  </si>
  <si>
    <t>Dialnet author ID</t>
  </si>
  <si>
    <t>Early Modern Letters Online location ID</t>
  </si>
  <si>
    <t>edition humboldt digital ID</t>
  </si>
  <si>
    <t>Encyclopædia Universalis ID</t>
  </si>
  <si>
    <t>EU Transparency Register ID</t>
  </si>
  <si>
    <t>Goodreads author ID</t>
  </si>
  <si>
    <t>Google News topics ID</t>
  </si>
  <si>
    <t>Great Russian Encyclopedia portal ID</t>
  </si>
  <si>
    <t>HAL structure ID</t>
  </si>
  <si>
    <t>National Historical Museums of Sweden ID</t>
  </si>
  <si>
    <t>National Library of Wales Authority ID</t>
  </si>
  <si>
    <t>OBO Gazetteer ID</t>
  </si>
  <si>
    <t>Open Library subject ID</t>
  </si>
  <si>
    <t>OpenCorporates corporate grouping</t>
  </si>
  <si>
    <t>RA Collections ID</t>
  </si>
  <si>
    <t>Royal Academy new identifier</t>
  </si>
  <si>
    <t>Shakeosphere person ID</t>
  </si>
  <si>
    <t>UK Provider Reference Number</t>
  </si>
  <si>
    <t>WhatDoTheyKnow organisation ID</t>
  </si>
  <si>
    <t>participant in</t>
  </si>
  <si>
    <t>published in</t>
  </si>
  <si>
    <t>history of topic</t>
  </si>
  <si>
    <t>official map URL</t>
  </si>
  <si>
    <t>category for people who died here</t>
  </si>
  <si>
    <t>hashtag</t>
  </si>
  <si>
    <t>ISBN publisher prefix</t>
  </si>
  <si>
    <t>Google Knowledge Graph ID</t>
  </si>
  <si>
    <t>Pinterest username</t>
  </si>
  <si>
    <t>Weibo user ID</t>
  </si>
  <si>
    <t>National Library of Chile ID</t>
  </si>
  <si>
    <t>National Library of Iceland ID</t>
  </si>
  <si>
    <t>App Store developer ID</t>
  </si>
  <si>
    <t>CAGE code</t>
  </si>
  <si>
    <t>CANTIC ID (former scheme)</t>
  </si>
  <si>
    <t>CCAB ID</t>
  </si>
  <si>
    <t>Comic Vine ID</t>
  </si>
  <si>
    <t>D-U-N-S number</t>
  </si>
  <si>
    <t>Curlie ID</t>
  </si>
  <si>
    <t>Foursquare City Guide venue ID</t>
  </si>
  <si>
    <t>Instagram location ID</t>
  </si>
  <si>
    <t>IRS Employer Identification Number</t>
  </si>
  <si>
    <t>Yelp ID</t>
  </si>
  <si>
    <t>Famous Birthdays ID</t>
  </si>
  <si>
    <t>SBN author ID</t>
  </si>
  <si>
    <t>WorldCat Entities ID</t>
  </si>
  <si>
    <t>Tumblr username</t>
  </si>
  <si>
    <t>has works in the collection</t>
  </si>
  <si>
    <t>grants</t>
  </si>
  <si>
    <t>Cooper-Hewitt person ID</t>
  </si>
  <si>
    <t>DR topic ID</t>
  </si>
  <si>
    <t>EU Participant Identification Code</t>
  </si>
  <si>
    <t>IDU foreign theatre ID</t>
  </si>
  <si>
    <t>Smithsonian American Art Museum person/institution ID</t>
  </si>
  <si>
    <t>architect</t>
  </si>
  <si>
    <t>FAQ URL</t>
  </si>
  <si>
    <t>topic's main Wikimedia portal</t>
  </si>
  <si>
    <t>Bing entity ID</t>
  </si>
  <si>
    <t>Bloomberg company ID</t>
  </si>
  <si>
    <t>D&amp;B Hoovers company profile</t>
  </si>
  <si>
    <t>Flickr user ID</t>
  </si>
  <si>
    <t>George Eastman Museum people ID</t>
  </si>
  <si>
    <t>Glassdoor company ID</t>
  </si>
  <si>
    <t>Indeed company ID</t>
  </si>
  <si>
    <t>iNaturalist place ID</t>
  </si>
  <si>
    <t>ICPSR Organization Names Authority List ID</t>
  </si>
  <si>
    <t>Kallías ID</t>
  </si>
  <si>
    <t>Minneapolis Institute of Art constituent ID</t>
  </si>
  <si>
    <t>Musée d'Orsay artist ID</t>
  </si>
  <si>
    <t>Share-VDE 1.0 author ID</t>
  </si>
  <si>
    <t>category of associated people</t>
  </si>
  <si>
    <t>Discogs artist ID</t>
  </si>
  <si>
    <t>iDAI.gazetteer ID</t>
  </si>
  <si>
    <t>OSM Name Suggestion Index ID</t>
  </si>
  <si>
    <t>PARES ID</t>
  </si>
  <si>
    <t>spherical panorama image</t>
  </si>
  <si>
    <t>National Taxonomy of Exempt Entities code</t>
  </si>
  <si>
    <t>Art UK venue ID</t>
  </si>
  <si>
    <t>BNB person ID</t>
  </si>
  <si>
    <t>BVMC organization ID</t>
  </si>
  <si>
    <t>Cyprus Bibliography ID</t>
  </si>
  <si>
    <t>EU VAT number</t>
  </si>
  <si>
    <t>Flanders Arts Institute organisation ID</t>
  </si>
  <si>
    <t>Jewish Museum Berlin person ID</t>
  </si>
  <si>
    <t>Kunstenpunt Knowledge Graph ID</t>
  </si>
  <si>
    <t>Medium username</t>
  </si>
  <si>
    <t>MSRI institution ID</t>
  </si>
  <si>
    <t>UVL company ID</t>
  </si>
  <si>
    <t>motto</t>
  </si>
  <si>
    <t>authority</t>
  </si>
  <si>
    <t>category for maps</t>
  </si>
  <si>
    <t>HBL topic ID</t>
  </si>
  <si>
    <t>JSTOR publisher ID</t>
  </si>
  <si>
    <t>Publons publisher ID</t>
  </si>
  <si>
    <t>Reddit topic ID</t>
  </si>
  <si>
    <t>flag</t>
  </si>
  <si>
    <t>public transport stop</t>
  </si>
  <si>
    <t>National Library of Luxembourg ID</t>
  </si>
  <si>
    <t>Library of Congress Classification</t>
  </si>
  <si>
    <t>ARTIC artist ID</t>
  </si>
  <si>
    <t>Google Play developer slug</t>
  </si>
  <si>
    <t>TikTok username</t>
  </si>
  <si>
    <t>email address</t>
  </si>
  <si>
    <t>directions</t>
  </si>
  <si>
    <t>exact match</t>
  </si>
  <si>
    <t>Companies House company ID</t>
  </si>
  <si>
    <t>Namuwiki ID</t>
  </si>
  <si>
    <t>Canadian Encyclopedia article ID</t>
  </si>
  <si>
    <t>start time</t>
  </si>
  <si>
    <t>review score</t>
  </si>
  <si>
    <t>award received</t>
  </si>
  <si>
    <t>AAGM person or institution ID</t>
  </si>
  <si>
    <t>abART institution ID</t>
  </si>
  <si>
    <t>Basis Wien institution ID</t>
  </si>
  <si>
    <t>Gateway to Research organisation ID</t>
  </si>
  <si>
    <t>OpenStreetMap way ID</t>
  </si>
  <si>
    <t>TripAdvisor ID</t>
  </si>
  <si>
    <t>ACMI ID</t>
  </si>
  <si>
    <t>product or material produced or service provided</t>
  </si>
  <si>
    <t>accredited by</t>
  </si>
  <si>
    <t>represented by</t>
  </si>
  <si>
    <t>item operated</t>
  </si>
  <si>
    <t>Google News publication ID</t>
  </si>
  <si>
    <t>PolitiFact people and groups ID</t>
  </si>
  <si>
    <t>Who's on First ID</t>
  </si>
  <si>
    <t>anthem</t>
  </si>
  <si>
    <t>partially coincident with</t>
  </si>
  <si>
    <t>Bilibili UID</t>
  </si>
  <si>
    <t>Chinese School ID</t>
  </si>
  <si>
    <t>GNS Unique Feature ID</t>
  </si>
  <si>
    <t>HKCAN ID</t>
  </si>
  <si>
    <t>Unified Social Credit ID</t>
  </si>
  <si>
    <t>religion or worldview</t>
  </si>
  <si>
    <t>aerial view</t>
  </si>
  <si>
    <t>content partnership category</t>
  </si>
  <si>
    <t>AusStage venue ID</t>
  </si>
  <si>
    <t>BaGLAMa GID</t>
  </si>
  <si>
    <t>replaces</t>
  </si>
  <si>
    <t>Encyclopedia of Chicago ID</t>
  </si>
  <si>
    <t>Harvard Index of Botanists ID</t>
  </si>
  <si>
    <t>ranking</t>
  </si>
  <si>
    <t>maintained by WikiProject</t>
  </si>
  <si>
    <t>Qichacha firm ID</t>
  </si>
  <si>
    <t>WeChat ID</t>
  </si>
  <si>
    <t>Xiaohongshu Profile</t>
  </si>
  <si>
    <t>board member</t>
  </si>
  <si>
    <t>contact page URL</t>
  </si>
  <si>
    <t>archINFORM person/group ID</t>
  </si>
  <si>
    <t>terms of service URL</t>
  </si>
  <si>
    <t>has part(s) of the class</t>
  </si>
  <si>
    <t>demonym</t>
  </si>
  <si>
    <t>Mastodon instance URL</t>
  </si>
  <si>
    <t>CERL Thesaurus ID</t>
  </si>
  <si>
    <t>Snapchat username</t>
  </si>
  <si>
    <t>SNK ID</t>
  </si>
  <si>
    <t>date of official opening</t>
  </si>
  <si>
    <t>has characteristic</t>
  </si>
  <si>
    <t>graduation rate</t>
  </si>
  <si>
    <t>Beta maṣāḥǝft ID</t>
  </si>
  <si>
    <t>elibrary.ru organisation ID</t>
  </si>
  <si>
    <t>Handbook of Texas ID</t>
  </si>
  <si>
    <t>significant person</t>
  </si>
  <si>
    <t>BMC ID</t>
  </si>
  <si>
    <t>pronunciation audio</t>
  </si>
  <si>
    <t>archives at</t>
  </si>
  <si>
    <t>rector</t>
  </si>
  <si>
    <t>elevation above sea level</t>
  </si>
  <si>
    <t>heritage designation</t>
  </si>
  <si>
    <t>ELNET ID</t>
  </si>
  <si>
    <t>SAPA ID</t>
  </si>
  <si>
    <t>Scopus affiliation ID</t>
  </si>
  <si>
    <t>Unione Romana Biblioteche Scientifiche ID</t>
  </si>
  <si>
    <t>theme music</t>
  </si>
  <si>
    <t>ISO 9362 SWIFT/BIC code</t>
  </si>
  <si>
    <t>compArt institution ID</t>
  </si>
  <si>
    <t>Emporis building complex ID</t>
  </si>
  <si>
    <t>Itaú Cultural ID</t>
  </si>
  <si>
    <t>coordinates of easternmost point</t>
  </si>
  <si>
    <t>coordinates of northernmost point</t>
  </si>
  <si>
    <t>coordinates of southernmost point</t>
  </si>
  <si>
    <t>coordinates of westernmost point</t>
  </si>
  <si>
    <t>population</t>
  </si>
  <si>
    <t>water as percent of area</t>
  </si>
  <si>
    <t>area</t>
  </si>
  <si>
    <t>number of households</t>
  </si>
  <si>
    <t>water area</t>
  </si>
  <si>
    <t>per capita income</t>
  </si>
  <si>
    <t>said to be the same as</t>
  </si>
  <si>
    <t>FIPS 55-3 (locations in the US)</t>
  </si>
  <si>
    <t>DOI prefix</t>
  </si>
  <si>
    <t>schematic</t>
  </si>
  <si>
    <t>CRICOS Provider Code</t>
  </si>
  <si>
    <t>Encyclopedia of Australian Science ID</t>
  </si>
  <si>
    <t>Encyclopedia of Melbourne ID</t>
  </si>
  <si>
    <t>SEEK company ID</t>
  </si>
  <si>
    <t>VICNAMES Place ID</t>
  </si>
  <si>
    <t>educational stage</t>
  </si>
  <si>
    <t>subject has role</t>
  </si>
  <si>
    <t>Athenaeum museum ID</t>
  </si>
  <si>
    <t>Dictionary of Sydney ID</t>
  </si>
  <si>
    <t>Geographical Names Board of NSW geoname ID</t>
  </si>
  <si>
    <t>Geographical Names Board of NSW ID</t>
  </si>
  <si>
    <t>National Pollutant Inventory ID</t>
  </si>
  <si>
    <t>place name sign</t>
  </si>
  <si>
    <t>nighttime view</t>
  </si>
  <si>
    <t>winter view</t>
  </si>
  <si>
    <t>OpenStreetMap zoom level</t>
  </si>
  <si>
    <t>MUSE publisher ID</t>
  </si>
  <si>
    <t>depicted by</t>
  </si>
  <si>
    <t>Scottish Charity number</t>
  </si>
  <si>
    <t>director / manager</t>
  </si>
  <si>
    <t>National Library Board Singapore ID</t>
  </si>
  <si>
    <t>Fandom article ID</t>
  </si>
  <si>
    <t>Singapore Infopedia ID</t>
  </si>
  <si>
    <t>Singapore Infopedia ID (former scheme)</t>
  </si>
  <si>
    <t>RoMEO publisher ID</t>
  </si>
  <si>
    <t>Chess Programming Wiki ID</t>
  </si>
  <si>
    <t>Biodiversity Repository ID</t>
  </si>
  <si>
    <t>owned by</t>
  </si>
  <si>
    <t>Mir@bel publisher ID</t>
  </si>
  <si>
    <t>museum-digital person ID</t>
  </si>
  <si>
    <t>Theapolis theatre ID</t>
  </si>
  <si>
    <t>interested in</t>
  </si>
  <si>
    <t>Index Herbariorum code</t>
  </si>
  <si>
    <t>Analysis &amp; Policy Observatory node ID</t>
  </si>
  <si>
    <t>Australian Business Number</t>
  </si>
  <si>
    <t>Australian Music Centre artist ID</t>
  </si>
  <si>
    <t>Australian Trade Mark Number</t>
  </si>
  <si>
    <t>NSW State Archives and Records Authority ID</t>
  </si>
  <si>
    <t>Research Data Australia ID</t>
  </si>
  <si>
    <t>post office box</t>
  </si>
  <si>
    <t>Actorenregister ID</t>
  </si>
  <si>
    <t>ELMCIP ID</t>
  </si>
  <si>
    <t>Global Anabaptist Mennonite Encyclopedia Online ID</t>
  </si>
  <si>
    <t>LastDodo-area-ID</t>
  </si>
  <si>
    <t>NMVW ID</t>
  </si>
  <si>
    <t>OpenStreetMap node ID</t>
  </si>
  <si>
    <t>RKD thesaurus ID</t>
  </si>
  <si>
    <t>Philadelphia Museum of Art entity ID</t>
  </si>
  <si>
    <t>party chief representative</t>
  </si>
  <si>
    <t>locator map image</t>
  </si>
  <si>
    <t>eBird hotspot ID</t>
  </si>
  <si>
    <t>Tennessee Encyclopedia ID</t>
  </si>
  <si>
    <t>OpenDOAR ID</t>
  </si>
  <si>
    <t>New Georgia Encyclopedia ID</t>
  </si>
  <si>
    <t>Flemish Public Libraries ID</t>
  </si>
  <si>
    <t>symogih.org ID</t>
  </si>
  <si>
    <t>located on street</t>
  </si>
  <si>
    <t>legal form</t>
  </si>
  <si>
    <t>house publication</t>
  </si>
  <si>
    <t>EIA utility ID</t>
  </si>
  <si>
    <t>Utah History Encyclopedia ID</t>
  </si>
  <si>
    <t>pseudonym</t>
  </si>
  <si>
    <t>business division</t>
  </si>
  <si>
    <t>has seal, badge, or sigil</t>
  </si>
  <si>
    <t>TCLF ID</t>
  </si>
  <si>
    <t>World Heritage Site ID</t>
  </si>
  <si>
    <t>foundational text</t>
  </si>
  <si>
    <t>described at URL</t>
  </si>
  <si>
    <t>Issuu ID</t>
  </si>
  <si>
    <t>plaque image</t>
  </si>
  <si>
    <t>maintained by</t>
  </si>
  <si>
    <t>gender educated</t>
  </si>
  <si>
    <t>official shop URL</t>
  </si>
  <si>
    <t>Corporate Number (Japan)</t>
  </si>
  <si>
    <t>Daum Encyclopedia ID</t>
  </si>
  <si>
    <t>Google Arts &amp; Culture partner ID</t>
  </si>
  <si>
    <t>identification code for Japanese universities and colleges</t>
  </si>
  <si>
    <t>J-GLOBAL ID</t>
  </si>
  <si>
    <t>MEXT school code</t>
  </si>
  <si>
    <t>Naver Encyclopedia ID</t>
  </si>
  <si>
    <t>source of income</t>
  </si>
  <si>
    <t>BNMM authority ID</t>
  </si>
  <si>
    <t>WorldCat Registry ID</t>
  </si>
  <si>
    <t>CNPJ</t>
  </si>
  <si>
    <t>e-MEC entry</t>
  </si>
  <si>
    <t>FAPESP institution ID</t>
  </si>
  <si>
    <t>CVR number</t>
  </si>
  <si>
    <t>Danish educational institution number</t>
  </si>
  <si>
    <t>EU Knowledge Graph item ID</t>
  </si>
  <si>
    <t>Trap Danmark ID</t>
  </si>
  <si>
    <t>main subject</t>
  </si>
  <si>
    <t>spoken text audio</t>
  </si>
  <si>
    <t>ADVN ID</t>
  </si>
  <si>
    <t>Enterprise number (Belgium)</t>
  </si>
  <si>
    <t>ODIS ID</t>
  </si>
  <si>
    <t>Number of Zero entries</t>
  </si>
  <si>
    <t>% Potential Importance</t>
  </si>
  <si>
    <t>located in/on physical feature</t>
  </si>
  <si>
    <t>Pontificia Università della Santa Croce ID</t>
  </si>
  <si>
    <t>Telegram username</t>
  </si>
  <si>
    <t>Webb-site organization ID</t>
  </si>
  <si>
    <t>sponsor</t>
  </si>
  <si>
    <t>DIR3 ID</t>
  </si>
  <si>
    <t>Stedelijk Museum Amsterdam ID</t>
  </si>
  <si>
    <t>Yle topic ID</t>
  </si>
  <si>
    <t>appears in the heritage monument list</t>
  </si>
  <si>
    <t>Bavarian monument authority ID</t>
  </si>
  <si>
    <t>Bavarian Monument Map object ID (architectural monument)</t>
  </si>
  <si>
    <t>GEPRIS organization ID</t>
  </si>
  <si>
    <t>Australian Government Organisations Register ID</t>
  </si>
  <si>
    <t>National Archives of Australia entity ID</t>
  </si>
  <si>
    <t>uses</t>
  </si>
  <si>
    <t>official language</t>
  </si>
  <si>
    <t>location of formation</t>
  </si>
  <si>
    <t>follows</t>
  </si>
  <si>
    <t>Finnish national bibliography corporate name ID</t>
  </si>
  <si>
    <t>GitHub username</t>
  </si>
  <si>
    <t>KANTO ID</t>
  </si>
  <si>
    <t>Uppslagsverket Finland ID</t>
  </si>
  <si>
    <t>chief executive officer</t>
  </si>
  <si>
    <t>escutcheon image</t>
  </si>
  <si>
    <t>Historic England research records ID</t>
  </si>
  <si>
    <t>TOID</t>
  </si>
  <si>
    <t>category for the interior of the item</t>
  </si>
  <si>
    <t>CNA topic ID</t>
  </si>
  <si>
    <t>Ávvir topic ID</t>
  </si>
  <si>
    <t>Lokalhistoriewiki.no article ID</t>
  </si>
  <si>
    <t>Nasjonalt skoleregister ID</t>
  </si>
  <si>
    <t>Norwegian organisation number</t>
  </si>
  <si>
    <t>Norwegian State Administration Database ID</t>
  </si>
  <si>
    <t>Oslo Byleksikon ID</t>
  </si>
  <si>
    <t>name</t>
  </si>
  <si>
    <t>HDS ID</t>
  </si>
  <si>
    <t>PersonalData.IO ID</t>
  </si>
  <si>
    <t>EDIT16 catalogue author ID</t>
  </si>
  <si>
    <t>Radio Radicale organizer ID</t>
  </si>
  <si>
    <t>Visuotinė lietuvių enciklopedija ID</t>
  </si>
  <si>
    <t>architectural style</t>
  </si>
  <si>
    <t>video</t>
  </si>
  <si>
    <t>official symbol</t>
  </si>
  <si>
    <t>Total No. Statements.</t>
  </si>
  <si>
    <t>Total No. Identifiers.</t>
  </si>
  <si>
    <t>Total No. Identifiers each entries.</t>
  </si>
  <si>
    <t>Total No. Statements in each entries.</t>
  </si>
  <si>
    <t>Mean</t>
  </si>
  <si>
    <t>Standard Deviation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</si>
  <si>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</si>
  <si>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</si>
  <si>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</si>
  <si>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</si>
  <si>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</si>
  <si>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</si>
  <si>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</si>
  <si>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</si>
  <si>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Infinite</t>
  </si>
  <si>
    <t>zero</t>
  </si>
  <si>
    <t>inifinite</t>
  </si>
  <si>
    <t>Probability</t>
  </si>
  <si>
    <t>University (QID)</t>
  </si>
  <si>
    <t>Harvard University (Q35794)</t>
  </si>
  <si>
    <t>Stanford University (Q41506)</t>
  </si>
  <si>
    <t>Massachusetts Institute of Technology (Q49108)</t>
  </si>
  <si>
    <t>University of Oxford (Q34433)</t>
  </si>
  <si>
    <t>University of California Berkeley (Q168756)</t>
  </si>
  <si>
    <t>University of Michigan (Q230492)</t>
  </si>
  <si>
    <t>Cornell University (Q49115)</t>
  </si>
  <si>
    <t>University of Washington (Q219563)</t>
  </si>
  <si>
    <t>Columbia University New York (Q49088)</t>
  </si>
  <si>
    <t>University of Pennsylvania (Q49117)</t>
  </si>
  <si>
    <t>University of Cambridge (Q35794)</t>
  </si>
  <si>
    <t>Johns Hopkins University (Q193727)</t>
  </si>
  <si>
    <t>Yale University (Q49112)</t>
  </si>
  <si>
    <t>University of California Los Angeles UCLA (Q174710)</t>
  </si>
  <si>
    <t>UCL University College London (Q193196)</t>
  </si>
  <si>
    <t>University of Toronto (Q180865)</t>
  </si>
  <si>
    <t>University of California San Diego (Q622664)</t>
  </si>
  <si>
    <t>Pennsylvania State University (Q739627)</t>
  </si>
  <si>
    <t>New York University (Q49210)</t>
  </si>
  <si>
    <t>University of Wisconsin Madison (Q838330)</t>
  </si>
  <si>
    <t>Duke University (Q168751)</t>
  </si>
  <si>
    <t>Tsinghua University / 清华大学 (Q16955)</t>
  </si>
  <si>
    <t>Princeton University (Q21578)</t>
  </si>
  <si>
    <t>Northwestern University (Q309350)</t>
  </si>
  <si>
    <t>University of British Columbia (Q391028)</t>
  </si>
  <si>
    <t>University of Texas Austin (Q49213)</t>
  </si>
  <si>
    <t>University of North Carolina Chapel Hill (Q192334)</t>
  </si>
  <si>
    <t>University of Chicago ((Q131252))</t>
  </si>
  <si>
    <t>Peking University / 北京大学 (Q16952)</t>
  </si>
  <si>
    <t>University of California Irvine (Q868421)</t>
  </si>
  <si>
    <t>University of Florida (Q501758)</t>
  </si>
  <si>
    <t>Eidgenössische Technische Hochschule ETH Zürich / Swiss Federal Institute of Technology Zurich (Q11942)</t>
  </si>
  <si>
    <t>Imperial College London (Q189022)</t>
  </si>
  <si>
    <t>University of Melbourne (Q319078)</t>
  </si>
  <si>
    <t>University of California San Francisco (Q1061104)</t>
  </si>
  <si>
    <t>Ohio State University (Q309331)</t>
  </si>
  <si>
    <t>University of California Davis (Q129421)</t>
  </si>
  <si>
    <t>University of Edinburgh (Q160302)</t>
  </si>
  <si>
    <t>University of New South Wales (Q734764)</t>
  </si>
  <si>
    <t>University of Illinois Urbana Champaign (Q457281)</t>
  </si>
  <si>
    <t>Washington University Saint Louis (Q777403)</t>
  </si>
  <si>
    <t>University of Maryland College Park (Q503415)</t>
  </si>
  <si>
    <t>University of Southern California (Q4614)</t>
  </si>
  <si>
    <t>National University of Singapore (Q738236)</t>
  </si>
  <si>
    <t>McGill University (Q201492)</t>
  </si>
  <si>
    <t>Purdue University (Q217741)</t>
  </si>
  <si>
    <t>Michigan State University (Q270222)</t>
  </si>
  <si>
    <t>Carnegie Mellon University (Q190080)</t>
  </si>
  <si>
    <t>University of Queensland (Q866012)</t>
  </si>
  <si>
    <t>University of Pittsburgh (Q235034)</t>
  </si>
  <si>
    <t>Boston University (Q49110)</t>
  </si>
  <si>
    <t>University of Arizona (Q503419)</t>
  </si>
  <si>
    <t>Rutgers The State University of New Jersey (Q499451)</t>
  </si>
  <si>
    <t>Utrecht University / Universiteit Utrecht (Q221653)</t>
  </si>
  <si>
    <t>Texas A&amp;M University (Q49212)</t>
  </si>
  <si>
    <t>University of Sydney (Q487556)</t>
  </si>
  <si>
    <t>University of Amsterdam / Universiteit van Amsterdam (Q214341)</t>
  </si>
  <si>
    <t>Arizona State University (Q670897)</t>
  </si>
  <si>
    <t>Zhejiang University (National Che Kiang University) / 浙江大学 (Q197543)</t>
  </si>
  <si>
    <t>King's College London (Q245247)</t>
  </si>
  <si>
    <t>University of Colorado Boulder (Q736674)</t>
  </si>
  <si>
    <t>Monash University (Q598841)</t>
  </si>
  <si>
    <t>University of Manchester (Q230899)</t>
  </si>
  <si>
    <t>Shanghai Jiao Tong University / 上海交通大学 (Q525169)</t>
  </si>
  <si>
    <t>Vanderbilt University (Q29052)</t>
  </si>
  <si>
    <t>University of Utah (Q168515)</t>
  </si>
  <si>
    <t>California Institute of Technology Caltech (Q161562)</t>
  </si>
  <si>
    <t>University of Virginia (Q213439)</t>
  </si>
  <si>
    <t xml:space="preserve">Georgia Institute of Technology (Q864855) </t>
  </si>
  <si>
    <t>University of Alberta (Q640694)</t>
  </si>
  <si>
    <t>Emory University (Q621043)</t>
  </si>
  <si>
    <t>University of Tokyo / 東京大学 (Q7842)</t>
  </si>
  <si>
    <t>Universidade de São Paulo USP (Q835960)</t>
  </si>
  <si>
    <t>University of Copenhagen / Københavns Universitet (Q186285)</t>
  </si>
  <si>
    <t>Catholic University of Leuven / Katholieke Universiteit Leuven (Q833670)</t>
  </si>
  <si>
    <t xml:space="preserve">Chinese University of Hong Kong (Q15570) </t>
  </si>
  <si>
    <t>Brown University (Q49114)</t>
  </si>
  <si>
    <t>Universitat de Barcelona (Q219615)</t>
  </si>
  <si>
    <t>VU University of Amsterdam / Vrije Universiteit Amsterdam (Q1065414)</t>
  </si>
  <si>
    <t>University of Hong Kong (Q15568)</t>
  </si>
  <si>
    <t>University of Groningen / Rijksuniversiteit Groningen (Q850730)</t>
  </si>
  <si>
    <t>North Carolina State University (Q1132346)</t>
  </si>
  <si>
    <t>Technische Universität München (Q157808)</t>
  </si>
  <si>
    <t>Australian National University (Q127990)</t>
  </si>
  <si>
    <t>University of California Santa Barbara (Q263064)</t>
  </si>
  <si>
    <t xml:space="preserve">University of Waterloo (Q1049470) </t>
  </si>
  <si>
    <t>University of Helsinki / Helsingin yliopisto (Q28695)</t>
  </si>
  <si>
    <t>University of Calgary (Q1067471)</t>
  </si>
  <si>
    <t>Virginia Polytechnic Institute and State University (Q65379)</t>
  </si>
  <si>
    <t>University of Science &amp; Technology of China / 中国科学技术大学 (Q1074103)</t>
  </si>
  <si>
    <t>University of Leeds (Q503424)</t>
  </si>
  <si>
    <t>Nanyang Technological University (Q721064)</t>
  </si>
  <si>
    <t>University of Oslo / Universitetet i Oslo (Q486156)</t>
  </si>
  <si>
    <t>University of Iowa (Q182973)</t>
  </si>
  <si>
    <t>Universität Zürich (Q206702)</t>
  </si>
  <si>
    <t>Fudan University (Shanghai Medical University) / 复旦大学 (Q495015)</t>
  </si>
  <si>
    <t>Università di Bologna (Università degli Studi di Bologna) (Q131262)</t>
  </si>
  <si>
    <t>Aarhus University / Aarhus Universitet (Q924265)</t>
  </si>
  <si>
    <t>École Polytechnique Fédérale de Lausanne (Q262760)</t>
  </si>
  <si>
    <t>University of Rochester (Q149990)</t>
  </si>
  <si>
    <t>Probability Occurence</t>
  </si>
  <si>
    <t>National Library of Israel J1U ID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</si>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</sst>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/>
    <xf numFmtId="0" fontId="0" fillId="0" borderId="0" xfId="0"/>
    <xf numFmtId="0" fontId="0" fillId="2" borderId="0" xfId="0" applyFill="1"/>
    <xf numFmtId="0" fontId="1" fillId="2" borderId="0" xfId="1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1" fillId="4" borderId="0" xfId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1" applyFill="1"/>
    <xf numFmtId="0" fontId="1" fillId="5" borderId="0" xfId="1" applyFill="1"/>
    <xf numFmtId="0" fontId="1" fillId="7" borderId="0" xfId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C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Property:P3977" TargetMode="External"/><Relationship Id="rId299" Type="http://schemas.openxmlformats.org/officeDocument/2006/relationships/hyperlink" Target="https://www.wikidata.org/wiki/Property:P2326" TargetMode="External"/><Relationship Id="rId21" Type="http://schemas.openxmlformats.org/officeDocument/2006/relationships/hyperlink" Target="https://www.wikidata.org/wiki/Property:P1375" TargetMode="External"/><Relationship Id="rId63" Type="http://schemas.openxmlformats.org/officeDocument/2006/relationships/hyperlink" Target="https://www.wikidata.org/wiki/Property:P2847" TargetMode="External"/><Relationship Id="rId159" Type="http://schemas.openxmlformats.org/officeDocument/2006/relationships/hyperlink" Target="https://www.wikidata.org/wiki/Property:P8672" TargetMode="External"/><Relationship Id="rId324" Type="http://schemas.openxmlformats.org/officeDocument/2006/relationships/hyperlink" Target="https://www.wikidata.org/wiki/Property:P6015" TargetMode="External"/><Relationship Id="rId366" Type="http://schemas.openxmlformats.org/officeDocument/2006/relationships/hyperlink" Target="https://www.wikidata.org/wiki/Property:P8350" TargetMode="External"/><Relationship Id="rId170" Type="http://schemas.openxmlformats.org/officeDocument/2006/relationships/hyperlink" Target="https://www.wikidata.org/wiki/Property:P4264" TargetMode="External"/><Relationship Id="rId226" Type="http://schemas.openxmlformats.org/officeDocument/2006/relationships/hyperlink" Target="https://www.wikidata.org/wiki/Property:P11194" TargetMode="External"/><Relationship Id="rId433" Type="http://schemas.openxmlformats.org/officeDocument/2006/relationships/hyperlink" Target="https://www.wikidata.org/wiki/Property:P7506" TargetMode="External"/><Relationship Id="rId268" Type="http://schemas.openxmlformats.org/officeDocument/2006/relationships/hyperlink" Target="https://www.wikidata.org/wiki/Property:P8562" TargetMode="External"/><Relationship Id="rId475" Type="http://schemas.openxmlformats.org/officeDocument/2006/relationships/hyperlink" Target="https://www.wikidata.org/wiki/Property:P4854" TargetMode="External"/><Relationship Id="rId32" Type="http://schemas.openxmlformats.org/officeDocument/2006/relationships/hyperlink" Target="https://www.wikidata.org/wiki/Property:P5604" TargetMode="External"/><Relationship Id="rId74" Type="http://schemas.openxmlformats.org/officeDocument/2006/relationships/hyperlink" Target="https://www.wikidata.org/wiki/Property:P2003" TargetMode="External"/><Relationship Id="rId128" Type="http://schemas.openxmlformats.org/officeDocument/2006/relationships/hyperlink" Target="https://www.wikidata.org/wiki/Property:P5600" TargetMode="External"/><Relationship Id="rId335" Type="http://schemas.openxmlformats.org/officeDocument/2006/relationships/hyperlink" Target="https://www.wikidata.org/wiki/Property:P2627" TargetMode="External"/><Relationship Id="rId377" Type="http://schemas.openxmlformats.org/officeDocument/2006/relationships/hyperlink" Target="https://www.wikidata.org/wiki/Property:P8716" TargetMode="External"/><Relationship Id="rId500" Type="http://schemas.openxmlformats.org/officeDocument/2006/relationships/hyperlink" Target="https://ror.org/01aj84f44" TargetMode="External"/><Relationship Id="rId5" Type="http://schemas.openxmlformats.org/officeDocument/2006/relationships/hyperlink" Target="https://www.wikidata.org/wiki/Property:P8034" TargetMode="External"/><Relationship Id="rId181" Type="http://schemas.openxmlformats.org/officeDocument/2006/relationships/hyperlink" Target="https://www.wikidata.org/wiki/Property:P5587" TargetMode="External"/><Relationship Id="rId237" Type="http://schemas.openxmlformats.org/officeDocument/2006/relationships/hyperlink" Target="https://ror.org/00b30xv10" TargetMode="External"/><Relationship Id="rId402" Type="http://schemas.openxmlformats.org/officeDocument/2006/relationships/hyperlink" Target="https://www.wikidata.org/wiki/Property:P8317" TargetMode="External"/><Relationship Id="rId279" Type="http://schemas.openxmlformats.org/officeDocument/2006/relationships/hyperlink" Target="https://www.wikidata.org/wiki/Property:P2622" TargetMode="External"/><Relationship Id="rId444" Type="http://schemas.openxmlformats.org/officeDocument/2006/relationships/hyperlink" Target="https://www.wikidata.org/wiki/Property:P9477" TargetMode="External"/><Relationship Id="rId486" Type="http://schemas.openxmlformats.org/officeDocument/2006/relationships/hyperlink" Target="https://www.wikidata.org/wiki/Property:P6520" TargetMode="External"/><Relationship Id="rId43" Type="http://schemas.openxmlformats.org/officeDocument/2006/relationships/hyperlink" Target="https://www.wikidata.org/wiki/Property:P5019" TargetMode="External"/><Relationship Id="rId139" Type="http://schemas.openxmlformats.org/officeDocument/2006/relationships/hyperlink" Target="https://www.wikidata.org/wiki/Property:P950" TargetMode="External"/><Relationship Id="rId290" Type="http://schemas.openxmlformats.org/officeDocument/2006/relationships/hyperlink" Target="https://www.wikidata.org/wiki/Property:P3134" TargetMode="External"/><Relationship Id="rId304" Type="http://schemas.openxmlformats.org/officeDocument/2006/relationships/hyperlink" Target="https://www.wikidata.org/wiki/Property:P8272" TargetMode="External"/><Relationship Id="rId346" Type="http://schemas.openxmlformats.org/officeDocument/2006/relationships/hyperlink" Target="https://www.wikidata.org/wiki/Property:P4228" TargetMode="External"/><Relationship Id="rId388" Type="http://schemas.openxmlformats.org/officeDocument/2006/relationships/hyperlink" Target="https://www.wikidata.org/wiki/Property:P9575" TargetMode="External"/><Relationship Id="rId85" Type="http://schemas.openxmlformats.org/officeDocument/2006/relationships/hyperlink" Target="https://www.wikidata.org/wiki/Property:P2174" TargetMode="External"/><Relationship Id="rId150" Type="http://schemas.openxmlformats.org/officeDocument/2006/relationships/hyperlink" Target="https://www.wikidata.org/wiki/Property:P7886" TargetMode="External"/><Relationship Id="rId192" Type="http://schemas.openxmlformats.org/officeDocument/2006/relationships/hyperlink" Target="https://www.wikidata.org/wiki/Property:P5337" TargetMode="External"/><Relationship Id="rId206" Type="http://schemas.openxmlformats.org/officeDocument/2006/relationships/hyperlink" Target="https://ror.org/01an7q238" TargetMode="External"/><Relationship Id="rId413" Type="http://schemas.openxmlformats.org/officeDocument/2006/relationships/hyperlink" Target="https://ror.org/04pp8hn57" TargetMode="External"/><Relationship Id="rId248" Type="http://schemas.openxmlformats.org/officeDocument/2006/relationships/hyperlink" Target="https://www.wikidata.org/wiki/Property:P1320" TargetMode="External"/><Relationship Id="rId455" Type="http://schemas.openxmlformats.org/officeDocument/2006/relationships/hyperlink" Target="https://ror.org/05gq02987" TargetMode="External"/><Relationship Id="rId497" Type="http://schemas.openxmlformats.org/officeDocument/2006/relationships/hyperlink" Target="https://www.wikidata.org/wiki/Property:P5492" TargetMode="External"/><Relationship Id="rId12" Type="http://schemas.openxmlformats.org/officeDocument/2006/relationships/hyperlink" Target="https://www.wikidata.org/wiki/Property:P8189" TargetMode="External"/><Relationship Id="rId108" Type="http://schemas.openxmlformats.org/officeDocument/2006/relationships/hyperlink" Target="https://www.wikidata.org/wiki/Property:P2740" TargetMode="External"/><Relationship Id="rId315" Type="http://schemas.openxmlformats.org/officeDocument/2006/relationships/hyperlink" Target="https://ror.org/00hx57361" TargetMode="External"/><Relationship Id="rId357" Type="http://schemas.openxmlformats.org/officeDocument/2006/relationships/hyperlink" Target="https://www.wikidata.org/wiki/Property:P6766" TargetMode="External"/><Relationship Id="rId54" Type="http://schemas.openxmlformats.org/officeDocument/2006/relationships/hyperlink" Target="https://www.wikidata.org/wiki/Property:P7818" TargetMode="External"/><Relationship Id="rId96" Type="http://schemas.openxmlformats.org/officeDocument/2006/relationships/hyperlink" Target="https://www.wikidata.org/wiki/Property:P3153" TargetMode="External"/><Relationship Id="rId161" Type="http://schemas.openxmlformats.org/officeDocument/2006/relationships/hyperlink" Target="https://www.wikidata.org/wiki/Property:P9984" TargetMode="External"/><Relationship Id="rId217" Type="http://schemas.openxmlformats.org/officeDocument/2006/relationships/hyperlink" Target="https://www.wikidata.org/wiki/Property:P1890" TargetMode="External"/><Relationship Id="rId399" Type="http://schemas.openxmlformats.org/officeDocument/2006/relationships/hyperlink" Target="https://www.wikidata.org/wiki/Property:P11693" TargetMode="External"/><Relationship Id="rId259" Type="http://schemas.openxmlformats.org/officeDocument/2006/relationships/hyperlink" Target="https://www.wikidata.org/wiki/Property:P3608" TargetMode="External"/><Relationship Id="rId424" Type="http://schemas.openxmlformats.org/officeDocument/2006/relationships/hyperlink" Target="https://ror.org/03czfpz43" TargetMode="External"/><Relationship Id="rId466" Type="http://schemas.openxmlformats.org/officeDocument/2006/relationships/hyperlink" Target="https://ror.org/019wvm592" TargetMode="External"/><Relationship Id="rId23" Type="http://schemas.openxmlformats.org/officeDocument/2006/relationships/hyperlink" Target="https://www.wikidata.org/wiki/Property:P7293" TargetMode="External"/><Relationship Id="rId119" Type="http://schemas.openxmlformats.org/officeDocument/2006/relationships/hyperlink" Target="https://www.wikidata.org/wiki/Property:P4342" TargetMode="External"/><Relationship Id="rId270" Type="http://schemas.openxmlformats.org/officeDocument/2006/relationships/hyperlink" Target="https://www.wikidata.org/wiki/Property:P11137" TargetMode="External"/><Relationship Id="rId326" Type="http://schemas.openxmlformats.org/officeDocument/2006/relationships/hyperlink" Target="https://www.wikidata.org/wiki/Property:P9815" TargetMode="External"/><Relationship Id="rId65" Type="http://schemas.openxmlformats.org/officeDocument/2006/relationships/hyperlink" Target="https://www.wikidata.org/wiki/Property:P1296" TargetMode="External"/><Relationship Id="rId130" Type="http://schemas.openxmlformats.org/officeDocument/2006/relationships/hyperlink" Target="https://www.wikidata.org/wiki/Property:P6821" TargetMode="External"/><Relationship Id="rId368" Type="http://schemas.openxmlformats.org/officeDocument/2006/relationships/hyperlink" Target="https://ror.org/01an3r305" TargetMode="External"/><Relationship Id="rId172" Type="http://schemas.openxmlformats.org/officeDocument/2006/relationships/hyperlink" Target="https://www.wikidata.org/wiki/Property:P3874" TargetMode="External"/><Relationship Id="rId228" Type="http://schemas.openxmlformats.org/officeDocument/2006/relationships/hyperlink" Target="https://www.wikidata.org/wiki/Property:P396" TargetMode="External"/><Relationship Id="rId435" Type="http://schemas.openxmlformats.org/officeDocument/2006/relationships/hyperlink" Target="https://www.wikidata.org/wiki/Property:P3788" TargetMode="External"/><Relationship Id="rId477" Type="http://schemas.openxmlformats.org/officeDocument/2006/relationships/hyperlink" Target="https://ror.org/03yjb2x39" TargetMode="External"/><Relationship Id="rId281" Type="http://schemas.openxmlformats.org/officeDocument/2006/relationships/hyperlink" Target="https://ror.org/03dbr7087" TargetMode="External"/><Relationship Id="rId337" Type="http://schemas.openxmlformats.org/officeDocument/2006/relationships/hyperlink" Target="https://www.wikidata.org/wiki/Property:P2270" TargetMode="External"/><Relationship Id="rId502" Type="http://schemas.openxmlformats.org/officeDocument/2006/relationships/hyperlink" Target="https://ror.org/022kthw22" TargetMode="External"/><Relationship Id="rId34" Type="http://schemas.openxmlformats.org/officeDocument/2006/relationships/hyperlink" Target="https://www.wikidata.org/wiki/Property:P9629" TargetMode="External"/><Relationship Id="rId76" Type="http://schemas.openxmlformats.org/officeDocument/2006/relationships/hyperlink" Target="https://www.wikidata.org/wiki/Property:P5063" TargetMode="External"/><Relationship Id="rId141" Type="http://schemas.openxmlformats.org/officeDocument/2006/relationships/hyperlink" Target="https://www.wikidata.org/wiki/Property:P1670" TargetMode="External"/><Relationship Id="rId379" Type="http://schemas.openxmlformats.org/officeDocument/2006/relationships/hyperlink" Target="https://ror.org/05qwgg493" TargetMode="External"/><Relationship Id="rId7" Type="http://schemas.openxmlformats.org/officeDocument/2006/relationships/hyperlink" Target="https://www.wikidata.org/wiki/Property:P1015" TargetMode="External"/><Relationship Id="rId183" Type="http://schemas.openxmlformats.org/officeDocument/2006/relationships/hyperlink" Target="https://www.wikidata.org/wiki/Property:P1711" TargetMode="External"/><Relationship Id="rId239" Type="http://schemas.openxmlformats.org/officeDocument/2006/relationships/hyperlink" Target="https://www.wikidata.org/wiki/Property:P3377" TargetMode="External"/><Relationship Id="rId390" Type="http://schemas.openxmlformats.org/officeDocument/2006/relationships/hyperlink" Target="https://www.wikidata.org/wiki/Property:P8699" TargetMode="External"/><Relationship Id="rId404" Type="http://schemas.openxmlformats.org/officeDocument/2006/relationships/hyperlink" Target="https://www.wikidata.org/wiki/Property:P5200" TargetMode="External"/><Relationship Id="rId446" Type="http://schemas.openxmlformats.org/officeDocument/2006/relationships/hyperlink" Target="https://www.wikidata.org/wiki/Property:P12046" TargetMode="External"/><Relationship Id="rId250" Type="http://schemas.openxmlformats.org/officeDocument/2006/relationships/hyperlink" Target="https://ror.org/00za53h95" TargetMode="External"/><Relationship Id="rId292" Type="http://schemas.openxmlformats.org/officeDocument/2006/relationships/hyperlink" Target="https://www.wikidata.org/wiki/Property:P7003" TargetMode="External"/><Relationship Id="rId306" Type="http://schemas.openxmlformats.org/officeDocument/2006/relationships/hyperlink" Target="https://www.wikidata.org/wiki/Property:P7901" TargetMode="External"/><Relationship Id="rId488" Type="http://schemas.openxmlformats.org/officeDocument/2006/relationships/hyperlink" Target="https://www.wikidata.org/wiki/Property:P2333" TargetMode="External"/><Relationship Id="rId45" Type="http://schemas.openxmlformats.org/officeDocument/2006/relationships/hyperlink" Target="https://www.wikidata.org/wiki/Property:P11496" TargetMode="External"/><Relationship Id="rId87" Type="http://schemas.openxmlformats.org/officeDocument/2006/relationships/hyperlink" Target="https://www.wikidata.org/wiki/Property:P1004" TargetMode="External"/><Relationship Id="rId110" Type="http://schemas.openxmlformats.org/officeDocument/2006/relationships/hyperlink" Target="https://www.wikidata.org/wiki/Property:P6782" TargetMode="External"/><Relationship Id="rId348" Type="http://schemas.openxmlformats.org/officeDocument/2006/relationships/hyperlink" Target="https://www.wikidata.org/wiki/Property:P10068" TargetMode="External"/><Relationship Id="rId152" Type="http://schemas.openxmlformats.org/officeDocument/2006/relationships/hyperlink" Target="https://www.wikidata.org/wiki/Property:P1695" TargetMode="External"/><Relationship Id="rId194" Type="http://schemas.openxmlformats.org/officeDocument/2006/relationships/hyperlink" Target="https://www.wikidata.org/wiki/Property:P6773" TargetMode="External"/><Relationship Id="rId208" Type="http://schemas.openxmlformats.org/officeDocument/2006/relationships/hyperlink" Target="https://www.wikidata.org/wiki/Property:P9984" TargetMode="External"/><Relationship Id="rId415" Type="http://schemas.openxmlformats.org/officeDocument/2006/relationships/hyperlink" Target="https://ror.org/03r0ha626" TargetMode="External"/><Relationship Id="rId457" Type="http://schemas.openxmlformats.org/officeDocument/2006/relationships/hyperlink" Target="https://www.wikidata.org/wiki/Property:P6645" TargetMode="External"/><Relationship Id="rId261" Type="http://schemas.openxmlformats.org/officeDocument/2006/relationships/hyperlink" Target="https://www.wikidata.org/wiki/Property:P6214" TargetMode="External"/><Relationship Id="rId499" Type="http://schemas.openxmlformats.org/officeDocument/2006/relationships/hyperlink" Target="https://www.wikidata.org/wiki/Property:P7666" TargetMode="External"/><Relationship Id="rId14" Type="http://schemas.openxmlformats.org/officeDocument/2006/relationships/hyperlink" Target="https://www.wikidata.org/wiki/Property:P5034" TargetMode="External"/><Relationship Id="rId56" Type="http://schemas.openxmlformats.org/officeDocument/2006/relationships/hyperlink" Target="https://www.wikidata.org/wiki/Property:P4013" TargetMode="External"/><Relationship Id="rId317" Type="http://schemas.openxmlformats.org/officeDocument/2006/relationships/hyperlink" Target="https://www.wikidata.org/wiki/Property:P2984" TargetMode="External"/><Relationship Id="rId359" Type="http://schemas.openxmlformats.org/officeDocument/2006/relationships/hyperlink" Target="https://ror.org/047s2c258" TargetMode="External"/><Relationship Id="rId98" Type="http://schemas.openxmlformats.org/officeDocument/2006/relationships/hyperlink" Target="https://www.wikidata.org/wiki/Property:P10283" TargetMode="External"/><Relationship Id="rId121" Type="http://schemas.openxmlformats.org/officeDocument/2006/relationships/hyperlink" Target="https://www.wikidata.org/wiki/Property:P3984" TargetMode="External"/><Relationship Id="rId163" Type="http://schemas.openxmlformats.org/officeDocument/2006/relationships/hyperlink" Target="https://www.wikidata.org/wiki/Property:P6200" TargetMode="External"/><Relationship Id="rId219" Type="http://schemas.openxmlformats.org/officeDocument/2006/relationships/hyperlink" Target="https://www.wikidata.org/wiki/Property:P2771" TargetMode="External"/><Relationship Id="rId370" Type="http://schemas.openxmlformats.org/officeDocument/2006/relationships/hyperlink" Target="https://ror.org/05x2bcf33" TargetMode="External"/><Relationship Id="rId426" Type="http://schemas.openxmlformats.org/officeDocument/2006/relationships/hyperlink" Target="https://ror.org/057zh3y96" TargetMode="External"/><Relationship Id="rId230" Type="http://schemas.openxmlformats.org/officeDocument/2006/relationships/hyperlink" Target="https://www.wikidata.org/wiki/Property:P3943" TargetMode="External"/><Relationship Id="rId468" Type="http://schemas.openxmlformats.org/officeDocument/2006/relationships/hyperlink" Target="https://www.wikidata.org/wiki/Property:P10856" TargetMode="External"/><Relationship Id="rId25" Type="http://schemas.openxmlformats.org/officeDocument/2006/relationships/hyperlink" Target="https://www.wikidata.org/wiki/Property:P3065" TargetMode="External"/><Relationship Id="rId67" Type="http://schemas.openxmlformats.org/officeDocument/2006/relationships/hyperlink" Target="https://www.wikidata.org/wiki/Property:P2427" TargetMode="External"/><Relationship Id="rId272" Type="http://schemas.openxmlformats.org/officeDocument/2006/relationships/hyperlink" Target="https://www.wikidata.org/wiki/Property:P7028" TargetMode="External"/><Relationship Id="rId328" Type="http://schemas.openxmlformats.org/officeDocument/2006/relationships/hyperlink" Target="https://www.wikidata.org/wiki/Property:P6394" TargetMode="External"/><Relationship Id="rId132" Type="http://schemas.openxmlformats.org/officeDocument/2006/relationships/hyperlink" Target="https://www.wikidata.org/wiki/Property:P12086" TargetMode="External"/><Relationship Id="rId174" Type="http://schemas.openxmlformats.org/officeDocument/2006/relationships/hyperlink" Target="https://www.wikidata.org/wiki/Property:P1870" TargetMode="External"/><Relationship Id="rId381" Type="http://schemas.openxmlformats.org/officeDocument/2006/relationships/hyperlink" Target="https://www.wikidata.org/wiki/Property:P11921" TargetMode="External"/><Relationship Id="rId241" Type="http://schemas.openxmlformats.org/officeDocument/2006/relationships/hyperlink" Target="https://www.wikidata.org/wiki/Property:P3267" TargetMode="External"/><Relationship Id="rId437" Type="http://schemas.openxmlformats.org/officeDocument/2006/relationships/hyperlink" Target="https://www.wikidata.org/wiki/Property:P6204" TargetMode="External"/><Relationship Id="rId479" Type="http://schemas.openxmlformats.org/officeDocument/2006/relationships/hyperlink" Target="https://ror.org/024mrxd33" TargetMode="External"/><Relationship Id="rId36" Type="http://schemas.openxmlformats.org/officeDocument/2006/relationships/hyperlink" Target="https://www.wikidata.org/wiki/Property:P3797" TargetMode="External"/><Relationship Id="rId283" Type="http://schemas.openxmlformats.org/officeDocument/2006/relationships/hyperlink" Target="https://ror.org/0168r3w48" TargetMode="External"/><Relationship Id="rId339" Type="http://schemas.openxmlformats.org/officeDocument/2006/relationships/hyperlink" Target="https://ror.org/047426m28" TargetMode="External"/><Relationship Id="rId490" Type="http://schemas.openxmlformats.org/officeDocument/2006/relationships/hyperlink" Target="https://www.wikidata.org/wiki/Property:P10217" TargetMode="External"/><Relationship Id="rId78" Type="http://schemas.openxmlformats.org/officeDocument/2006/relationships/hyperlink" Target="https://www.wikidata.org/wiki/Property:P6698" TargetMode="External"/><Relationship Id="rId101" Type="http://schemas.openxmlformats.org/officeDocument/2006/relationships/hyperlink" Target="https://www.wikidata.org/wiki/Property:P4293" TargetMode="External"/><Relationship Id="rId143" Type="http://schemas.openxmlformats.org/officeDocument/2006/relationships/hyperlink" Target="https://www.wikidata.org/wiki/Property:P10227" TargetMode="External"/><Relationship Id="rId185" Type="http://schemas.openxmlformats.org/officeDocument/2006/relationships/hyperlink" Target="https://www.wikidata.org/wiki/Property:P2253" TargetMode="External"/><Relationship Id="rId350" Type="http://schemas.openxmlformats.org/officeDocument/2006/relationships/hyperlink" Target="https://ror.org/043mz5j54" TargetMode="External"/><Relationship Id="rId406" Type="http://schemas.openxmlformats.org/officeDocument/2006/relationships/hyperlink" Target="https://ror.org/02vm5rt34" TargetMode="External"/><Relationship Id="rId9" Type="http://schemas.openxmlformats.org/officeDocument/2006/relationships/hyperlink" Target="https://www.wikidata.org/wiki/Property:P8179" TargetMode="External"/><Relationship Id="rId210" Type="http://schemas.openxmlformats.org/officeDocument/2006/relationships/hyperlink" Target="https://www.wikidata.org/wiki/Property:P3836" TargetMode="External"/><Relationship Id="rId392" Type="http://schemas.openxmlformats.org/officeDocument/2006/relationships/hyperlink" Target="https://ror.org/00a2xv884" TargetMode="External"/><Relationship Id="rId448" Type="http://schemas.openxmlformats.org/officeDocument/2006/relationships/hyperlink" Target="https://www.wikidata.org/wiki/Property:P2372" TargetMode="External"/><Relationship Id="rId252" Type="http://schemas.openxmlformats.org/officeDocument/2006/relationships/hyperlink" Target="https://www.wikidata.org/wiki/Property:P8217" TargetMode="External"/><Relationship Id="rId294" Type="http://schemas.openxmlformats.org/officeDocument/2006/relationships/hyperlink" Target="https://www.wikidata.org/wiki/Property:P6157" TargetMode="External"/><Relationship Id="rId308" Type="http://schemas.openxmlformats.org/officeDocument/2006/relationships/hyperlink" Target="https://ror.org/02v51f717" TargetMode="External"/><Relationship Id="rId47" Type="http://schemas.openxmlformats.org/officeDocument/2006/relationships/hyperlink" Target="https://www.wikidata.org/wiki/Property:P6706" TargetMode="External"/><Relationship Id="rId89" Type="http://schemas.openxmlformats.org/officeDocument/2006/relationships/hyperlink" Target="https://www.wikidata.org/wiki/Property:P3222" TargetMode="External"/><Relationship Id="rId112" Type="http://schemas.openxmlformats.org/officeDocument/2006/relationships/hyperlink" Target="https://www.wikidata.org/wiki/Property:P5432" TargetMode="External"/><Relationship Id="rId154" Type="http://schemas.openxmlformats.org/officeDocument/2006/relationships/hyperlink" Target="https://www.wikidata.org/wiki/Property:P3762" TargetMode="External"/><Relationship Id="rId361" Type="http://schemas.openxmlformats.org/officeDocument/2006/relationships/hyperlink" Target="https://ror.org/01nrxwf90" TargetMode="External"/><Relationship Id="rId196" Type="http://schemas.openxmlformats.org/officeDocument/2006/relationships/hyperlink" Target="https://www.wikidata.org/wiki/Property:P2966" TargetMode="External"/><Relationship Id="rId417" Type="http://schemas.openxmlformats.org/officeDocument/2006/relationships/hyperlink" Target="https://ror.org/0160cpw27" TargetMode="External"/><Relationship Id="rId459" Type="http://schemas.openxmlformats.org/officeDocument/2006/relationships/hyperlink" Target="https://www.wikidata.org/wiki/Property:P8309" TargetMode="External"/><Relationship Id="rId16" Type="http://schemas.openxmlformats.org/officeDocument/2006/relationships/hyperlink" Target="https://www.wikidata.org/wiki/Property:P7699" TargetMode="External"/><Relationship Id="rId221" Type="http://schemas.openxmlformats.org/officeDocument/2006/relationships/hyperlink" Target="https://www.wikidata.org/wiki/Property:P1968" TargetMode="External"/><Relationship Id="rId263" Type="http://schemas.openxmlformats.org/officeDocument/2006/relationships/hyperlink" Target="https://www.wikidata.org/wiki/Property:P3899" TargetMode="External"/><Relationship Id="rId319" Type="http://schemas.openxmlformats.org/officeDocument/2006/relationships/hyperlink" Target="https://ror.org/0130frc33" TargetMode="External"/><Relationship Id="rId470" Type="http://schemas.openxmlformats.org/officeDocument/2006/relationships/hyperlink" Target="https://ror.org/01aff2v68" TargetMode="External"/><Relationship Id="rId58" Type="http://schemas.openxmlformats.org/officeDocument/2006/relationships/hyperlink" Target="https://www.wikidata.org/wiki/Property:P590" TargetMode="External"/><Relationship Id="rId123" Type="http://schemas.openxmlformats.org/officeDocument/2006/relationships/hyperlink" Target="https://www.wikidata.org/wiki/Property:P11892" TargetMode="External"/><Relationship Id="rId330" Type="http://schemas.openxmlformats.org/officeDocument/2006/relationships/hyperlink" Target="https://www.wikidata.org/wiki/Property:P1155" TargetMode="External"/><Relationship Id="rId165" Type="http://schemas.openxmlformats.org/officeDocument/2006/relationships/hyperlink" Target="https://www.wikidata.org/wiki/Property:P4104" TargetMode="External"/><Relationship Id="rId372" Type="http://schemas.openxmlformats.org/officeDocument/2006/relationships/hyperlink" Target="https://ror.org/05hs6h993" TargetMode="External"/><Relationship Id="rId428" Type="http://schemas.openxmlformats.org/officeDocument/2006/relationships/hyperlink" Target="https://www.wikidata.org/wiki/Property:P5184" TargetMode="External"/><Relationship Id="rId232" Type="http://schemas.openxmlformats.org/officeDocument/2006/relationships/hyperlink" Target="https://www.wikidata.org/wiki/Property:P2011" TargetMode="External"/><Relationship Id="rId274" Type="http://schemas.openxmlformats.org/officeDocument/2006/relationships/hyperlink" Target="https://www.wikidata.org/wiki/Property:P6295" TargetMode="External"/><Relationship Id="rId481" Type="http://schemas.openxmlformats.org/officeDocument/2006/relationships/hyperlink" Target="https://www.wikidata.org/wiki/Property:P3120" TargetMode="External"/><Relationship Id="rId27" Type="http://schemas.openxmlformats.org/officeDocument/2006/relationships/hyperlink" Target="https://www.wikidata.org/wiki/Property:P7859" TargetMode="External"/><Relationship Id="rId69" Type="http://schemas.openxmlformats.org/officeDocument/2006/relationships/hyperlink" Target="https://www.wikidata.org/wiki/Property:P9943" TargetMode="External"/><Relationship Id="rId134" Type="http://schemas.openxmlformats.org/officeDocument/2006/relationships/hyperlink" Target="https://www.wikidata.org/wiki/Property:P8814" TargetMode="External"/><Relationship Id="rId80" Type="http://schemas.openxmlformats.org/officeDocument/2006/relationships/hyperlink" Target="https://www.wikidata.org/wiki/Property:P3393" TargetMode="External"/><Relationship Id="rId176" Type="http://schemas.openxmlformats.org/officeDocument/2006/relationships/hyperlink" Target="https://www.wikidata.org/wiki/Property:P4012" TargetMode="External"/><Relationship Id="rId341" Type="http://schemas.openxmlformats.org/officeDocument/2006/relationships/hyperlink" Target="https://www.wikidata.org/wiki/Property:P774" TargetMode="External"/><Relationship Id="rId383" Type="http://schemas.openxmlformats.org/officeDocument/2006/relationships/hyperlink" Target="https://www.wikidata.org/wiki/Property:P5858" TargetMode="External"/><Relationship Id="rId439" Type="http://schemas.openxmlformats.org/officeDocument/2006/relationships/hyperlink" Target="https://www.wikidata.org/wiki/Property:P4597" TargetMode="External"/><Relationship Id="rId201" Type="http://schemas.openxmlformats.org/officeDocument/2006/relationships/hyperlink" Target="https://www.wikidata.org/wiki/Property:P4808" TargetMode="External"/><Relationship Id="rId243" Type="http://schemas.openxmlformats.org/officeDocument/2006/relationships/hyperlink" Target="https://www.wikidata.org/wiki/Property:P8060" TargetMode="External"/><Relationship Id="rId285" Type="http://schemas.openxmlformats.org/officeDocument/2006/relationships/hyperlink" Target="https://www.wikidata.org/wiki/Property:P6848" TargetMode="External"/><Relationship Id="rId450" Type="http://schemas.openxmlformats.org/officeDocument/2006/relationships/hyperlink" Target="https://www.wikidata.org/wiki/Property:P5739" TargetMode="External"/><Relationship Id="rId38" Type="http://schemas.openxmlformats.org/officeDocument/2006/relationships/hyperlink" Target="https://www.wikidata.org/wiki/Property:P2581" TargetMode="External"/><Relationship Id="rId103" Type="http://schemas.openxmlformats.org/officeDocument/2006/relationships/hyperlink" Target="https://www.wikidata.org/wiki/Property:P8349" TargetMode="External"/><Relationship Id="rId310" Type="http://schemas.openxmlformats.org/officeDocument/2006/relationships/hyperlink" Target="https://www.wikidata.org/wiki/Property:P7650" TargetMode="External"/><Relationship Id="rId492" Type="http://schemas.openxmlformats.org/officeDocument/2006/relationships/hyperlink" Target="https://ror.org/02crff812" TargetMode="External"/><Relationship Id="rId91" Type="http://schemas.openxmlformats.org/officeDocument/2006/relationships/hyperlink" Target="https://www.wikidata.org/wiki/Property:P6900" TargetMode="External"/><Relationship Id="rId145" Type="http://schemas.openxmlformats.org/officeDocument/2006/relationships/hyperlink" Target="https://www.wikidata.org/wiki/Property:P10206" TargetMode="External"/><Relationship Id="rId187" Type="http://schemas.openxmlformats.org/officeDocument/2006/relationships/hyperlink" Target="https://www.wikidata.org/wiki/Property:P4672" TargetMode="External"/><Relationship Id="rId352" Type="http://schemas.openxmlformats.org/officeDocument/2006/relationships/hyperlink" Target="https://www.wikidata.org/wiki/Property:P4146" TargetMode="External"/><Relationship Id="rId394" Type="http://schemas.openxmlformats.org/officeDocument/2006/relationships/hyperlink" Target="https://www.wikidata.org/wiki/Property:P3273" TargetMode="External"/><Relationship Id="rId408" Type="http://schemas.openxmlformats.org/officeDocument/2006/relationships/hyperlink" Target="https://ror.org/05dxps055" TargetMode="External"/><Relationship Id="rId212" Type="http://schemas.openxmlformats.org/officeDocument/2006/relationships/hyperlink" Target="https://www.wikidata.org/wiki/Property:P7369" TargetMode="External"/><Relationship Id="rId254" Type="http://schemas.openxmlformats.org/officeDocument/2006/relationships/hyperlink" Target="https://ror.org/013meh722" TargetMode="External"/><Relationship Id="rId49" Type="http://schemas.openxmlformats.org/officeDocument/2006/relationships/hyperlink" Target="https://www.wikidata.org/wiki/Property:P1417" TargetMode="External"/><Relationship Id="rId114" Type="http://schemas.openxmlformats.org/officeDocument/2006/relationships/hyperlink" Target="https://www.wikidata.org/wiki/Property:P3987" TargetMode="External"/><Relationship Id="rId296" Type="http://schemas.openxmlformats.org/officeDocument/2006/relationships/hyperlink" Target="https://ror.org/03cve4549" TargetMode="External"/><Relationship Id="rId461" Type="http://schemas.openxmlformats.org/officeDocument/2006/relationships/hyperlink" Target="https://ror.org/04tj63d06" TargetMode="External"/><Relationship Id="rId60" Type="http://schemas.openxmlformats.org/officeDocument/2006/relationships/hyperlink" Target="https://www.wikidata.org/wiki/Property:P10297" TargetMode="External"/><Relationship Id="rId156" Type="http://schemas.openxmlformats.org/officeDocument/2006/relationships/hyperlink" Target="https://www.wikidata.org/wiki/Property:P3544" TargetMode="External"/><Relationship Id="rId198" Type="http://schemas.openxmlformats.org/officeDocument/2006/relationships/hyperlink" Target="https://www.wikidata.org/wiki/Property:P3847" TargetMode="External"/><Relationship Id="rId321" Type="http://schemas.openxmlformats.org/officeDocument/2006/relationships/hyperlink" Target="https://www.wikidata.org/wiki/Property:P7846" TargetMode="External"/><Relationship Id="rId363" Type="http://schemas.openxmlformats.org/officeDocument/2006/relationships/hyperlink" Target="https://ror.org/01tgyzw49" TargetMode="External"/><Relationship Id="rId419" Type="http://schemas.openxmlformats.org/officeDocument/2006/relationships/hyperlink" Target="https://www.wikidata.org/wiki/Property:P10480" TargetMode="External"/><Relationship Id="rId223" Type="http://schemas.openxmlformats.org/officeDocument/2006/relationships/hyperlink" Target="https://www.wikidata.org/wiki/Property:P1297" TargetMode="External"/><Relationship Id="rId430" Type="http://schemas.openxmlformats.org/officeDocument/2006/relationships/hyperlink" Target="https://www.wikidata.org/wiki/Property:P7251" TargetMode="External"/><Relationship Id="rId18" Type="http://schemas.openxmlformats.org/officeDocument/2006/relationships/hyperlink" Target="https://www.wikidata.org/wiki/Property:P271" TargetMode="External"/><Relationship Id="rId265" Type="http://schemas.openxmlformats.org/officeDocument/2006/relationships/hyperlink" Target="https://www.wikidata.org/wiki/Property:P7560" TargetMode="External"/><Relationship Id="rId472" Type="http://schemas.openxmlformats.org/officeDocument/2006/relationships/hyperlink" Target="https://www.wikidata.org/wiki/Property:P5266" TargetMode="External"/><Relationship Id="rId125" Type="http://schemas.openxmlformats.org/officeDocument/2006/relationships/hyperlink" Target="https://www.wikidata.org/wiki/Property:P3365" TargetMode="External"/><Relationship Id="rId167" Type="http://schemas.openxmlformats.org/officeDocument/2006/relationships/hyperlink" Target="https://www.wikidata.org/wiki/Property:P9545" TargetMode="External"/><Relationship Id="rId332" Type="http://schemas.openxmlformats.org/officeDocument/2006/relationships/hyperlink" Target="https://ror.org/02y3ad647" TargetMode="External"/><Relationship Id="rId374" Type="http://schemas.openxmlformats.org/officeDocument/2006/relationships/hyperlink" Target="https://www.wikidata.org/wiki/Property:P4090" TargetMode="External"/><Relationship Id="rId71" Type="http://schemas.openxmlformats.org/officeDocument/2006/relationships/hyperlink" Target="https://www.wikidata.org/wiki/Property:P345" TargetMode="External"/><Relationship Id="rId234" Type="http://schemas.openxmlformats.org/officeDocument/2006/relationships/hyperlink" Target="https://www.wikidata.org/wiki/Property:P5785" TargetMode="External"/><Relationship Id="rId2" Type="http://schemas.openxmlformats.org/officeDocument/2006/relationships/hyperlink" Target="https://www.wikidata.org/wiki/Property:P791" TargetMode="External"/><Relationship Id="rId29" Type="http://schemas.openxmlformats.org/officeDocument/2006/relationships/hyperlink" Target="https://www.wikidata.org/wiki/Property:P2342" TargetMode="External"/><Relationship Id="rId276" Type="http://schemas.openxmlformats.org/officeDocument/2006/relationships/hyperlink" Target="https://www.wikidata.org/wiki/Property:P10327" TargetMode="External"/><Relationship Id="rId441" Type="http://schemas.openxmlformats.org/officeDocument/2006/relationships/hyperlink" Target="https://www.wikidata.org/wiki/Property:P1059" TargetMode="External"/><Relationship Id="rId483" Type="http://schemas.openxmlformats.org/officeDocument/2006/relationships/hyperlink" Target="https://www.wikidata.org/wiki/Property:P9368" TargetMode="External"/><Relationship Id="rId40" Type="http://schemas.openxmlformats.org/officeDocument/2006/relationships/hyperlink" Target="https://www.wikidata.org/wiki/Property:P9037" TargetMode="External"/><Relationship Id="rId136" Type="http://schemas.openxmlformats.org/officeDocument/2006/relationships/hyperlink" Target="https://ror.org/03vek6s52" TargetMode="External"/><Relationship Id="rId178" Type="http://schemas.openxmlformats.org/officeDocument/2006/relationships/hyperlink" Target="https://www.wikidata.org/wiki/Property:P2002" TargetMode="External"/><Relationship Id="rId301" Type="http://schemas.openxmlformats.org/officeDocument/2006/relationships/hyperlink" Target="https://www.wikidata.org/wiki/Property:P6795" TargetMode="External"/><Relationship Id="rId343" Type="http://schemas.openxmlformats.org/officeDocument/2006/relationships/hyperlink" Target="https://www.wikidata.org/wiki/Property:P1662" TargetMode="External"/><Relationship Id="rId82" Type="http://schemas.openxmlformats.org/officeDocument/2006/relationships/hyperlink" Target="https://www.wikidata.org/wiki/Property:P10882" TargetMode="External"/><Relationship Id="rId203" Type="http://schemas.openxmlformats.org/officeDocument/2006/relationships/hyperlink" Target="https://www.wikidata.org/wiki/Property:P4971" TargetMode="External"/><Relationship Id="rId385" Type="http://schemas.openxmlformats.org/officeDocument/2006/relationships/hyperlink" Target="https://www.wikidata.org/wiki/Property:P7869" TargetMode="External"/><Relationship Id="rId245" Type="http://schemas.openxmlformats.org/officeDocument/2006/relationships/hyperlink" Target="https://www.wikidata.org/wiki/Property:P7471" TargetMode="External"/><Relationship Id="rId287" Type="http://schemas.openxmlformats.org/officeDocument/2006/relationships/hyperlink" Target="https://www.wikidata.org/wiki/Property:P1968" TargetMode="External"/><Relationship Id="rId410" Type="http://schemas.openxmlformats.org/officeDocument/2006/relationships/hyperlink" Target="https://ror.org/027m9bs27" TargetMode="External"/><Relationship Id="rId452" Type="http://schemas.openxmlformats.org/officeDocument/2006/relationships/hyperlink" Target="https://www.wikidata.org/wiki/Property:P5300" TargetMode="External"/><Relationship Id="rId494" Type="http://schemas.openxmlformats.org/officeDocument/2006/relationships/hyperlink" Target="https://www.wikidata.org/wiki/Property:P7771" TargetMode="External"/><Relationship Id="rId105" Type="http://schemas.openxmlformats.org/officeDocument/2006/relationships/hyperlink" Target="https://www.wikidata.org/wiki/Property:P3417" TargetMode="External"/><Relationship Id="rId147" Type="http://schemas.openxmlformats.org/officeDocument/2006/relationships/hyperlink" Target="https://www.wikidata.org/wiki/Property:P6653" TargetMode="External"/><Relationship Id="rId312" Type="http://schemas.openxmlformats.org/officeDocument/2006/relationships/hyperlink" Target="https://ror.org/0190ak572" TargetMode="External"/><Relationship Id="rId354" Type="http://schemas.openxmlformats.org/officeDocument/2006/relationships/hyperlink" Target="https://www.wikidata.org/wiki/Property:P10008" TargetMode="External"/><Relationship Id="rId51" Type="http://schemas.openxmlformats.org/officeDocument/2006/relationships/hyperlink" Target="https://www.wikidata.org/wiki/Property:P2013" TargetMode="External"/><Relationship Id="rId93" Type="http://schemas.openxmlformats.org/officeDocument/2006/relationships/hyperlink" Target="https://www.wikidata.org/wiki/Property:P1213" TargetMode="External"/><Relationship Id="rId189" Type="http://schemas.openxmlformats.org/officeDocument/2006/relationships/hyperlink" Target="https://www.wikidata.org/wiki/Property:P3219" TargetMode="External"/><Relationship Id="rId396" Type="http://schemas.openxmlformats.org/officeDocument/2006/relationships/hyperlink" Target="https://www.wikidata.org/wiki/Property:P1842" TargetMode="External"/><Relationship Id="rId214" Type="http://schemas.openxmlformats.org/officeDocument/2006/relationships/hyperlink" Target="https://www.wikidata.org/wiki/Property:P5260" TargetMode="External"/><Relationship Id="rId256" Type="http://schemas.openxmlformats.org/officeDocument/2006/relationships/hyperlink" Target="https://www.wikidata.org/wiki/Property:P5361" TargetMode="External"/><Relationship Id="rId298" Type="http://schemas.openxmlformats.org/officeDocument/2006/relationships/hyperlink" Target="https://www.wikidata.org/wiki/Property:P10472" TargetMode="External"/><Relationship Id="rId421" Type="http://schemas.openxmlformats.org/officeDocument/2006/relationships/hyperlink" Target="https://www.wikidata.org/wiki/Property:P7692" TargetMode="External"/><Relationship Id="rId463" Type="http://schemas.openxmlformats.org/officeDocument/2006/relationships/hyperlink" Target="https://www.wikidata.org/wiki/Property:P4244" TargetMode="External"/><Relationship Id="rId116" Type="http://schemas.openxmlformats.org/officeDocument/2006/relationships/hyperlink" Target="https://www.wikidata.org/wiki/Property:P12749" TargetMode="External"/><Relationship Id="rId158" Type="http://schemas.openxmlformats.org/officeDocument/2006/relationships/hyperlink" Target="https://www.wikidata.org/wiki/Property:P3553" TargetMode="External"/><Relationship Id="rId323" Type="http://schemas.openxmlformats.org/officeDocument/2006/relationships/hyperlink" Target="https://ror.org/00hj54h04" TargetMode="External"/><Relationship Id="rId20" Type="http://schemas.openxmlformats.org/officeDocument/2006/relationships/hyperlink" Target="https://www.wikidata.org/wiki/Property:P409" TargetMode="External"/><Relationship Id="rId62" Type="http://schemas.openxmlformats.org/officeDocument/2006/relationships/hyperlink" Target="https://www.wikidata.org/wiki/Property:P11961" TargetMode="External"/><Relationship Id="rId365" Type="http://schemas.openxmlformats.org/officeDocument/2006/relationships/hyperlink" Target="https://www.wikidata.org/wiki/Property:P6262" TargetMode="External"/><Relationship Id="rId225" Type="http://schemas.openxmlformats.org/officeDocument/2006/relationships/hyperlink" Target="https://ror.org/05bnh6r87" TargetMode="External"/><Relationship Id="rId267" Type="http://schemas.openxmlformats.org/officeDocument/2006/relationships/hyperlink" Target="https://www.wikidata.org/wiki/Property:P12126" TargetMode="External"/><Relationship Id="rId432" Type="http://schemas.openxmlformats.org/officeDocument/2006/relationships/hyperlink" Target="https://www.wikidata.org/wiki/Property:P11127" TargetMode="External"/><Relationship Id="rId474" Type="http://schemas.openxmlformats.org/officeDocument/2006/relationships/hyperlink" Target="https://www.wikidata.org/wiki/Property:P8980" TargetMode="External"/><Relationship Id="rId127" Type="http://schemas.openxmlformats.org/officeDocument/2006/relationships/hyperlink" Target="https://www.wikidata.org/wiki/Property:P2002" TargetMode="External"/><Relationship Id="rId10" Type="http://schemas.openxmlformats.org/officeDocument/2006/relationships/hyperlink" Target="https://www.wikidata.org/wiki/Property:P227" TargetMode="External"/><Relationship Id="rId31" Type="http://schemas.openxmlformats.org/officeDocument/2006/relationships/hyperlink" Target="https://www.wikidata.org/wiki/Property:P9226" TargetMode="External"/><Relationship Id="rId52" Type="http://schemas.openxmlformats.org/officeDocument/2006/relationships/hyperlink" Target="https://www.wikidata.org/wiki/Property:P8168" TargetMode="External"/><Relationship Id="rId73" Type="http://schemas.openxmlformats.org/officeDocument/2006/relationships/hyperlink" Target="https://www.wikidata.org/wiki/Property:P9871" TargetMode="External"/><Relationship Id="rId94" Type="http://schemas.openxmlformats.org/officeDocument/2006/relationships/hyperlink" Target="https://www.wikidata.org/wiki/Property:P4629" TargetMode="External"/><Relationship Id="rId148" Type="http://schemas.openxmlformats.org/officeDocument/2006/relationships/hyperlink" Target="https://www.wikidata.org/wiki/Property:P1667" TargetMode="External"/><Relationship Id="rId169" Type="http://schemas.openxmlformats.org/officeDocument/2006/relationships/hyperlink" Target="https://www.wikidata.org/wiki/Property:P11615" TargetMode="External"/><Relationship Id="rId334" Type="http://schemas.openxmlformats.org/officeDocument/2006/relationships/hyperlink" Target="https://ror.org/00rs6vg23" TargetMode="External"/><Relationship Id="rId355" Type="http://schemas.openxmlformats.org/officeDocument/2006/relationships/hyperlink" Target="https://www.wikidata.org/wiki/Property:P3517" TargetMode="External"/><Relationship Id="rId376" Type="http://schemas.openxmlformats.org/officeDocument/2006/relationships/hyperlink" Target="https://ror.org/03efmqc40" TargetMode="External"/><Relationship Id="rId397" Type="http://schemas.openxmlformats.org/officeDocument/2006/relationships/hyperlink" Target="https://www.wikidata.org/wiki/Property:P10419" TargetMode="External"/><Relationship Id="rId4" Type="http://schemas.openxmlformats.org/officeDocument/2006/relationships/hyperlink" Target="https://www.wikidata.org/wiki/Property:P213" TargetMode="External"/><Relationship Id="rId180" Type="http://schemas.openxmlformats.org/officeDocument/2006/relationships/hyperlink" Target="https://www.wikidata.org/wiki/Property:P5504" TargetMode="External"/><Relationship Id="rId215" Type="http://schemas.openxmlformats.org/officeDocument/2006/relationships/hyperlink" Target="https://www.wikidata.org/wiki/Property:P5574" TargetMode="External"/><Relationship Id="rId236" Type="http://schemas.openxmlformats.org/officeDocument/2006/relationships/hyperlink" Target="https://www.wikidata.org/wiki/Property:P1795" TargetMode="External"/><Relationship Id="rId257" Type="http://schemas.openxmlformats.org/officeDocument/2006/relationships/hyperlink" Target="https://www.wikidata.org/wiki/Property:P10834" TargetMode="External"/><Relationship Id="rId278" Type="http://schemas.openxmlformats.org/officeDocument/2006/relationships/hyperlink" Target="https://ror.org/02jx3x895" TargetMode="External"/><Relationship Id="rId401" Type="http://schemas.openxmlformats.org/officeDocument/2006/relationships/hyperlink" Target="https://ror.org/02ttsq026" TargetMode="External"/><Relationship Id="rId422" Type="http://schemas.openxmlformats.org/officeDocument/2006/relationships/hyperlink" Target="https://www.wikidata.org/wiki/Property:P8520" TargetMode="External"/><Relationship Id="rId443" Type="http://schemas.openxmlformats.org/officeDocument/2006/relationships/hyperlink" Target="https://www.wikidata.org/wiki/Property:P11012" TargetMode="External"/><Relationship Id="rId464" Type="http://schemas.openxmlformats.org/officeDocument/2006/relationships/hyperlink" Target="https://www.wikidata.org/wiki/Property:P9339" TargetMode="External"/><Relationship Id="rId303" Type="http://schemas.openxmlformats.org/officeDocument/2006/relationships/hyperlink" Target="https://www.wikidata.org/wiki/Property:P8293" TargetMode="External"/><Relationship Id="rId485" Type="http://schemas.openxmlformats.org/officeDocument/2006/relationships/hyperlink" Target="https://www.wikidata.org/wiki/Property:P9318" TargetMode="External"/><Relationship Id="rId42" Type="http://schemas.openxmlformats.org/officeDocument/2006/relationships/hyperlink" Target="https://www.wikidata.org/wiki/Property:P10864" TargetMode="External"/><Relationship Id="rId84" Type="http://schemas.openxmlformats.org/officeDocument/2006/relationships/hyperlink" Target="https://www.wikidata.org/wiki/Property:P7632" TargetMode="External"/><Relationship Id="rId138" Type="http://schemas.openxmlformats.org/officeDocument/2006/relationships/hyperlink" Target="https://ror.org/042nb2s44" TargetMode="External"/><Relationship Id="rId345" Type="http://schemas.openxmlformats.org/officeDocument/2006/relationships/hyperlink" Target="https://www.wikidata.org/wiki/Property:P2651" TargetMode="External"/><Relationship Id="rId387" Type="http://schemas.openxmlformats.org/officeDocument/2006/relationships/hyperlink" Target="https://www.wikidata.org/wiki/Property:P3548" TargetMode="External"/><Relationship Id="rId191" Type="http://schemas.openxmlformats.org/officeDocument/2006/relationships/hyperlink" Target="https://www.wikidata.org/wiki/Property:P2963" TargetMode="External"/><Relationship Id="rId205" Type="http://schemas.openxmlformats.org/officeDocument/2006/relationships/hyperlink" Target="https://ror.org/00jmfr291" TargetMode="External"/><Relationship Id="rId247" Type="http://schemas.openxmlformats.org/officeDocument/2006/relationships/hyperlink" Target="https://www.wikidata.org/wiki/Property:P2268" TargetMode="External"/><Relationship Id="rId412" Type="http://schemas.openxmlformats.org/officeDocument/2006/relationships/hyperlink" Target="https://www.wikidata.org/wiki/Property:P4903" TargetMode="External"/><Relationship Id="rId107" Type="http://schemas.openxmlformats.org/officeDocument/2006/relationships/hyperlink" Target="https://www.wikidata.org/wiki/Property:P4096" TargetMode="External"/><Relationship Id="rId289" Type="http://schemas.openxmlformats.org/officeDocument/2006/relationships/hyperlink" Target="https://www.wikidata.org/wiki/Property:P10689" TargetMode="External"/><Relationship Id="rId454" Type="http://schemas.openxmlformats.org/officeDocument/2006/relationships/hyperlink" Target="https://www.wikidata.org/wiki/Property:P6222" TargetMode="External"/><Relationship Id="rId496" Type="http://schemas.openxmlformats.org/officeDocument/2006/relationships/hyperlink" Target="https://ror.org/01111rn36" TargetMode="External"/><Relationship Id="rId11" Type="http://schemas.openxmlformats.org/officeDocument/2006/relationships/hyperlink" Target="https://www.wikidata.org/wiki/Property:P3348" TargetMode="External"/><Relationship Id="rId53" Type="http://schemas.openxmlformats.org/officeDocument/2006/relationships/hyperlink" Target="https://www.wikidata.org/wiki/Property:P646" TargetMode="External"/><Relationship Id="rId149" Type="http://schemas.openxmlformats.org/officeDocument/2006/relationships/hyperlink" Target="https://www.wikidata.org/wiki/Property:P7400" TargetMode="External"/><Relationship Id="rId314" Type="http://schemas.openxmlformats.org/officeDocument/2006/relationships/hyperlink" Target="https://ror.org/03rmrcq20" TargetMode="External"/><Relationship Id="rId356" Type="http://schemas.openxmlformats.org/officeDocument/2006/relationships/hyperlink" Target="https://www.wikidata.org/wiki/Property:P7030" TargetMode="External"/><Relationship Id="rId398" Type="http://schemas.openxmlformats.org/officeDocument/2006/relationships/hyperlink" Target="https://www.wikidata.org/wiki/Property:P7831" TargetMode="External"/><Relationship Id="rId95" Type="http://schemas.openxmlformats.org/officeDocument/2006/relationships/hyperlink" Target="https://www.wikidata.org/wiki/Property:P7305" TargetMode="External"/><Relationship Id="rId160" Type="http://schemas.openxmlformats.org/officeDocument/2006/relationships/hyperlink" Target="https://www.wikidata.org/wiki/Property:P1281" TargetMode="External"/><Relationship Id="rId216" Type="http://schemas.openxmlformats.org/officeDocument/2006/relationships/hyperlink" Target="https://www.wikidata.org/wiki/Property:P1273" TargetMode="External"/><Relationship Id="rId423" Type="http://schemas.openxmlformats.org/officeDocument/2006/relationships/hyperlink" Target="https://www.wikidata.org/wiki/Property:P757" TargetMode="External"/><Relationship Id="rId258" Type="http://schemas.openxmlformats.org/officeDocument/2006/relationships/hyperlink" Target="https://www.wikidata.org/wiki/Property:P9287" TargetMode="External"/><Relationship Id="rId465" Type="http://schemas.openxmlformats.org/officeDocument/2006/relationships/hyperlink" Target="https://www.wikidata.org/wiki/Property:P4871" TargetMode="External"/><Relationship Id="rId22" Type="http://schemas.openxmlformats.org/officeDocument/2006/relationships/hyperlink" Target="https://www.wikidata.org/wiki/Property:P1207" TargetMode="External"/><Relationship Id="rId64" Type="http://schemas.openxmlformats.org/officeDocument/2006/relationships/hyperlink" Target="https://www.wikidata.org/wiki/Property:P12385" TargetMode="External"/><Relationship Id="rId118" Type="http://schemas.openxmlformats.org/officeDocument/2006/relationships/hyperlink" Target="https://www.wikidata.org/wiki/Property:P3040" TargetMode="External"/><Relationship Id="rId325" Type="http://schemas.openxmlformats.org/officeDocument/2006/relationships/hyperlink" Target="https://ror.org/03taz7m60" TargetMode="External"/><Relationship Id="rId367" Type="http://schemas.openxmlformats.org/officeDocument/2006/relationships/hyperlink" Target="https://ror.org/02dqehb95" TargetMode="External"/><Relationship Id="rId171" Type="http://schemas.openxmlformats.org/officeDocument/2006/relationships/hyperlink" Target="https://www.wikidata.org/wiki/Property:P6058" TargetMode="External"/><Relationship Id="rId227" Type="http://schemas.openxmlformats.org/officeDocument/2006/relationships/hyperlink" Target="https://ror.org/00cvxb145" TargetMode="External"/><Relationship Id="rId269" Type="http://schemas.openxmlformats.org/officeDocument/2006/relationships/hyperlink" Target="https://www.wikidata.org/wiki/Property:P7403" TargetMode="External"/><Relationship Id="rId434" Type="http://schemas.openxmlformats.org/officeDocument/2006/relationships/hyperlink" Target="https://ror.org/036rp1748" TargetMode="External"/><Relationship Id="rId476" Type="http://schemas.openxmlformats.org/officeDocument/2006/relationships/hyperlink" Target="https://ror.org/02smfhw86" TargetMode="External"/><Relationship Id="rId33" Type="http://schemas.openxmlformats.org/officeDocument/2006/relationships/hyperlink" Target="https://www.wikidata.org/wiki/Property:P3642" TargetMode="External"/><Relationship Id="rId129" Type="http://schemas.openxmlformats.org/officeDocument/2006/relationships/hyperlink" Target="https://www.wikidata.org/wiki/Property:P4527" TargetMode="External"/><Relationship Id="rId280" Type="http://schemas.openxmlformats.org/officeDocument/2006/relationships/hyperlink" Target="https://www.wikidata.org/wiki/Property:P8885" TargetMode="External"/><Relationship Id="rId336" Type="http://schemas.openxmlformats.org/officeDocument/2006/relationships/hyperlink" Target="https://www.wikidata.org/wiki/Property:P4771" TargetMode="External"/><Relationship Id="rId501" Type="http://schemas.openxmlformats.org/officeDocument/2006/relationships/hyperlink" Target="https://ror.org/02s376052" TargetMode="External"/><Relationship Id="rId75" Type="http://schemas.openxmlformats.org/officeDocument/2006/relationships/hyperlink" Target="https://www.wikidata.org/wiki/Property:P1771" TargetMode="External"/><Relationship Id="rId140" Type="http://schemas.openxmlformats.org/officeDocument/2006/relationships/hyperlink" Target="https://www.wikidata.org/wiki/Property:P4619" TargetMode="External"/><Relationship Id="rId182" Type="http://schemas.openxmlformats.org/officeDocument/2006/relationships/hyperlink" Target="https://www.wikidata.org/wiki/Property:P906" TargetMode="External"/><Relationship Id="rId378" Type="http://schemas.openxmlformats.org/officeDocument/2006/relationships/hyperlink" Target="https://ror.org/03m2x1q45" TargetMode="External"/><Relationship Id="rId403" Type="http://schemas.openxmlformats.org/officeDocument/2006/relationships/hyperlink" Target="https://ror.org/0220qvk04" TargetMode="External"/><Relationship Id="rId6" Type="http://schemas.openxmlformats.org/officeDocument/2006/relationships/hyperlink" Target="https://www.wikidata.org/wiki/Property:P3280" TargetMode="External"/><Relationship Id="rId238" Type="http://schemas.openxmlformats.org/officeDocument/2006/relationships/hyperlink" Target="https://www.wikidata.org/wiki/Property:P9885" TargetMode="External"/><Relationship Id="rId445" Type="http://schemas.openxmlformats.org/officeDocument/2006/relationships/hyperlink" Target="https://ror.org/05f950310" TargetMode="External"/><Relationship Id="rId487" Type="http://schemas.openxmlformats.org/officeDocument/2006/relationships/hyperlink" Target="https://www.wikidata.org/wiki/Property:P8545" TargetMode="External"/><Relationship Id="rId291" Type="http://schemas.openxmlformats.org/officeDocument/2006/relationships/hyperlink" Target="https://ror.org/04p491231" TargetMode="External"/><Relationship Id="rId305" Type="http://schemas.openxmlformats.org/officeDocument/2006/relationships/hyperlink" Target="https://ror.org/000e0be47" TargetMode="External"/><Relationship Id="rId347" Type="http://schemas.openxmlformats.org/officeDocument/2006/relationships/hyperlink" Target="https://www.wikidata.org/wiki/Property:P9304" TargetMode="External"/><Relationship Id="rId44" Type="http://schemas.openxmlformats.org/officeDocument/2006/relationships/hyperlink" Target="https://www.wikidata.org/wiki/Property:P4725" TargetMode="External"/><Relationship Id="rId86" Type="http://schemas.openxmlformats.org/officeDocument/2006/relationships/hyperlink" Target="https://www.wikidata.org/wiki/Property:P9957" TargetMode="External"/><Relationship Id="rId151" Type="http://schemas.openxmlformats.org/officeDocument/2006/relationships/hyperlink" Target="https://www.wikidata.org/wiki/Property:P966" TargetMode="External"/><Relationship Id="rId389" Type="http://schemas.openxmlformats.org/officeDocument/2006/relationships/hyperlink" Target="https://www.wikidata.org/wiki/Property:P10120" TargetMode="External"/><Relationship Id="rId193" Type="http://schemas.openxmlformats.org/officeDocument/2006/relationships/hyperlink" Target="https://www.wikidata.org/wiki/Property:P11514" TargetMode="External"/><Relationship Id="rId207" Type="http://schemas.openxmlformats.org/officeDocument/2006/relationships/hyperlink" Target="https://www.wikidata.org/wiki/Property:P3035" TargetMode="External"/><Relationship Id="rId249" Type="http://schemas.openxmlformats.org/officeDocument/2006/relationships/hyperlink" Target="https://www.wikidata.org/wiki/Property:P6329" TargetMode="External"/><Relationship Id="rId414" Type="http://schemas.openxmlformats.org/officeDocument/2006/relationships/hyperlink" Target="https://ror.org/0220mzb33" TargetMode="External"/><Relationship Id="rId456" Type="http://schemas.openxmlformats.org/officeDocument/2006/relationships/hyperlink" Target="https://ror.org/012p63287" TargetMode="External"/><Relationship Id="rId498" Type="http://schemas.openxmlformats.org/officeDocument/2006/relationships/hyperlink" Target="https://www.wikidata.org/wiki/Property:P4339" TargetMode="External"/><Relationship Id="rId13" Type="http://schemas.openxmlformats.org/officeDocument/2006/relationships/hyperlink" Target="https://www.wikidata.org/wiki/Property:P245" TargetMode="External"/><Relationship Id="rId109" Type="http://schemas.openxmlformats.org/officeDocument/2006/relationships/hyperlink" Target="https://www.wikidata.org/wiki/Property:P3500" TargetMode="External"/><Relationship Id="rId260" Type="http://schemas.openxmlformats.org/officeDocument/2006/relationships/hyperlink" Target="https://www.wikidata.org/wiki/Property:P5164" TargetMode="External"/><Relationship Id="rId316" Type="http://schemas.openxmlformats.org/officeDocument/2006/relationships/hyperlink" Target="https://www.wikidata.org/wiki/Property:P1871" TargetMode="External"/><Relationship Id="rId55" Type="http://schemas.openxmlformats.org/officeDocument/2006/relationships/hyperlink" Target="https://www.wikidata.org/wiki/Property:P1566" TargetMode="External"/><Relationship Id="rId97" Type="http://schemas.openxmlformats.org/officeDocument/2006/relationships/hyperlink" Target="https://www.wikidata.org/wiki/Property:P648" TargetMode="External"/><Relationship Id="rId120" Type="http://schemas.openxmlformats.org/officeDocument/2006/relationships/hyperlink" Target="https://www.wikidata.org/wiki/Property:P454" TargetMode="External"/><Relationship Id="rId358" Type="http://schemas.openxmlformats.org/officeDocument/2006/relationships/hyperlink" Target="https://ror.org/01yc7t268" TargetMode="External"/><Relationship Id="rId162" Type="http://schemas.openxmlformats.org/officeDocument/2006/relationships/hyperlink" Target="https://www.wikidata.org/wiki/Property:P349" TargetMode="External"/><Relationship Id="rId218" Type="http://schemas.openxmlformats.org/officeDocument/2006/relationships/hyperlink" Target="https://www.wikidata.org/wiki/Property:P5905" TargetMode="External"/><Relationship Id="rId425" Type="http://schemas.openxmlformats.org/officeDocument/2006/relationships/hyperlink" Target="https://www.wikidata.org/wiki/Property:P9921" TargetMode="External"/><Relationship Id="rId467" Type="http://schemas.openxmlformats.org/officeDocument/2006/relationships/hyperlink" Target="https://www.wikidata.org/wiki/Property:P3534" TargetMode="External"/><Relationship Id="rId271" Type="http://schemas.openxmlformats.org/officeDocument/2006/relationships/hyperlink" Target="https://ror.org/046rm7j60" TargetMode="External"/><Relationship Id="rId24" Type="http://schemas.openxmlformats.org/officeDocument/2006/relationships/hyperlink" Target="https://www.wikidata.org/wiki/Property:P1005" TargetMode="External"/><Relationship Id="rId66" Type="http://schemas.openxmlformats.org/officeDocument/2006/relationships/hyperlink" Target="https://www.wikidata.org/wiki/Property:P2924" TargetMode="External"/><Relationship Id="rId131" Type="http://schemas.openxmlformats.org/officeDocument/2006/relationships/hyperlink" Target="https://www.wikidata.org/wiki/Property:P1017" TargetMode="External"/><Relationship Id="rId327" Type="http://schemas.openxmlformats.org/officeDocument/2006/relationships/hyperlink" Target="https://ror.org/05a28rw58" TargetMode="External"/><Relationship Id="rId369" Type="http://schemas.openxmlformats.org/officeDocument/2006/relationships/hyperlink" Target="https://www.wikidata.org/wiki/Property:P6617" TargetMode="External"/><Relationship Id="rId173" Type="http://schemas.openxmlformats.org/officeDocument/2006/relationships/hyperlink" Target="https://www.wikidata.org/wiki/Property:P6740" TargetMode="External"/><Relationship Id="rId229" Type="http://schemas.openxmlformats.org/officeDocument/2006/relationships/hyperlink" Target="https://www.wikidata.org/wiki/Property:P10832" TargetMode="External"/><Relationship Id="rId380" Type="http://schemas.openxmlformats.org/officeDocument/2006/relationships/hyperlink" Target="https://www.wikidata.org/wiki/Property:P12597" TargetMode="External"/><Relationship Id="rId436" Type="http://schemas.openxmlformats.org/officeDocument/2006/relationships/hyperlink" Target="https://www.wikidata.org/wiki/Property:P5505" TargetMode="External"/><Relationship Id="rId240" Type="http://schemas.openxmlformats.org/officeDocument/2006/relationships/hyperlink" Target="https://www.wikidata.org/wiki/Property:P5232" TargetMode="External"/><Relationship Id="rId478" Type="http://schemas.openxmlformats.org/officeDocument/2006/relationships/hyperlink" Target="https://ror.org/04c4dkn09" TargetMode="External"/><Relationship Id="rId35" Type="http://schemas.openxmlformats.org/officeDocument/2006/relationships/hyperlink" Target="https://www.wikidata.org/wiki/Property:P5242" TargetMode="External"/><Relationship Id="rId77" Type="http://schemas.openxmlformats.org/officeDocument/2006/relationships/hyperlink" Target="https://www.wikidata.org/wiki/Property:P3743" TargetMode="External"/><Relationship Id="rId100" Type="http://schemas.openxmlformats.org/officeDocument/2006/relationships/hyperlink" Target="https://www.wikidata.org/wiki/Property:P3347" TargetMode="External"/><Relationship Id="rId282" Type="http://schemas.openxmlformats.org/officeDocument/2006/relationships/hyperlink" Target="https://www.wikidata.org/wiki/Property:P5395" TargetMode="External"/><Relationship Id="rId338" Type="http://schemas.openxmlformats.org/officeDocument/2006/relationships/hyperlink" Target="https://www.wikidata.org/wiki/Property:P4399" TargetMode="External"/><Relationship Id="rId503" Type="http://schemas.openxmlformats.org/officeDocument/2006/relationships/printerSettings" Target="../printerSettings/printerSettings1.bin"/><Relationship Id="rId8" Type="http://schemas.openxmlformats.org/officeDocument/2006/relationships/hyperlink" Target="https://www.wikidata.org/wiki/Property:P268" TargetMode="External"/><Relationship Id="rId142" Type="http://schemas.openxmlformats.org/officeDocument/2006/relationships/hyperlink" Target="https://www.wikidata.org/wiki/Property:P2163" TargetMode="External"/><Relationship Id="rId184" Type="http://schemas.openxmlformats.org/officeDocument/2006/relationships/hyperlink" Target="https://www.wikidata.org/wiki/Property:P3241" TargetMode="External"/><Relationship Id="rId391" Type="http://schemas.openxmlformats.org/officeDocument/2006/relationships/hyperlink" Target="https://www.wikidata.org/wiki/Property:P10026" TargetMode="External"/><Relationship Id="rId405" Type="http://schemas.openxmlformats.org/officeDocument/2006/relationships/hyperlink" Target="https://ror.org/01pxwe438" TargetMode="External"/><Relationship Id="rId447" Type="http://schemas.openxmlformats.org/officeDocument/2006/relationships/hyperlink" Target="https://www.wikidata.org/wiki/Property:P3376" TargetMode="External"/><Relationship Id="rId251" Type="http://schemas.openxmlformats.org/officeDocument/2006/relationships/hyperlink" Target="https://www.wikidata.org/wiki/Property:P1953" TargetMode="External"/><Relationship Id="rId489" Type="http://schemas.openxmlformats.org/officeDocument/2006/relationships/hyperlink" Target="https://www.wikidata.org/wiki/Property:P9201" TargetMode="External"/><Relationship Id="rId46" Type="http://schemas.openxmlformats.org/officeDocument/2006/relationships/hyperlink" Target="https://www.wikidata.org/wiki/Property:P2088" TargetMode="External"/><Relationship Id="rId293" Type="http://schemas.openxmlformats.org/officeDocument/2006/relationships/hyperlink" Target="https://ror.org/01y2jtd41" TargetMode="External"/><Relationship Id="rId307" Type="http://schemas.openxmlformats.org/officeDocument/2006/relationships/hyperlink" Target="https://www.wikidata.org/wiki/Property:P6264" TargetMode="External"/><Relationship Id="rId349" Type="http://schemas.openxmlformats.org/officeDocument/2006/relationships/hyperlink" Target="https://www.wikidata.org/wiki/Property:P3472" TargetMode="External"/><Relationship Id="rId88" Type="http://schemas.openxmlformats.org/officeDocument/2006/relationships/hyperlink" Target="https://www.wikidata.org/wiki/Property:P949" TargetMode="External"/><Relationship Id="rId111" Type="http://schemas.openxmlformats.org/officeDocument/2006/relationships/hyperlink" Target="https://www.wikidata.org/wiki/Property:P9756" TargetMode="External"/><Relationship Id="rId153" Type="http://schemas.openxmlformats.org/officeDocument/2006/relationships/hyperlink" Target="https://www.wikidata.org/wiki/Property:P1320" TargetMode="External"/><Relationship Id="rId195" Type="http://schemas.openxmlformats.org/officeDocument/2006/relationships/hyperlink" Target="https://www.wikidata.org/wiki/Property:P9495" TargetMode="External"/><Relationship Id="rId209" Type="http://schemas.openxmlformats.org/officeDocument/2006/relationships/hyperlink" Target="https://www.wikidata.org/wiki/Property:P2671" TargetMode="External"/><Relationship Id="rId360" Type="http://schemas.openxmlformats.org/officeDocument/2006/relationships/hyperlink" Target="https://www.wikidata.org/wiki/Property:P10867" TargetMode="External"/><Relationship Id="rId416" Type="http://schemas.openxmlformats.org/officeDocument/2006/relationships/hyperlink" Target="https://ror.org/0153tk833" TargetMode="External"/><Relationship Id="rId220" Type="http://schemas.openxmlformats.org/officeDocument/2006/relationships/hyperlink" Target="https://www.wikidata.org/wiki/Property:P998" TargetMode="External"/><Relationship Id="rId458" Type="http://schemas.openxmlformats.org/officeDocument/2006/relationships/hyperlink" Target="https://ror.org/02zhqgq86" TargetMode="External"/><Relationship Id="rId15" Type="http://schemas.openxmlformats.org/officeDocument/2006/relationships/hyperlink" Target="https://www.wikidata.org/wiki/Property:P244" TargetMode="External"/><Relationship Id="rId57" Type="http://schemas.openxmlformats.org/officeDocument/2006/relationships/hyperlink" Target="https://www.wikidata.org/wiki/Property:P9100" TargetMode="External"/><Relationship Id="rId262" Type="http://schemas.openxmlformats.org/officeDocument/2006/relationships/hyperlink" Target="https://www.wikidata.org/wiki/Property:P12674" TargetMode="External"/><Relationship Id="rId318" Type="http://schemas.openxmlformats.org/officeDocument/2006/relationships/hyperlink" Target="https://www.wikidata.org/wiki/Property:P9807" TargetMode="External"/><Relationship Id="rId99" Type="http://schemas.openxmlformats.org/officeDocument/2006/relationships/hyperlink" Target="https://www.wikidata.org/wiki/Property:P402" TargetMode="External"/><Relationship Id="rId122" Type="http://schemas.openxmlformats.org/officeDocument/2006/relationships/hyperlink" Target="https://www.wikidata.org/wiki/Property:P2468" TargetMode="External"/><Relationship Id="rId164" Type="http://schemas.openxmlformats.org/officeDocument/2006/relationships/hyperlink" Target="https://www.wikidata.org/wiki/Property:P1617" TargetMode="External"/><Relationship Id="rId371" Type="http://schemas.openxmlformats.org/officeDocument/2006/relationships/hyperlink" Target="https://www.wikidata.org/wiki/Property:P11768" TargetMode="External"/><Relationship Id="rId427" Type="http://schemas.openxmlformats.org/officeDocument/2006/relationships/hyperlink" Target="https://www.wikidata.org/wiki/Property:P3225" TargetMode="External"/><Relationship Id="rId469" Type="http://schemas.openxmlformats.org/officeDocument/2006/relationships/hyperlink" Target="https://ror.org/02t274463" TargetMode="External"/><Relationship Id="rId26" Type="http://schemas.openxmlformats.org/officeDocument/2006/relationships/hyperlink" Target="https://www.wikidata.org/wiki/Property:P269" TargetMode="External"/><Relationship Id="rId231" Type="http://schemas.openxmlformats.org/officeDocument/2006/relationships/hyperlink" Target="https://ror.org/00hj8s172" TargetMode="External"/><Relationship Id="rId273" Type="http://schemas.openxmlformats.org/officeDocument/2006/relationships/hyperlink" Target="https://www.wikidata.org/wiki/Property:P1149" TargetMode="External"/><Relationship Id="rId329" Type="http://schemas.openxmlformats.org/officeDocument/2006/relationships/hyperlink" Target="https://www.wikidata.org/wiki/Property:P8974" TargetMode="External"/><Relationship Id="rId480" Type="http://schemas.openxmlformats.org/officeDocument/2006/relationships/hyperlink" Target="https://www.wikidata.org/wiki/Property:P4117" TargetMode="External"/><Relationship Id="rId68" Type="http://schemas.openxmlformats.org/officeDocument/2006/relationships/hyperlink" Target="https://www.wikidata.org/wiki/Property:P3106" TargetMode="External"/><Relationship Id="rId133" Type="http://schemas.openxmlformats.org/officeDocument/2006/relationships/hyperlink" Target="https://www.wikidata.org/wiki/Property:P4839" TargetMode="External"/><Relationship Id="rId175" Type="http://schemas.openxmlformats.org/officeDocument/2006/relationships/hyperlink" Target="https://www.wikidata.org/wiki/Property:P1245" TargetMode="External"/><Relationship Id="rId340" Type="http://schemas.openxmlformats.org/officeDocument/2006/relationships/hyperlink" Target="https://ror.org/05rrcem69" TargetMode="External"/><Relationship Id="rId200" Type="http://schemas.openxmlformats.org/officeDocument/2006/relationships/hyperlink" Target="https://www.wikidata.org/wiki/Property:P4553" TargetMode="External"/><Relationship Id="rId382" Type="http://schemas.openxmlformats.org/officeDocument/2006/relationships/hyperlink" Target="https://ror.org/01f5ytq51" TargetMode="External"/><Relationship Id="rId438" Type="http://schemas.openxmlformats.org/officeDocument/2006/relationships/hyperlink" Target="https://www.wikidata.org/wiki/Property:P5148" TargetMode="External"/><Relationship Id="rId242" Type="http://schemas.openxmlformats.org/officeDocument/2006/relationships/hyperlink" Target="https://www.wikidata.org/wiki/Property:P10018" TargetMode="External"/><Relationship Id="rId284" Type="http://schemas.openxmlformats.org/officeDocument/2006/relationships/hyperlink" Target="https://www.wikidata.org/wiki/Property:P8783" TargetMode="External"/><Relationship Id="rId491" Type="http://schemas.openxmlformats.org/officeDocument/2006/relationships/hyperlink" Target="https://ror.org/036jqmy94" TargetMode="External"/><Relationship Id="rId37" Type="http://schemas.openxmlformats.org/officeDocument/2006/relationships/hyperlink" Target="https://www.wikidata.org/wiki/Property:P3630" TargetMode="External"/><Relationship Id="rId79" Type="http://schemas.openxmlformats.org/officeDocument/2006/relationships/hyperlink" Target="https://www.wikidata.org/wiki/Property:P8408" TargetMode="External"/><Relationship Id="rId102" Type="http://schemas.openxmlformats.org/officeDocument/2006/relationships/hyperlink" Target="https://www.wikidata.org/wiki/Property:P9937" TargetMode="External"/><Relationship Id="rId144" Type="http://schemas.openxmlformats.org/officeDocument/2006/relationships/hyperlink" Target="https://www.wikidata.org/wiki/Property:P7700" TargetMode="External"/><Relationship Id="rId90" Type="http://schemas.openxmlformats.org/officeDocument/2006/relationships/hyperlink" Target="https://www.wikidata.org/wiki/Property:P3221" TargetMode="External"/><Relationship Id="rId186" Type="http://schemas.openxmlformats.org/officeDocument/2006/relationships/hyperlink" Target="https://www.wikidata.org/wiki/Property:P1607" TargetMode="External"/><Relationship Id="rId351" Type="http://schemas.openxmlformats.org/officeDocument/2006/relationships/hyperlink" Target="https://ror.org/03r8z3t63" TargetMode="External"/><Relationship Id="rId393" Type="http://schemas.openxmlformats.org/officeDocument/2006/relationships/hyperlink" Target="https://ror.org/04dkp9463" TargetMode="External"/><Relationship Id="rId407" Type="http://schemas.openxmlformats.org/officeDocument/2006/relationships/hyperlink" Target="https://www.wikidata.org/wiki/Property:P6016" TargetMode="External"/><Relationship Id="rId449" Type="http://schemas.openxmlformats.org/officeDocument/2006/relationships/hyperlink" Target="https://ror.org/00t33hh48" TargetMode="External"/><Relationship Id="rId211" Type="http://schemas.openxmlformats.org/officeDocument/2006/relationships/hyperlink" Target="https://www.wikidata.org/wiki/Property:P3579" TargetMode="External"/><Relationship Id="rId253" Type="http://schemas.openxmlformats.org/officeDocument/2006/relationships/hyperlink" Target="https://www.wikidata.org/wiki/Property:P4813" TargetMode="External"/><Relationship Id="rId295" Type="http://schemas.openxmlformats.org/officeDocument/2006/relationships/hyperlink" Target="https://www.wikidata.org/wiki/Property:P2267" TargetMode="External"/><Relationship Id="rId309" Type="http://schemas.openxmlformats.org/officeDocument/2006/relationships/hyperlink" Target="https://www.wikidata.org/wiki/Property:P10439" TargetMode="External"/><Relationship Id="rId460" Type="http://schemas.openxmlformats.org/officeDocument/2006/relationships/hyperlink" Target="https://ror.org/008xxew50" TargetMode="External"/><Relationship Id="rId48" Type="http://schemas.openxmlformats.org/officeDocument/2006/relationships/hyperlink" Target="https://www.wikidata.org/wiki/Property:P4272" TargetMode="External"/><Relationship Id="rId113" Type="http://schemas.openxmlformats.org/officeDocument/2006/relationships/hyperlink" Target="https://www.wikidata.org/wiki/Property:P12026" TargetMode="External"/><Relationship Id="rId320" Type="http://schemas.openxmlformats.org/officeDocument/2006/relationships/hyperlink" Target="https://ror.org/024mw5h28" TargetMode="External"/><Relationship Id="rId155" Type="http://schemas.openxmlformats.org/officeDocument/2006/relationships/hyperlink" Target="https://www.wikidata.org/wiki/Property:P4389" TargetMode="External"/><Relationship Id="rId197" Type="http://schemas.openxmlformats.org/officeDocument/2006/relationships/hyperlink" Target="https://www.wikidata.org/wiki/Property:P6778" TargetMode="External"/><Relationship Id="rId362" Type="http://schemas.openxmlformats.org/officeDocument/2006/relationships/hyperlink" Target="https://www.wikidata.org/wiki/Property:P3163" TargetMode="External"/><Relationship Id="rId418" Type="http://schemas.openxmlformats.org/officeDocument/2006/relationships/hyperlink" Target="https://www.wikidata.org/wiki/Property:P7024" TargetMode="External"/><Relationship Id="rId222" Type="http://schemas.openxmlformats.org/officeDocument/2006/relationships/hyperlink" Target="https://www.wikidata.org/wiki/Property:P4173" TargetMode="External"/><Relationship Id="rId264" Type="http://schemas.openxmlformats.org/officeDocument/2006/relationships/hyperlink" Target="https://www.wikidata.org/wiki/Property:P8801" TargetMode="External"/><Relationship Id="rId471" Type="http://schemas.openxmlformats.org/officeDocument/2006/relationships/hyperlink" Target="https://ror.org/040af2s02" TargetMode="External"/><Relationship Id="rId17" Type="http://schemas.openxmlformats.org/officeDocument/2006/relationships/hyperlink" Target="https://www.wikidata.org/wiki/Property:P1368" TargetMode="External"/><Relationship Id="rId59" Type="http://schemas.openxmlformats.org/officeDocument/2006/relationships/hyperlink" Target="https://www.wikidata.org/wiki/Property:P7502" TargetMode="External"/><Relationship Id="rId124" Type="http://schemas.openxmlformats.org/officeDocument/2006/relationships/hyperlink" Target="https://www.wikidata.org/wiki/Property:P5586" TargetMode="External"/><Relationship Id="rId70" Type="http://schemas.openxmlformats.org/officeDocument/2006/relationships/hyperlink" Target="https://www.wikidata.org/wiki/Property:P7982" TargetMode="External"/><Relationship Id="rId166" Type="http://schemas.openxmlformats.org/officeDocument/2006/relationships/hyperlink" Target="https://www.wikidata.org/wiki/Property:P3206" TargetMode="External"/><Relationship Id="rId331" Type="http://schemas.openxmlformats.org/officeDocument/2006/relationships/hyperlink" Target="https://www.wikidata.org/wiki/Property:P8750" TargetMode="External"/><Relationship Id="rId373" Type="http://schemas.openxmlformats.org/officeDocument/2006/relationships/hyperlink" Target="https://ror.org/00rqy9422" TargetMode="External"/><Relationship Id="rId429" Type="http://schemas.openxmlformats.org/officeDocument/2006/relationships/hyperlink" Target="https://www.wikidata.org/wiki/Property:P4702" TargetMode="External"/><Relationship Id="rId1" Type="http://schemas.openxmlformats.org/officeDocument/2006/relationships/hyperlink" Target="https://www.wikidata.org/wiki/Property:P1278" TargetMode="External"/><Relationship Id="rId233" Type="http://schemas.openxmlformats.org/officeDocument/2006/relationships/hyperlink" Target="https://www.wikidata.org/wiki/Property:P6849" TargetMode="External"/><Relationship Id="rId440" Type="http://schemas.openxmlformats.org/officeDocument/2006/relationships/hyperlink" Target="https://ror.org/035b05819" TargetMode="External"/><Relationship Id="rId28" Type="http://schemas.openxmlformats.org/officeDocument/2006/relationships/hyperlink" Target="https://www.wikidata.org/wiki/Property:P4052" TargetMode="External"/><Relationship Id="rId275" Type="http://schemas.openxmlformats.org/officeDocument/2006/relationships/hyperlink" Target="https://www.wikidata.org/wiki/Property:P8939" TargetMode="External"/><Relationship Id="rId300" Type="http://schemas.openxmlformats.org/officeDocument/2006/relationships/hyperlink" Target="https://www.wikidata.org/wiki/Property:P5909" TargetMode="External"/><Relationship Id="rId482" Type="http://schemas.openxmlformats.org/officeDocument/2006/relationships/hyperlink" Target="https://ror.org/02e7b5302" TargetMode="External"/><Relationship Id="rId81" Type="http://schemas.openxmlformats.org/officeDocument/2006/relationships/hyperlink" Target="https://www.wikidata.org/wiki/Property:P4033" TargetMode="External"/><Relationship Id="rId135" Type="http://schemas.openxmlformats.org/officeDocument/2006/relationships/hyperlink" Target="https://www.wikidata.org/wiki/Property:P2397" TargetMode="External"/><Relationship Id="rId177" Type="http://schemas.openxmlformats.org/officeDocument/2006/relationships/hyperlink" Target="https://www.wikidata.org/wiki/Property:P11686" TargetMode="External"/><Relationship Id="rId342" Type="http://schemas.openxmlformats.org/officeDocument/2006/relationships/hyperlink" Target="https://ror.org/04gyf1771" TargetMode="External"/><Relationship Id="rId384" Type="http://schemas.openxmlformats.org/officeDocument/2006/relationships/hyperlink" Target="https://ror.org/02bfwt286" TargetMode="External"/><Relationship Id="rId202" Type="http://schemas.openxmlformats.org/officeDocument/2006/relationships/hyperlink" Target="https://www.wikidata.org/wiki/Property:P2886" TargetMode="External"/><Relationship Id="rId244" Type="http://schemas.openxmlformats.org/officeDocument/2006/relationships/hyperlink" Target="https://www.wikidata.org/wiki/Property:P10285" TargetMode="External"/><Relationship Id="rId39" Type="http://schemas.openxmlformats.org/officeDocument/2006/relationships/hyperlink" Target="https://www.wikidata.org/wiki/Property:P11196" TargetMode="External"/><Relationship Id="rId286" Type="http://schemas.openxmlformats.org/officeDocument/2006/relationships/hyperlink" Target="https://www.wikidata.org/wiki/Property:P7446" TargetMode="External"/><Relationship Id="rId451" Type="http://schemas.openxmlformats.org/officeDocument/2006/relationships/hyperlink" Target="https://www.wikidata.org/wiki/Property:P3789" TargetMode="External"/><Relationship Id="rId493" Type="http://schemas.openxmlformats.org/officeDocument/2006/relationships/hyperlink" Target="https://www.wikidata.org/wiki/Property:P902" TargetMode="External"/><Relationship Id="rId50" Type="http://schemas.openxmlformats.org/officeDocument/2006/relationships/hyperlink" Target="https://www.wikidata.org/wiki/Property:P10565" TargetMode="External"/><Relationship Id="rId104" Type="http://schemas.openxmlformats.org/officeDocument/2006/relationships/hyperlink" Target="https://www.wikidata.org/wiki/Property:P5584" TargetMode="External"/><Relationship Id="rId146" Type="http://schemas.openxmlformats.org/officeDocument/2006/relationships/hyperlink" Target="https://www.wikidata.org/wiki/Property:P8313" TargetMode="External"/><Relationship Id="rId188" Type="http://schemas.openxmlformats.org/officeDocument/2006/relationships/hyperlink" Target="https://www.wikidata.org/wiki/Property:P8826" TargetMode="External"/><Relationship Id="rId311" Type="http://schemas.openxmlformats.org/officeDocument/2006/relationships/hyperlink" Target="https://www.wikidata.org/wiki/Property:P12038" TargetMode="External"/><Relationship Id="rId353" Type="http://schemas.openxmlformats.org/officeDocument/2006/relationships/hyperlink" Target="https://www.wikidata.org/wiki/Property:P3794" TargetMode="External"/><Relationship Id="rId395" Type="http://schemas.openxmlformats.org/officeDocument/2006/relationships/hyperlink" Target="https://www.wikidata.org/wiki/Property:P12204" TargetMode="External"/><Relationship Id="rId409" Type="http://schemas.openxmlformats.org/officeDocument/2006/relationships/hyperlink" Target="https://www.wikidata.org/wiki/Property:P5332" TargetMode="External"/><Relationship Id="rId92" Type="http://schemas.openxmlformats.org/officeDocument/2006/relationships/hyperlink" Target="https://www.wikidata.org/wiki/Property:P1315" TargetMode="External"/><Relationship Id="rId213" Type="http://schemas.openxmlformats.org/officeDocument/2006/relationships/hyperlink" Target="https://www.wikidata.org/wiki/Property:P7039" TargetMode="External"/><Relationship Id="rId420" Type="http://schemas.openxmlformats.org/officeDocument/2006/relationships/hyperlink" Target="https://www.wikidata.org/wiki/Property:P10712" TargetMode="External"/><Relationship Id="rId255" Type="http://schemas.openxmlformats.org/officeDocument/2006/relationships/hyperlink" Target="https://www.wikidata.org/wiki/Property:P1602" TargetMode="External"/><Relationship Id="rId297" Type="http://schemas.openxmlformats.org/officeDocument/2006/relationships/hyperlink" Target="https://www.wikidata.org/wiki/Property:P6455" TargetMode="External"/><Relationship Id="rId462" Type="http://schemas.openxmlformats.org/officeDocument/2006/relationships/hyperlink" Target="https://ror.org/02kkvpp62" TargetMode="External"/><Relationship Id="rId115" Type="http://schemas.openxmlformats.org/officeDocument/2006/relationships/hyperlink" Target="https://www.wikidata.org/wiki/Property:P3430" TargetMode="External"/><Relationship Id="rId157" Type="http://schemas.openxmlformats.org/officeDocument/2006/relationships/hyperlink" Target="https://www.wikidata.org/wiki/Property:P11806" TargetMode="External"/><Relationship Id="rId322" Type="http://schemas.openxmlformats.org/officeDocument/2006/relationships/hyperlink" Target="https://www.wikidata.org/wiki/Property:P2463" TargetMode="External"/><Relationship Id="rId364" Type="http://schemas.openxmlformats.org/officeDocument/2006/relationships/hyperlink" Target="https://www.wikidata.org/wiki/Property:P3988" TargetMode="External"/><Relationship Id="rId61" Type="http://schemas.openxmlformats.org/officeDocument/2006/relationships/hyperlink" Target="https://www.wikidata.org/wiki/Property:P3749" TargetMode="External"/><Relationship Id="rId199" Type="http://schemas.openxmlformats.org/officeDocument/2006/relationships/hyperlink" Target="https://www.wikidata.org/wiki/Property:P5256" TargetMode="External"/><Relationship Id="rId19" Type="http://schemas.openxmlformats.org/officeDocument/2006/relationships/hyperlink" Target="https://www.wikidata.org/wiki/Property:P691" TargetMode="External"/><Relationship Id="rId224" Type="http://schemas.openxmlformats.org/officeDocument/2006/relationships/hyperlink" Target="https://www.wikidata.org/wiki/Property:P3108" TargetMode="External"/><Relationship Id="rId266" Type="http://schemas.openxmlformats.org/officeDocument/2006/relationships/hyperlink" Target="https://ror.org/03v76x132" TargetMode="External"/><Relationship Id="rId431" Type="http://schemas.openxmlformats.org/officeDocument/2006/relationships/hyperlink" Target="https://www.wikidata.org/wiki/Property:P7783" TargetMode="External"/><Relationship Id="rId473" Type="http://schemas.openxmlformats.org/officeDocument/2006/relationships/hyperlink" Target="https://www.wikidata.org/wiki/Property:P2037" TargetMode="External"/><Relationship Id="rId30" Type="http://schemas.openxmlformats.org/officeDocument/2006/relationships/hyperlink" Target="https://www.wikidata.org/wiki/Property:P6683" TargetMode="External"/><Relationship Id="rId126" Type="http://schemas.openxmlformats.org/officeDocument/2006/relationships/hyperlink" Target="https://www.wikidata.org/wiki/Property:P4223" TargetMode="External"/><Relationship Id="rId168" Type="http://schemas.openxmlformats.org/officeDocument/2006/relationships/hyperlink" Target="https://www.wikidata.org/wiki/Property:P12252" TargetMode="External"/><Relationship Id="rId333" Type="http://schemas.openxmlformats.org/officeDocument/2006/relationships/hyperlink" Target="https://ror.org/041kmwe10" TargetMode="External"/><Relationship Id="rId72" Type="http://schemas.openxmlformats.org/officeDocument/2006/relationships/hyperlink" Target="https://www.wikidata.org/wiki/Property:P11924" TargetMode="External"/><Relationship Id="rId375" Type="http://schemas.openxmlformats.org/officeDocument/2006/relationships/hyperlink" Target="https://ror.org/05vt9qd57" TargetMode="External"/><Relationship Id="rId3" Type="http://schemas.openxmlformats.org/officeDocument/2006/relationships/hyperlink" Target="https://www.wikidata.org/wiki/Property:P214" TargetMode="External"/><Relationship Id="rId235" Type="http://schemas.openxmlformats.org/officeDocument/2006/relationships/hyperlink" Target="https://www.wikidata.org/wiki/Property:P10578" TargetMode="External"/><Relationship Id="rId277" Type="http://schemas.openxmlformats.org/officeDocument/2006/relationships/hyperlink" Target="https://www.wikidata.org/wiki/Property:P7085" TargetMode="External"/><Relationship Id="rId400" Type="http://schemas.openxmlformats.org/officeDocument/2006/relationships/hyperlink" Target="https://www.wikidata.org/wiki/Property:P8519" TargetMode="External"/><Relationship Id="rId442" Type="http://schemas.openxmlformats.org/officeDocument/2006/relationships/hyperlink" Target="https://www.wikidata.org/wiki/Property:P8708" TargetMode="External"/><Relationship Id="rId484" Type="http://schemas.openxmlformats.org/officeDocument/2006/relationships/hyperlink" Target="https://ror.org/01xtthb56" TargetMode="External"/><Relationship Id="rId137" Type="http://schemas.openxmlformats.org/officeDocument/2006/relationships/hyperlink" Target="https://ror.org/00f54p054" TargetMode="External"/><Relationship Id="rId302" Type="http://schemas.openxmlformats.org/officeDocument/2006/relationships/hyperlink" Target="https://ror.org/00py81415" TargetMode="External"/><Relationship Id="rId344" Type="http://schemas.openxmlformats.org/officeDocument/2006/relationships/hyperlink" Target="https://ror.org/01ej9dk98" TargetMode="External"/><Relationship Id="rId41" Type="http://schemas.openxmlformats.org/officeDocument/2006/relationships/hyperlink" Target="https://www.wikidata.org/wiki/Property:P4081" TargetMode="External"/><Relationship Id="rId83" Type="http://schemas.openxmlformats.org/officeDocument/2006/relationships/hyperlink" Target="https://www.wikidata.org/wiki/Property:P6366" TargetMode="External"/><Relationship Id="rId179" Type="http://schemas.openxmlformats.org/officeDocument/2006/relationships/hyperlink" Target="https://ror.org/052gg0110" TargetMode="External"/><Relationship Id="rId386" Type="http://schemas.openxmlformats.org/officeDocument/2006/relationships/hyperlink" Target="https://ror.org/0384j8v12" TargetMode="External"/><Relationship Id="rId190" Type="http://schemas.openxmlformats.org/officeDocument/2006/relationships/hyperlink" Target="https://www.wikidata.org/wiki/Property:P2657" TargetMode="External"/><Relationship Id="rId204" Type="http://schemas.openxmlformats.org/officeDocument/2006/relationships/hyperlink" Target="https://www.wikidata.org/wiki/Property:P8167" TargetMode="External"/><Relationship Id="rId246" Type="http://schemas.openxmlformats.org/officeDocument/2006/relationships/hyperlink" Target="https://www.wikidata.org/wiki/Property:P9918" TargetMode="External"/><Relationship Id="rId288" Type="http://schemas.openxmlformats.org/officeDocument/2006/relationships/hyperlink" Target="https://www.wikidata.org/wiki/Property:P8501" TargetMode="External"/><Relationship Id="rId411" Type="http://schemas.openxmlformats.org/officeDocument/2006/relationships/hyperlink" Target="https://ror.org/01zkghx44" TargetMode="External"/><Relationship Id="rId453" Type="http://schemas.openxmlformats.org/officeDocument/2006/relationships/hyperlink" Target="https://ror.org/021018s57" TargetMode="External"/><Relationship Id="rId106" Type="http://schemas.openxmlformats.org/officeDocument/2006/relationships/hyperlink" Target="https://www.wikidata.org/wiki/Property:P5181" TargetMode="External"/><Relationship Id="rId313" Type="http://schemas.openxmlformats.org/officeDocument/2006/relationships/hyperlink" Target="https://www.wikidata.org/wiki/Property:P5508" TargetMode="External"/><Relationship Id="rId495" Type="http://schemas.openxmlformats.org/officeDocument/2006/relationships/hyperlink" Target="https://ror.org/013q1eq0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Property:P8464" TargetMode="External"/><Relationship Id="rId21" Type="http://schemas.openxmlformats.org/officeDocument/2006/relationships/hyperlink" Target="https://www.wikidata.org/wiki/Property:P749" TargetMode="External"/><Relationship Id="rId63" Type="http://schemas.openxmlformats.org/officeDocument/2006/relationships/hyperlink" Target="https://www.wikidata.org/wiki/Property:P1889" TargetMode="External"/><Relationship Id="rId159" Type="http://schemas.openxmlformats.org/officeDocument/2006/relationships/hyperlink" Target="https://www.wikidata.org/wiki/Property:P127" TargetMode="External"/><Relationship Id="rId170" Type="http://schemas.openxmlformats.org/officeDocument/2006/relationships/hyperlink" Target="https://www.wikidata.org/wiki/Property:P457" TargetMode="External"/><Relationship Id="rId226" Type="http://schemas.openxmlformats.org/officeDocument/2006/relationships/hyperlink" Target="https://ror.org/00rs6vg23" TargetMode="External"/><Relationship Id="rId268" Type="http://schemas.openxmlformats.org/officeDocument/2006/relationships/hyperlink" Target="https://ror.org/00t33hh48" TargetMode="External"/><Relationship Id="rId32" Type="http://schemas.openxmlformats.org/officeDocument/2006/relationships/hyperlink" Target="https://www.wikidata.org/wiki/Property:P1343" TargetMode="External"/><Relationship Id="rId74" Type="http://schemas.openxmlformats.org/officeDocument/2006/relationships/hyperlink" Target="https://www.wikidata.org/wiki/Property:P7959" TargetMode="External"/><Relationship Id="rId128" Type="http://schemas.openxmlformats.org/officeDocument/2006/relationships/hyperlink" Target="https://www.wikidata.org/wiki/Property:P1552" TargetMode="External"/><Relationship Id="rId5" Type="http://schemas.openxmlformats.org/officeDocument/2006/relationships/hyperlink" Target="https://www.wikidata.org/wiki/Property:P1448" TargetMode="External"/><Relationship Id="rId181" Type="http://schemas.openxmlformats.org/officeDocument/2006/relationships/hyperlink" Target="https://www.wikidata.org/wiki/Property:P2817" TargetMode="External"/><Relationship Id="rId237" Type="http://schemas.openxmlformats.org/officeDocument/2006/relationships/hyperlink" Target="https://ror.org/02dqehb95" TargetMode="External"/><Relationship Id="rId279" Type="http://schemas.openxmlformats.org/officeDocument/2006/relationships/hyperlink" Target="https://ror.org/040af2s02" TargetMode="External"/><Relationship Id="rId43" Type="http://schemas.openxmlformats.org/officeDocument/2006/relationships/hyperlink" Target="https://www.wikidata.org/wiki/Property:P935" TargetMode="External"/><Relationship Id="rId139" Type="http://schemas.openxmlformats.org/officeDocument/2006/relationships/hyperlink" Target="https://www.wikidata.org/wiki/Property:P1332" TargetMode="External"/><Relationship Id="rId290" Type="http://schemas.openxmlformats.org/officeDocument/2006/relationships/hyperlink" Target="https://ror.org/01aj84f44" TargetMode="External"/><Relationship Id="rId85" Type="http://schemas.openxmlformats.org/officeDocument/2006/relationships/hyperlink" Target="https://www.wikidata.org/wiki/Property:P1433" TargetMode="External"/><Relationship Id="rId150" Type="http://schemas.openxmlformats.org/officeDocument/2006/relationships/hyperlink" Target="https://www.wikidata.org/wiki/Property:P5555" TargetMode="External"/><Relationship Id="rId192" Type="http://schemas.openxmlformats.org/officeDocument/2006/relationships/hyperlink" Target="https://www.wikidata.org/wiki/Property:P2238" TargetMode="External"/><Relationship Id="rId206" Type="http://schemas.openxmlformats.org/officeDocument/2006/relationships/hyperlink" Target="https://ror.org/046rm7j60" TargetMode="External"/><Relationship Id="rId248" Type="http://schemas.openxmlformats.org/officeDocument/2006/relationships/hyperlink" Target="https://ror.org/0384j8v12" TargetMode="External"/><Relationship Id="rId12" Type="http://schemas.openxmlformats.org/officeDocument/2006/relationships/hyperlink" Target="https://www.wikidata.org/wiki/Property:P488" TargetMode="External"/><Relationship Id="rId33" Type="http://schemas.openxmlformats.org/officeDocument/2006/relationships/hyperlink" Target="https://www.wikidata.org/wiki/Property:P5008" TargetMode="External"/><Relationship Id="rId108" Type="http://schemas.openxmlformats.org/officeDocument/2006/relationships/hyperlink" Target="https://www.wikidata.org/wiki/Property:P444" TargetMode="External"/><Relationship Id="rId129" Type="http://schemas.openxmlformats.org/officeDocument/2006/relationships/hyperlink" Target="https://www.wikidata.org/wiki/Property:P12469" TargetMode="External"/><Relationship Id="rId280" Type="http://schemas.openxmlformats.org/officeDocument/2006/relationships/hyperlink" Target="https://ror.org/02smfhw86" TargetMode="External"/><Relationship Id="rId54" Type="http://schemas.openxmlformats.org/officeDocument/2006/relationships/hyperlink" Target="https://www.wikidata.org/wiki/Property:P2828" TargetMode="External"/><Relationship Id="rId75" Type="http://schemas.openxmlformats.org/officeDocument/2006/relationships/hyperlink" Target="https://www.wikidata.org/wiki/Property:P462" TargetMode="External"/><Relationship Id="rId96" Type="http://schemas.openxmlformats.org/officeDocument/2006/relationships/hyperlink" Target="https://www.wikidata.org/wiki/Property:P4640" TargetMode="External"/><Relationship Id="rId140" Type="http://schemas.openxmlformats.org/officeDocument/2006/relationships/hyperlink" Target="https://www.wikidata.org/wiki/Property:P1333" TargetMode="External"/><Relationship Id="rId161" Type="http://schemas.openxmlformats.org/officeDocument/2006/relationships/hyperlink" Target="https://www.wikidata.org/wiki/Property:P2918" TargetMode="External"/><Relationship Id="rId182" Type="http://schemas.openxmlformats.org/officeDocument/2006/relationships/hyperlink" Target="https://www.wikidata.org/wiki/Property:P2283" TargetMode="External"/><Relationship Id="rId217" Type="http://schemas.openxmlformats.org/officeDocument/2006/relationships/hyperlink" Target="https://ror.org/03rmrcq20" TargetMode="External"/><Relationship Id="rId6" Type="http://schemas.openxmlformats.org/officeDocument/2006/relationships/hyperlink" Target="https://www.wikidata.org/wiki/Property:P1705" TargetMode="External"/><Relationship Id="rId238" Type="http://schemas.openxmlformats.org/officeDocument/2006/relationships/hyperlink" Target="https://ror.org/01an3r305" TargetMode="External"/><Relationship Id="rId259" Type="http://schemas.openxmlformats.org/officeDocument/2006/relationships/hyperlink" Target="https://ror.org/0220mzb33" TargetMode="External"/><Relationship Id="rId23" Type="http://schemas.openxmlformats.org/officeDocument/2006/relationships/hyperlink" Target="https://www.wikidata.org/wiki/Property:P1830" TargetMode="External"/><Relationship Id="rId119" Type="http://schemas.openxmlformats.org/officeDocument/2006/relationships/hyperlink" Target="https://www.wikidata.org/wiki/Property:P1352" TargetMode="External"/><Relationship Id="rId270" Type="http://schemas.openxmlformats.org/officeDocument/2006/relationships/hyperlink" Target="https://ror.org/05gq02987" TargetMode="External"/><Relationship Id="rId291" Type="http://schemas.openxmlformats.org/officeDocument/2006/relationships/hyperlink" Target="https://ror.org/02s376052" TargetMode="External"/><Relationship Id="rId44" Type="http://schemas.openxmlformats.org/officeDocument/2006/relationships/hyperlink" Target="https://www.wikidata.org/wiki/Property:P1612" TargetMode="External"/><Relationship Id="rId65" Type="http://schemas.openxmlformats.org/officeDocument/2006/relationships/hyperlink" Target="https://www.wikidata.org/wiki/Property:P276" TargetMode="External"/><Relationship Id="rId86" Type="http://schemas.openxmlformats.org/officeDocument/2006/relationships/hyperlink" Target="https://www.wikidata.org/wiki/Property:P2184" TargetMode="External"/><Relationship Id="rId130" Type="http://schemas.openxmlformats.org/officeDocument/2006/relationships/hyperlink" Target="https://www.wikidata.org/wiki/Property:P3342" TargetMode="External"/><Relationship Id="rId151" Type="http://schemas.openxmlformats.org/officeDocument/2006/relationships/hyperlink" Target="https://www.wikidata.org/wiki/Property:P7374" TargetMode="External"/><Relationship Id="rId172" Type="http://schemas.openxmlformats.org/officeDocument/2006/relationships/hyperlink" Target="https://www.wikidata.org/wiki/Property:P1801" TargetMode="External"/><Relationship Id="rId193" Type="http://schemas.openxmlformats.org/officeDocument/2006/relationships/hyperlink" Target="https://ror.org/03vek6s52" TargetMode="External"/><Relationship Id="rId207" Type="http://schemas.openxmlformats.org/officeDocument/2006/relationships/hyperlink" Target="https://ror.org/02jx3x895" TargetMode="External"/><Relationship Id="rId228" Type="http://schemas.openxmlformats.org/officeDocument/2006/relationships/hyperlink" Target="https://ror.org/05rrcem69" TargetMode="External"/><Relationship Id="rId249" Type="http://schemas.openxmlformats.org/officeDocument/2006/relationships/hyperlink" Target="https://ror.org/00a2xv884" TargetMode="External"/><Relationship Id="rId13" Type="http://schemas.openxmlformats.org/officeDocument/2006/relationships/hyperlink" Target="https://www.wikidata.org/wiki/Property:P1451" TargetMode="External"/><Relationship Id="rId109" Type="http://schemas.openxmlformats.org/officeDocument/2006/relationships/hyperlink" Target="https://www.wikidata.org/wiki/Property:P166" TargetMode="External"/><Relationship Id="rId260" Type="http://schemas.openxmlformats.org/officeDocument/2006/relationships/hyperlink" Target="https://ror.org/03r0ha626" TargetMode="External"/><Relationship Id="rId281" Type="http://schemas.openxmlformats.org/officeDocument/2006/relationships/hyperlink" Target="https://ror.org/03yjb2x39" TargetMode="External"/><Relationship Id="rId34" Type="http://schemas.openxmlformats.org/officeDocument/2006/relationships/hyperlink" Target="https://www.wikidata.org/wiki/Property:P5125" TargetMode="External"/><Relationship Id="rId55" Type="http://schemas.openxmlformats.org/officeDocument/2006/relationships/hyperlink" Target="https://www.wikidata.org/wiki/Property:P2124" TargetMode="External"/><Relationship Id="rId76" Type="http://schemas.openxmlformats.org/officeDocument/2006/relationships/hyperlink" Target="https://www.wikidata.org/wiki/Property:P41" TargetMode="External"/><Relationship Id="rId97" Type="http://schemas.openxmlformats.org/officeDocument/2006/relationships/hyperlink" Target="https://www.wikidata.org/wiki/Property:P6733" TargetMode="External"/><Relationship Id="rId120" Type="http://schemas.openxmlformats.org/officeDocument/2006/relationships/hyperlink" Target="https://www.wikidata.org/wiki/Property:P6104" TargetMode="External"/><Relationship Id="rId141" Type="http://schemas.openxmlformats.org/officeDocument/2006/relationships/hyperlink" Target="https://www.wikidata.org/wiki/Property:P1335" TargetMode="External"/><Relationship Id="rId7" Type="http://schemas.openxmlformats.org/officeDocument/2006/relationships/hyperlink" Target="https://www.wikidata.org/wiki/Property:P802" TargetMode="External"/><Relationship Id="rId162" Type="http://schemas.openxmlformats.org/officeDocument/2006/relationships/hyperlink" Target="https://www.wikidata.org/wiki/Property:P210" TargetMode="External"/><Relationship Id="rId183" Type="http://schemas.openxmlformats.org/officeDocument/2006/relationships/hyperlink" Target="https://www.wikidata.org/wiki/Property:P37" TargetMode="External"/><Relationship Id="rId218" Type="http://schemas.openxmlformats.org/officeDocument/2006/relationships/hyperlink" Target="https://ror.org/00hx57361" TargetMode="External"/><Relationship Id="rId239" Type="http://schemas.openxmlformats.org/officeDocument/2006/relationships/hyperlink" Target="https://ror.org/05x2bcf33" TargetMode="External"/><Relationship Id="rId250" Type="http://schemas.openxmlformats.org/officeDocument/2006/relationships/hyperlink" Target="https://ror.org/04dkp9463" TargetMode="External"/><Relationship Id="rId271" Type="http://schemas.openxmlformats.org/officeDocument/2006/relationships/hyperlink" Target="https://ror.org/012p63287" TargetMode="External"/><Relationship Id="rId292" Type="http://schemas.openxmlformats.org/officeDocument/2006/relationships/hyperlink" Target="https://ror.org/022kthw22" TargetMode="External"/><Relationship Id="rId24" Type="http://schemas.openxmlformats.org/officeDocument/2006/relationships/hyperlink" Target="https://www.wikidata.org/wiki/Property:P1128" TargetMode="External"/><Relationship Id="rId45" Type="http://schemas.openxmlformats.org/officeDocument/2006/relationships/hyperlink" Target="https://www.wikidata.org/wiki/Property:P373" TargetMode="External"/><Relationship Id="rId66" Type="http://schemas.openxmlformats.org/officeDocument/2006/relationships/hyperlink" Target="https://www.wikidata.org/wiki/Property:P2139" TargetMode="External"/><Relationship Id="rId87" Type="http://schemas.openxmlformats.org/officeDocument/2006/relationships/hyperlink" Target="https://www.wikidata.org/wiki/Property:P9601" TargetMode="External"/><Relationship Id="rId110" Type="http://schemas.openxmlformats.org/officeDocument/2006/relationships/hyperlink" Target="https://www.wikidata.org/wiki/Property:P1056" TargetMode="External"/><Relationship Id="rId131" Type="http://schemas.openxmlformats.org/officeDocument/2006/relationships/hyperlink" Target="https://www.wikidata.org/wiki/Property:P443" TargetMode="External"/><Relationship Id="rId152" Type="http://schemas.openxmlformats.org/officeDocument/2006/relationships/hyperlink" Target="https://www.wikidata.org/wiki/Property:P2868" TargetMode="External"/><Relationship Id="rId173" Type="http://schemas.openxmlformats.org/officeDocument/2006/relationships/hyperlink" Target="https://www.wikidata.org/wiki/Property:P126" TargetMode="External"/><Relationship Id="rId194" Type="http://schemas.openxmlformats.org/officeDocument/2006/relationships/hyperlink" Target="https://ror.org/00f54p054" TargetMode="External"/><Relationship Id="rId208" Type="http://schemas.openxmlformats.org/officeDocument/2006/relationships/hyperlink" Target="https://ror.org/03dbr7087" TargetMode="External"/><Relationship Id="rId229" Type="http://schemas.openxmlformats.org/officeDocument/2006/relationships/hyperlink" Target="https://ror.org/04gyf1771" TargetMode="External"/><Relationship Id="rId240" Type="http://schemas.openxmlformats.org/officeDocument/2006/relationships/hyperlink" Target="https://ror.org/05hs6h993" TargetMode="External"/><Relationship Id="rId261" Type="http://schemas.openxmlformats.org/officeDocument/2006/relationships/hyperlink" Target="https://ror.org/0153tk833" TargetMode="External"/><Relationship Id="rId14" Type="http://schemas.openxmlformats.org/officeDocument/2006/relationships/hyperlink" Target="https://www.wikidata.org/wiki/Property:P17" TargetMode="External"/><Relationship Id="rId35" Type="http://schemas.openxmlformats.org/officeDocument/2006/relationships/hyperlink" Target="https://www.wikidata.org/wiki/Property:P6364" TargetMode="External"/><Relationship Id="rId56" Type="http://schemas.openxmlformats.org/officeDocument/2006/relationships/hyperlink" Target="https://www.wikidata.org/wiki/Property:P793" TargetMode="External"/><Relationship Id="rId77" Type="http://schemas.openxmlformats.org/officeDocument/2006/relationships/hyperlink" Target="https://www.wikidata.org/wiki/Property:P237" TargetMode="External"/><Relationship Id="rId100" Type="http://schemas.openxmlformats.org/officeDocument/2006/relationships/hyperlink" Target="https://www.wikidata.org/wiki/Property:P797" TargetMode="External"/><Relationship Id="rId282" Type="http://schemas.openxmlformats.org/officeDocument/2006/relationships/hyperlink" Target="https://ror.org/04c4dkn09" TargetMode="External"/><Relationship Id="rId8" Type="http://schemas.openxmlformats.org/officeDocument/2006/relationships/hyperlink" Target="https://www.wikidata.org/wiki/Property:P1416" TargetMode="External"/><Relationship Id="rId98" Type="http://schemas.openxmlformats.org/officeDocument/2006/relationships/hyperlink" Target="https://www.wikidata.org/wiki/Property:P2959" TargetMode="External"/><Relationship Id="rId121" Type="http://schemas.openxmlformats.org/officeDocument/2006/relationships/hyperlink" Target="https://www.wikidata.org/wiki/Property:P3320" TargetMode="External"/><Relationship Id="rId142" Type="http://schemas.openxmlformats.org/officeDocument/2006/relationships/hyperlink" Target="https://www.wikidata.org/wiki/Property:P1082" TargetMode="External"/><Relationship Id="rId163" Type="http://schemas.openxmlformats.org/officeDocument/2006/relationships/hyperlink" Target="https://www.wikidata.org/wiki/Property:P242" TargetMode="External"/><Relationship Id="rId184" Type="http://schemas.openxmlformats.org/officeDocument/2006/relationships/hyperlink" Target="https://www.wikidata.org/wiki/Property:P740" TargetMode="External"/><Relationship Id="rId219" Type="http://schemas.openxmlformats.org/officeDocument/2006/relationships/hyperlink" Target="https://ror.org/0130frc33" TargetMode="External"/><Relationship Id="rId230" Type="http://schemas.openxmlformats.org/officeDocument/2006/relationships/hyperlink" Target="https://ror.org/01ej9dk98" TargetMode="External"/><Relationship Id="rId251" Type="http://schemas.openxmlformats.org/officeDocument/2006/relationships/hyperlink" Target="https://ror.org/02ttsq026" TargetMode="External"/><Relationship Id="rId25" Type="http://schemas.openxmlformats.org/officeDocument/2006/relationships/hyperlink" Target="https://www.wikidata.org/wiki/Property:P2936" TargetMode="External"/><Relationship Id="rId46" Type="http://schemas.openxmlformats.org/officeDocument/2006/relationships/hyperlink" Target="https://www.wikidata.org/wiki/Property:P1424" TargetMode="External"/><Relationship Id="rId67" Type="http://schemas.openxmlformats.org/officeDocument/2006/relationships/hyperlink" Target="https://www.wikidata.org/wiki/Property:P2652" TargetMode="External"/><Relationship Id="rId272" Type="http://schemas.openxmlformats.org/officeDocument/2006/relationships/hyperlink" Target="https://ror.org/02zhqgq86" TargetMode="External"/><Relationship Id="rId293" Type="http://schemas.openxmlformats.org/officeDocument/2006/relationships/printerSettings" Target="../printerSettings/printerSettings2.bin"/><Relationship Id="rId88" Type="http://schemas.openxmlformats.org/officeDocument/2006/relationships/hyperlink" Target="https://www.wikidata.org/wiki/Property:P1465" TargetMode="External"/><Relationship Id="rId111" Type="http://schemas.openxmlformats.org/officeDocument/2006/relationships/hyperlink" Target="https://www.wikidata.org/wiki/Property:P1875" TargetMode="External"/><Relationship Id="rId132" Type="http://schemas.openxmlformats.org/officeDocument/2006/relationships/hyperlink" Target="https://www.wikidata.org/wiki/Property:P485" TargetMode="External"/><Relationship Id="rId153" Type="http://schemas.openxmlformats.org/officeDocument/2006/relationships/hyperlink" Target="https://www.wikidata.org/wiki/Property:P1766" TargetMode="External"/><Relationship Id="rId174" Type="http://schemas.openxmlformats.org/officeDocument/2006/relationships/hyperlink" Target="https://www.wikidata.org/wiki/Property:P7419" TargetMode="External"/><Relationship Id="rId195" Type="http://schemas.openxmlformats.org/officeDocument/2006/relationships/hyperlink" Target="https://ror.org/042nb2s44" TargetMode="External"/><Relationship Id="rId209" Type="http://schemas.openxmlformats.org/officeDocument/2006/relationships/hyperlink" Target="https://ror.org/0168r3w48" TargetMode="External"/><Relationship Id="rId220" Type="http://schemas.openxmlformats.org/officeDocument/2006/relationships/hyperlink" Target="https://ror.org/024mw5h28" TargetMode="External"/><Relationship Id="rId241" Type="http://schemas.openxmlformats.org/officeDocument/2006/relationships/hyperlink" Target="https://ror.org/00rqy9422" TargetMode="External"/><Relationship Id="rId15" Type="http://schemas.openxmlformats.org/officeDocument/2006/relationships/hyperlink" Target="https://www.wikidata.org/wiki/Property:P131" TargetMode="External"/><Relationship Id="rId36" Type="http://schemas.openxmlformats.org/officeDocument/2006/relationships/hyperlink" Target="https://www.wikidata.org/wiki/Property:P10588" TargetMode="External"/><Relationship Id="rId57" Type="http://schemas.openxmlformats.org/officeDocument/2006/relationships/hyperlink" Target="https://www.wikidata.org/wiki/Property:P2769" TargetMode="External"/><Relationship Id="rId262" Type="http://schemas.openxmlformats.org/officeDocument/2006/relationships/hyperlink" Target="https://ror.org/0160cpw27" TargetMode="External"/><Relationship Id="rId283" Type="http://schemas.openxmlformats.org/officeDocument/2006/relationships/hyperlink" Target="https://ror.org/024mrxd33" TargetMode="External"/><Relationship Id="rId78" Type="http://schemas.openxmlformats.org/officeDocument/2006/relationships/hyperlink" Target="https://www.wikidata.org/wiki/Property:P417" TargetMode="External"/><Relationship Id="rId99" Type="http://schemas.openxmlformats.org/officeDocument/2006/relationships/hyperlink" Target="https://www.wikidata.org/wiki/Property:P1546" TargetMode="External"/><Relationship Id="rId101" Type="http://schemas.openxmlformats.org/officeDocument/2006/relationships/hyperlink" Target="https://www.wikidata.org/wiki/Property:P7867" TargetMode="External"/><Relationship Id="rId122" Type="http://schemas.openxmlformats.org/officeDocument/2006/relationships/hyperlink" Target="https://www.wikidata.org/wiki/Property:P11266" TargetMode="External"/><Relationship Id="rId143" Type="http://schemas.openxmlformats.org/officeDocument/2006/relationships/hyperlink" Target="https://www.wikidata.org/wiki/Property:P2927" TargetMode="External"/><Relationship Id="rId164" Type="http://schemas.openxmlformats.org/officeDocument/2006/relationships/hyperlink" Target="https://www.wikidata.org/wiki/Property:P669" TargetMode="External"/><Relationship Id="rId185" Type="http://schemas.openxmlformats.org/officeDocument/2006/relationships/hyperlink" Target="https://www.wikidata.org/wiki/Property:P155" TargetMode="External"/><Relationship Id="rId9" Type="http://schemas.openxmlformats.org/officeDocument/2006/relationships/hyperlink" Target="https://www.wikidata.org/wiki/Property:P138" TargetMode="External"/><Relationship Id="rId210" Type="http://schemas.openxmlformats.org/officeDocument/2006/relationships/hyperlink" Target="https://ror.org/04p491231" TargetMode="External"/><Relationship Id="rId26" Type="http://schemas.openxmlformats.org/officeDocument/2006/relationships/hyperlink" Target="https://www.wikidata.org/wiki/Property:P3793" TargetMode="External"/><Relationship Id="rId231" Type="http://schemas.openxmlformats.org/officeDocument/2006/relationships/hyperlink" Target="https://ror.org/043mz5j54" TargetMode="External"/><Relationship Id="rId252" Type="http://schemas.openxmlformats.org/officeDocument/2006/relationships/hyperlink" Target="https://ror.org/0220qvk04" TargetMode="External"/><Relationship Id="rId273" Type="http://schemas.openxmlformats.org/officeDocument/2006/relationships/hyperlink" Target="https://ror.org/008xxew50" TargetMode="External"/><Relationship Id="rId47" Type="http://schemas.openxmlformats.org/officeDocument/2006/relationships/hyperlink" Target="https://www.wikidata.org/wiki/Property:P910" TargetMode="External"/><Relationship Id="rId68" Type="http://schemas.openxmlformats.org/officeDocument/2006/relationships/hyperlink" Target="https://www.wikidata.org/wiki/Property:P3761" TargetMode="External"/><Relationship Id="rId89" Type="http://schemas.openxmlformats.org/officeDocument/2006/relationships/hyperlink" Target="https://www.wikidata.org/wiki/Property:P2572" TargetMode="External"/><Relationship Id="rId112" Type="http://schemas.openxmlformats.org/officeDocument/2006/relationships/hyperlink" Target="https://www.wikidata.org/wiki/Property:P121" TargetMode="External"/><Relationship Id="rId133" Type="http://schemas.openxmlformats.org/officeDocument/2006/relationships/hyperlink" Target="https://www.wikidata.org/wiki/Property:P1075" TargetMode="External"/><Relationship Id="rId154" Type="http://schemas.openxmlformats.org/officeDocument/2006/relationships/hyperlink" Target="https://www.wikidata.org/wiki/Property:P3451" TargetMode="External"/><Relationship Id="rId175" Type="http://schemas.openxmlformats.org/officeDocument/2006/relationships/hyperlink" Target="https://www.wikidata.org/wiki/Property:P10225" TargetMode="External"/><Relationship Id="rId196" Type="http://schemas.openxmlformats.org/officeDocument/2006/relationships/hyperlink" Target="https://ror.org/052gg0110" TargetMode="External"/><Relationship Id="rId200" Type="http://schemas.openxmlformats.org/officeDocument/2006/relationships/hyperlink" Target="https://ror.org/00cvxb145" TargetMode="External"/><Relationship Id="rId16" Type="http://schemas.openxmlformats.org/officeDocument/2006/relationships/hyperlink" Target="https://www.wikidata.org/wiki/Property:P625" TargetMode="External"/><Relationship Id="rId221" Type="http://schemas.openxmlformats.org/officeDocument/2006/relationships/hyperlink" Target="https://ror.org/00hj54h04" TargetMode="External"/><Relationship Id="rId242" Type="http://schemas.openxmlformats.org/officeDocument/2006/relationships/hyperlink" Target="https://ror.org/05vt9qd57" TargetMode="External"/><Relationship Id="rId263" Type="http://schemas.openxmlformats.org/officeDocument/2006/relationships/hyperlink" Target="https://ror.org/03czfpz43" TargetMode="External"/><Relationship Id="rId284" Type="http://schemas.openxmlformats.org/officeDocument/2006/relationships/hyperlink" Target="https://ror.org/02e7b5302" TargetMode="External"/><Relationship Id="rId37" Type="http://schemas.openxmlformats.org/officeDocument/2006/relationships/hyperlink" Target="https://www.wikidata.org/wiki/Property:P10607" TargetMode="External"/><Relationship Id="rId58" Type="http://schemas.openxmlformats.org/officeDocument/2006/relationships/hyperlink" Target="https://www.wikidata.org/wiki/Property:P1441" TargetMode="External"/><Relationship Id="rId79" Type="http://schemas.openxmlformats.org/officeDocument/2006/relationships/hyperlink" Target="https://www.wikidata.org/wiki/Property:P7153" TargetMode="External"/><Relationship Id="rId102" Type="http://schemas.openxmlformats.org/officeDocument/2006/relationships/hyperlink" Target="https://www.wikidata.org/wiki/Property:P163" TargetMode="External"/><Relationship Id="rId123" Type="http://schemas.openxmlformats.org/officeDocument/2006/relationships/hyperlink" Target="https://www.wikidata.org/wiki/Property:P7014" TargetMode="External"/><Relationship Id="rId144" Type="http://schemas.openxmlformats.org/officeDocument/2006/relationships/hyperlink" Target="https://www.wikidata.org/wiki/Property:P2046" TargetMode="External"/><Relationship Id="rId90" Type="http://schemas.openxmlformats.org/officeDocument/2006/relationships/hyperlink" Target="https://www.wikidata.org/wiki/Property:P6379" TargetMode="External"/><Relationship Id="rId165" Type="http://schemas.openxmlformats.org/officeDocument/2006/relationships/hyperlink" Target="https://www.wikidata.org/wiki/Property:P1454" TargetMode="External"/><Relationship Id="rId186" Type="http://schemas.openxmlformats.org/officeDocument/2006/relationships/hyperlink" Target="https://www.wikidata.org/wiki/Property:P169" TargetMode="External"/><Relationship Id="rId211" Type="http://schemas.openxmlformats.org/officeDocument/2006/relationships/hyperlink" Target="https://ror.org/01y2jtd41" TargetMode="External"/><Relationship Id="rId232" Type="http://schemas.openxmlformats.org/officeDocument/2006/relationships/hyperlink" Target="https://ror.org/03r8z3t63" TargetMode="External"/><Relationship Id="rId253" Type="http://schemas.openxmlformats.org/officeDocument/2006/relationships/hyperlink" Target="https://ror.org/01pxwe438" TargetMode="External"/><Relationship Id="rId274" Type="http://schemas.openxmlformats.org/officeDocument/2006/relationships/hyperlink" Target="https://ror.org/04tj63d06" TargetMode="External"/><Relationship Id="rId27" Type="http://schemas.openxmlformats.org/officeDocument/2006/relationships/hyperlink" Target="https://www.wikidata.org/wiki/Property:P2555" TargetMode="External"/><Relationship Id="rId48" Type="http://schemas.openxmlformats.org/officeDocument/2006/relationships/hyperlink" Target="https://www.wikidata.org/wiki/Property:P3876" TargetMode="External"/><Relationship Id="rId69" Type="http://schemas.openxmlformats.org/officeDocument/2006/relationships/hyperlink" Target="https://www.wikidata.org/wiki/Property:P1329" TargetMode="External"/><Relationship Id="rId113" Type="http://schemas.openxmlformats.org/officeDocument/2006/relationships/hyperlink" Target="https://www.wikidata.org/wiki/Property:P85" TargetMode="External"/><Relationship Id="rId134" Type="http://schemas.openxmlformats.org/officeDocument/2006/relationships/hyperlink" Target="https://www.wikidata.org/wiki/Property:P2044" TargetMode="External"/><Relationship Id="rId80" Type="http://schemas.openxmlformats.org/officeDocument/2006/relationships/hyperlink" Target="https://www.wikidata.org/wiki/Property:P5894" TargetMode="External"/><Relationship Id="rId155" Type="http://schemas.openxmlformats.org/officeDocument/2006/relationships/hyperlink" Target="https://www.wikidata.org/wiki/Property:P5252" TargetMode="External"/><Relationship Id="rId176" Type="http://schemas.openxmlformats.org/officeDocument/2006/relationships/hyperlink" Target="https://www.wikidata.org/wiki/Property:P2770" TargetMode="External"/><Relationship Id="rId197" Type="http://schemas.openxmlformats.org/officeDocument/2006/relationships/hyperlink" Target="https://ror.org/00jmfr291" TargetMode="External"/><Relationship Id="rId201" Type="http://schemas.openxmlformats.org/officeDocument/2006/relationships/hyperlink" Target="https://ror.org/00hj8s172" TargetMode="External"/><Relationship Id="rId222" Type="http://schemas.openxmlformats.org/officeDocument/2006/relationships/hyperlink" Target="https://ror.org/03taz7m60" TargetMode="External"/><Relationship Id="rId243" Type="http://schemas.openxmlformats.org/officeDocument/2006/relationships/hyperlink" Target="https://ror.org/03efmqc40" TargetMode="External"/><Relationship Id="rId264" Type="http://schemas.openxmlformats.org/officeDocument/2006/relationships/hyperlink" Target="https://ror.org/057zh3y96" TargetMode="External"/><Relationship Id="rId285" Type="http://schemas.openxmlformats.org/officeDocument/2006/relationships/hyperlink" Target="https://ror.org/01xtthb56" TargetMode="External"/><Relationship Id="rId17" Type="http://schemas.openxmlformats.org/officeDocument/2006/relationships/hyperlink" Target="https://www.wikidata.org/wiki/Property:P463" TargetMode="External"/><Relationship Id="rId38" Type="http://schemas.openxmlformats.org/officeDocument/2006/relationships/hyperlink" Target="https://www.wikidata.org/wiki/Property:P5822" TargetMode="External"/><Relationship Id="rId59" Type="http://schemas.openxmlformats.org/officeDocument/2006/relationships/hyperlink" Target="https://www.wikidata.org/wiki/Property:P822" TargetMode="External"/><Relationship Id="rId103" Type="http://schemas.openxmlformats.org/officeDocument/2006/relationships/hyperlink" Target="https://www.wikidata.org/wiki/Property:P8453" TargetMode="External"/><Relationship Id="rId124" Type="http://schemas.openxmlformats.org/officeDocument/2006/relationships/hyperlink" Target="https://www.wikidata.org/wiki/Property:P2670" TargetMode="External"/><Relationship Id="rId70" Type="http://schemas.openxmlformats.org/officeDocument/2006/relationships/hyperlink" Target="https://www.wikidata.org/wiki/Property:P553" TargetMode="External"/><Relationship Id="rId91" Type="http://schemas.openxmlformats.org/officeDocument/2006/relationships/hyperlink" Target="https://www.wikidata.org/wiki/Property:P5460" TargetMode="External"/><Relationship Id="rId145" Type="http://schemas.openxmlformats.org/officeDocument/2006/relationships/hyperlink" Target="https://www.wikidata.org/wiki/Property:P1056" TargetMode="External"/><Relationship Id="rId166" Type="http://schemas.openxmlformats.org/officeDocument/2006/relationships/hyperlink" Target="https://www.wikidata.org/wiki/Property:P2813" TargetMode="External"/><Relationship Id="rId187" Type="http://schemas.openxmlformats.org/officeDocument/2006/relationships/hyperlink" Target="https://www.wikidata.org/wiki/Property:P4004" TargetMode="External"/><Relationship Id="rId1" Type="http://schemas.openxmlformats.org/officeDocument/2006/relationships/hyperlink" Target="https://www.wikidata.org/wiki/Property:P31" TargetMode="External"/><Relationship Id="rId212" Type="http://schemas.openxmlformats.org/officeDocument/2006/relationships/hyperlink" Target="https://ror.org/03cve4549" TargetMode="External"/><Relationship Id="rId233" Type="http://schemas.openxmlformats.org/officeDocument/2006/relationships/hyperlink" Target="https://ror.org/01yc7t268" TargetMode="External"/><Relationship Id="rId254" Type="http://schemas.openxmlformats.org/officeDocument/2006/relationships/hyperlink" Target="https://ror.org/02vm5rt34" TargetMode="External"/><Relationship Id="rId28" Type="http://schemas.openxmlformats.org/officeDocument/2006/relationships/hyperlink" Target="https://www.wikidata.org/wiki/Property:P6375" TargetMode="External"/><Relationship Id="rId49" Type="http://schemas.openxmlformats.org/officeDocument/2006/relationships/hyperlink" Target="https://www.wikidata.org/wiki/Property:P4195" TargetMode="External"/><Relationship Id="rId114" Type="http://schemas.openxmlformats.org/officeDocument/2006/relationships/hyperlink" Target="https://www.wikidata.org/wiki/Property:P1382" TargetMode="External"/><Relationship Id="rId275" Type="http://schemas.openxmlformats.org/officeDocument/2006/relationships/hyperlink" Target="https://ror.org/02kkvpp62" TargetMode="External"/><Relationship Id="rId60" Type="http://schemas.openxmlformats.org/officeDocument/2006/relationships/hyperlink" Target="https://www.wikidata.org/wiki/Property:P158" TargetMode="External"/><Relationship Id="rId81" Type="http://schemas.openxmlformats.org/officeDocument/2006/relationships/hyperlink" Target="https://www.wikidata.org/wiki/Property:P12470" TargetMode="External"/><Relationship Id="rId135" Type="http://schemas.openxmlformats.org/officeDocument/2006/relationships/hyperlink" Target="https://www.wikidata.org/wiki/Property:P1435" TargetMode="External"/><Relationship Id="rId156" Type="http://schemas.openxmlformats.org/officeDocument/2006/relationships/hyperlink" Target="https://www.wikidata.org/wiki/Property:P6592" TargetMode="External"/><Relationship Id="rId177" Type="http://schemas.openxmlformats.org/officeDocument/2006/relationships/hyperlink" Target="https://www.wikidata.org/wiki/Property:P921" TargetMode="External"/><Relationship Id="rId198" Type="http://schemas.openxmlformats.org/officeDocument/2006/relationships/hyperlink" Target="https://ror.org/01an7q238" TargetMode="External"/><Relationship Id="rId202" Type="http://schemas.openxmlformats.org/officeDocument/2006/relationships/hyperlink" Target="https://ror.org/00b30xv10" TargetMode="External"/><Relationship Id="rId223" Type="http://schemas.openxmlformats.org/officeDocument/2006/relationships/hyperlink" Target="https://ror.org/05a28rw58" TargetMode="External"/><Relationship Id="rId244" Type="http://schemas.openxmlformats.org/officeDocument/2006/relationships/hyperlink" Target="https://ror.org/03m2x1q45" TargetMode="External"/><Relationship Id="rId18" Type="http://schemas.openxmlformats.org/officeDocument/2006/relationships/hyperlink" Target="https://www.wikidata.org/wiki/Property:P2643" TargetMode="External"/><Relationship Id="rId39" Type="http://schemas.openxmlformats.org/officeDocument/2006/relationships/hyperlink" Target="https://www.wikidata.org/wiki/Property:P6589" TargetMode="External"/><Relationship Id="rId265" Type="http://schemas.openxmlformats.org/officeDocument/2006/relationships/hyperlink" Target="https://ror.org/036rp1748" TargetMode="External"/><Relationship Id="rId286" Type="http://schemas.openxmlformats.org/officeDocument/2006/relationships/hyperlink" Target="https://ror.org/036jqmy94" TargetMode="External"/><Relationship Id="rId50" Type="http://schemas.openxmlformats.org/officeDocument/2006/relationships/hyperlink" Target="https://www.wikidata.org/wiki/Property:P122" TargetMode="External"/><Relationship Id="rId104" Type="http://schemas.openxmlformats.org/officeDocument/2006/relationships/hyperlink" Target="https://www.wikidata.org/wiki/Property:P968" TargetMode="External"/><Relationship Id="rId125" Type="http://schemas.openxmlformats.org/officeDocument/2006/relationships/hyperlink" Target="https://www.wikidata.org/wiki/Property:P1549" TargetMode="External"/><Relationship Id="rId146" Type="http://schemas.openxmlformats.org/officeDocument/2006/relationships/hyperlink" Target="https://www.wikidata.org/wiki/Property:P1538" TargetMode="External"/><Relationship Id="rId167" Type="http://schemas.openxmlformats.org/officeDocument/2006/relationships/hyperlink" Target="https://www.wikidata.org/wiki/Property:P742" TargetMode="External"/><Relationship Id="rId188" Type="http://schemas.openxmlformats.org/officeDocument/2006/relationships/hyperlink" Target="https://www.wikidata.org/wiki/Property:P7561" TargetMode="External"/><Relationship Id="rId71" Type="http://schemas.openxmlformats.org/officeDocument/2006/relationships/hyperlink" Target="https://www.wikidata.org/wiki/Property:P2179" TargetMode="External"/><Relationship Id="rId92" Type="http://schemas.openxmlformats.org/officeDocument/2006/relationships/hyperlink" Target="https://www.wikidata.org/wiki/Property:P84" TargetMode="External"/><Relationship Id="rId213" Type="http://schemas.openxmlformats.org/officeDocument/2006/relationships/hyperlink" Target="https://ror.org/00py81415" TargetMode="External"/><Relationship Id="rId234" Type="http://schemas.openxmlformats.org/officeDocument/2006/relationships/hyperlink" Target="https://ror.org/047s2c258" TargetMode="External"/><Relationship Id="rId2" Type="http://schemas.openxmlformats.org/officeDocument/2006/relationships/hyperlink" Target="https://www.wikidata.org/wiki/Property:P571" TargetMode="External"/><Relationship Id="rId29" Type="http://schemas.openxmlformats.org/officeDocument/2006/relationships/hyperlink" Target="https://www.wikidata.org/wiki/Property:P281" TargetMode="External"/><Relationship Id="rId255" Type="http://schemas.openxmlformats.org/officeDocument/2006/relationships/hyperlink" Target="https://ror.org/05dxps055" TargetMode="External"/><Relationship Id="rId276" Type="http://schemas.openxmlformats.org/officeDocument/2006/relationships/hyperlink" Target="https://ror.org/019wvm592" TargetMode="External"/><Relationship Id="rId40" Type="http://schemas.openxmlformats.org/officeDocument/2006/relationships/hyperlink" Target="https://www.wikidata.org/wiki/Property:P8687" TargetMode="External"/><Relationship Id="rId115" Type="http://schemas.openxmlformats.org/officeDocument/2006/relationships/hyperlink" Target="https://www.wikidata.org/wiki/Property:P140" TargetMode="External"/><Relationship Id="rId136" Type="http://schemas.openxmlformats.org/officeDocument/2006/relationships/hyperlink" Target="https://www.wikidata.org/wiki/Property:P121" TargetMode="External"/><Relationship Id="rId157" Type="http://schemas.openxmlformats.org/officeDocument/2006/relationships/hyperlink" Target="https://www.wikidata.org/wiki/Property:P1299" TargetMode="External"/><Relationship Id="rId178" Type="http://schemas.openxmlformats.org/officeDocument/2006/relationships/hyperlink" Target="https://www.wikidata.org/wiki/Property:P989" TargetMode="External"/><Relationship Id="rId61" Type="http://schemas.openxmlformats.org/officeDocument/2006/relationships/hyperlink" Target="https://www.wikidata.org/wiki/Property:P527" TargetMode="External"/><Relationship Id="rId82" Type="http://schemas.openxmlformats.org/officeDocument/2006/relationships/hyperlink" Target="https://www.wikidata.org/wiki/Property:P2959" TargetMode="External"/><Relationship Id="rId199" Type="http://schemas.openxmlformats.org/officeDocument/2006/relationships/hyperlink" Target="https://ror.org/05bnh6r87" TargetMode="External"/><Relationship Id="rId203" Type="http://schemas.openxmlformats.org/officeDocument/2006/relationships/hyperlink" Target="https://ror.org/00za53h95" TargetMode="External"/><Relationship Id="rId19" Type="http://schemas.openxmlformats.org/officeDocument/2006/relationships/hyperlink" Target="https://www.wikidata.org/wiki/Property:P2196" TargetMode="External"/><Relationship Id="rId224" Type="http://schemas.openxmlformats.org/officeDocument/2006/relationships/hyperlink" Target="https://ror.org/02y3ad647" TargetMode="External"/><Relationship Id="rId245" Type="http://schemas.openxmlformats.org/officeDocument/2006/relationships/hyperlink" Target="https://ror.org/05qwgg493" TargetMode="External"/><Relationship Id="rId266" Type="http://schemas.openxmlformats.org/officeDocument/2006/relationships/hyperlink" Target="https://ror.org/035b05819" TargetMode="External"/><Relationship Id="rId287" Type="http://schemas.openxmlformats.org/officeDocument/2006/relationships/hyperlink" Target="https://ror.org/02crff812" TargetMode="External"/><Relationship Id="rId30" Type="http://schemas.openxmlformats.org/officeDocument/2006/relationships/hyperlink" Target="https://www.wikidata.org/wiki/Property:P856" TargetMode="External"/><Relationship Id="rId105" Type="http://schemas.openxmlformats.org/officeDocument/2006/relationships/hyperlink" Target="https://www.wikidata.org/wiki/Property:P2795" TargetMode="External"/><Relationship Id="rId126" Type="http://schemas.openxmlformats.org/officeDocument/2006/relationships/hyperlink" Target="https://www.wikidata.org/wiki/Property:P11810" TargetMode="External"/><Relationship Id="rId147" Type="http://schemas.openxmlformats.org/officeDocument/2006/relationships/hyperlink" Target="https://www.wikidata.org/wiki/Property:P8887" TargetMode="External"/><Relationship Id="rId168" Type="http://schemas.openxmlformats.org/officeDocument/2006/relationships/hyperlink" Target="https://www.wikidata.org/wiki/Property:P199" TargetMode="External"/><Relationship Id="rId51" Type="http://schemas.openxmlformats.org/officeDocument/2006/relationships/hyperlink" Target="https://www.wikidata.org/wiki/Property:P159" TargetMode="External"/><Relationship Id="rId72" Type="http://schemas.openxmlformats.org/officeDocument/2006/relationships/hyperlink" Target="https://www.wikidata.org/wiki/Property:P361" TargetMode="External"/><Relationship Id="rId93" Type="http://schemas.openxmlformats.org/officeDocument/2006/relationships/hyperlink" Target="https://www.wikidata.org/wiki/Property:P9214" TargetMode="External"/><Relationship Id="rId189" Type="http://schemas.openxmlformats.org/officeDocument/2006/relationships/hyperlink" Target="https://www.wikidata.org/wiki/Property:P2561" TargetMode="External"/><Relationship Id="rId3" Type="http://schemas.openxmlformats.org/officeDocument/2006/relationships/hyperlink" Target="https://www.wikidata.org/wiki/Property:P154" TargetMode="External"/><Relationship Id="rId214" Type="http://schemas.openxmlformats.org/officeDocument/2006/relationships/hyperlink" Target="https://ror.org/000e0be47" TargetMode="External"/><Relationship Id="rId235" Type="http://schemas.openxmlformats.org/officeDocument/2006/relationships/hyperlink" Target="https://ror.org/01nrxwf90" TargetMode="External"/><Relationship Id="rId256" Type="http://schemas.openxmlformats.org/officeDocument/2006/relationships/hyperlink" Target="https://ror.org/027m9bs27" TargetMode="External"/><Relationship Id="rId277" Type="http://schemas.openxmlformats.org/officeDocument/2006/relationships/hyperlink" Target="https://ror.org/02t274463" TargetMode="External"/><Relationship Id="rId116" Type="http://schemas.openxmlformats.org/officeDocument/2006/relationships/hyperlink" Target="https://www.wikidata.org/wiki/Property:P8592" TargetMode="External"/><Relationship Id="rId137" Type="http://schemas.openxmlformats.org/officeDocument/2006/relationships/hyperlink" Target="https://www.wikidata.org/wiki/Property:P942" TargetMode="External"/><Relationship Id="rId158" Type="http://schemas.openxmlformats.org/officeDocument/2006/relationships/hyperlink" Target="https://www.wikidata.org/wiki/Property:P1037" TargetMode="External"/><Relationship Id="rId20" Type="http://schemas.openxmlformats.org/officeDocument/2006/relationships/hyperlink" Target="https://www.wikidata.org/wiki/Property:P2403" TargetMode="External"/><Relationship Id="rId41" Type="http://schemas.openxmlformats.org/officeDocument/2006/relationships/hyperlink" Target="https://www.wikidata.org/wiki/Property:P10263" TargetMode="External"/><Relationship Id="rId62" Type="http://schemas.openxmlformats.org/officeDocument/2006/relationships/hyperlink" Target="https://www.wikidata.org/wiki/Property:P6363" TargetMode="External"/><Relationship Id="rId83" Type="http://schemas.openxmlformats.org/officeDocument/2006/relationships/hyperlink" Target="https://www.wikidata.org/wiki/Property:P2354" TargetMode="External"/><Relationship Id="rId179" Type="http://schemas.openxmlformats.org/officeDocument/2006/relationships/hyperlink" Target="https://www.wikidata.org/wiki/Property:P706" TargetMode="External"/><Relationship Id="rId190" Type="http://schemas.openxmlformats.org/officeDocument/2006/relationships/hyperlink" Target="https://www.wikidata.org/wiki/Property:P149" TargetMode="External"/><Relationship Id="rId204" Type="http://schemas.openxmlformats.org/officeDocument/2006/relationships/hyperlink" Target="https://ror.org/013meh722" TargetMode="External"/><Relationship Id="rId225" Type="http://schemas.openxmlformats.org/officeDocument/2006/relationships/hyperlink" Target="https://ror.org/041kmwe10" TargetMode="External"/><Relationship Id="rId246" Type="http://schemas.openxmlformats.org/officeDocument/2006/relationships/hyperlink" Target="https://ror.org/01f5ytq51" TargetMode="External"/><Relationship Id="rId267" Type="http://schemas.openxmlformats.org/officeDocument/2006/relationships/hyperlink" Target="https://ror.org/05f950310" TargetMode="External"/><Relationship Id="rId288" Type="http://schemas.openxmlformats.org/officeDocument/2006/relationships/hyperlink" Target="https://ror.org/013q1eq08" TargetMode="External"/><Relationship Id="rId106" Type="http://schemas.openxmlformats.org/officeDocument/2006/relationships/hyperlink" Target="https://www.wikidata.org/wiki/Property:P2888" TargetMode="External"/><Relationship Id="rId127" Type="http://schemas.openxmlformats.org/officeDocument/2006/relationships/hyperlink" Target="https://www.wikidata.org/wiki/Property:P1619" TargetMode="External"/><Relationship Id="rId10" Type="http://schemas.openxmlformats.org/officeDocument/2006/relationships/hyperlink" Target="https://www.wikidata.org/wiki/Property:P112" TargetMode="External"/><Relationship Id="rId31" Type="http://schemas.openxmlformats.org/officeDocument/2006/relationships/hyperlink" Target="https://www.wikidata.org/wiki/Property:P94" TargetMode="External"/><Relationship Id="rId52" Type="http://schemas.openxmlformats.org/officeDocument/2006/relationships/hyperlink" Target="https://www.wikidata.org/wiki/Property:P101" TargetMode="External"/><Relationship Id="rId73" Type="http://schemas.openxmlformats.org/officeDocument/2006/relationships/hyperlink" Target="https://www.wikidata.org/wiki/Property:P421" TargetMode="External"/><Relationship Id="rId94" Type="http://schemas.openxmlformats.org/officeDocument/2006/relationships/hyperlink" Target="https://www.wikidata.org/wiki/Property:P1151" TargetMode="External"/><Relationship Id="rId148" Type="http://schemas.openxmlformats.org/officeDocument/2006/relationships/hyperlink" Target="https://www.wikidata.org/wiki/Property:P10622" TargetMode="External"/><Relationship Id="rId169" Type="http://schemas.openxmlformats.org/officeDocument/2006/relationships/hyperlink" Target="https://www.wikidata.org/wiki/Property:P418" TargetMode="External"/><Relationship Id="rId4" Type="http://schemas.openxmlformats.org/officeDocument/2006/relationships/hyperlink" Target="https://www.wikidata.org/wiki/Property:P18" TargetMode="External"/><Relationship Id="rId180" Type="http://schemas.openxmlformats.org/officeDocument/2006/relationships/hyperlink" Target="https://www.wikidata.org/wiki/Property:P859" TargetMode="External"/><Relationship Id="rId215" Type="http://schemas.openxmlformats.org/officeDocument/2006/relationships/hyperlink" Target="https://ror.org/02v51f717" TargetMode="External"/><Relationship Id="rId236" Type="http://schemas.openxmlformats.org/officeDocument/2006/relationships/hyperlink" Target="https://ror.org/01tgyzw49" TargetMode="External"/><Relationship Id="rId257" Type="http://schemas.openxmlformats.org/officeDocument/2006/relationships/hyperlink" Target="https://ror.org/01zkghx44" TargetMode="External"/><Relationship Id="rId278" Type="http://schemas.openxmlformats.org/officeDocument/2006/relationships/hyperlink" Target="https://ror.org/01aff2v68" TargetMode="External"/><Relationship Id="rId42" Type="http://schemas.openxmlformats.org/officeDocument/2006/relationships/hyperlink" Target="https://www.wikidata.org/wiki/Property:P6269" TargetMode="External"/><Relationship Id="rId84" Type="http://schemas.openxmlformats.org/officeDocument/2006/relationships/hyperlink" Target="https://www.wikidata.org/wiki/Property:P1344" TargetMode="External"/><Relationship Id="rId138" Type="http://schemas.openxmlformats.org/officeDocument/2006/relationships/hyperlink" Target="https://www.wikidata.org/wiki/Property:P1334" TargetMode="External"/><Relationship Id="rId191" Type="http://schemas.openxmlformats.org/officeDocument/2006/relationships/hyperlink" Target="https://www.wikidata.org/wiki/Property:P10" TargetMode="External"/><Relationship Id="rId205" Type="http://schemas.openxmlformats.org/officeDocument/2006/relationships/hyperlink" Target="https://ror.org/03v76x132" TargetMode="External"/><Relationship Id="rId247" Type="http://schemas.openxmlformats.org/officeDocument/2006/relationships/hyperlink" Target="https://ror.org/02bfwt286" TargetMode="External"/><Relationship Id="rId107" Type="http://schemas.openxmlformats.org/officeDocument/2006/relationships/hyperlink" Target="https://www.wikidata.org/wiki/Property:P580" TargetMode="External"/><Relationship Id="rId289" Type="http://schemas.openxmlformats.org/officeDocument/2006/relationships/hyperlink" Target="https://ror.org/01111rn36" TargetMode="External"/><Relationship Id="rId11" Type="http://schemas.openxmlformats.org/officeDocument/2006/relationships/hyperlink" Target="https://www.wikidata.org/wiki/Property:P2388" TargetMode="External"/><Relationship Id="rId53" Type="http://schemas.openxmlformats.org/officeDocument/2006/relationships/hyperlink" Target="https://www.wikidata.org/wiki/Property:P6427" TargetMode="External"/><Relationship Id="rId149" Type="http://schemas.openxmlformats.org/officeDocument/2006/relationships/hyperlink" Target="https://www.wikidata.org/wiki/Property:P460" TargetMode="External"/><Relationship Id="rId95" Type="http://schemas.openxmlformats.org/officeDocument/2006/relationships/hyperlink" Target="https://www.wikidata.org/wiki/Property:P1792" TargetMode="External"/><Relationship Id="rId160" Type="http://schemas.openxmlformats.org/officeDocument/2006/relationships/hyperlink" Target="https://www.wikidata.org/wiki/Property:P2650" TargetMode="External"/><Relationship Id="rId216" Type="http://schemas.openxmlformats.org/officeDocument/2006/relationships/hyperlink" Target="https://ror.org/0190ak572" TargetMode="External"/><Relationship Id="rId258" Type="http://schemas.openxmlformats.org/officeDocument/2006/relationships/hyperlink" Target="https://ror.org/04pp8hn57" TargetMode="External"/><Relationship Id="rId22" Type="http://schemas.openxmlformats.org/officeDocument/2006/relationships/hyperlink" Target="https://www.wikidata.org/wiki/Property:P355" TargetMode="External"/><Relationship Id="rId64" Type="http://schemas.openxmlformats.org/officeDocument/2006/relationships/hyperlink" Target="https://www.wikidata.org/wiki/Property:P1813" TargetMode="External"/><Relationship Id="rId118" Type="http://schemas.openxmlformats.org/officeDocument/2006/relationships/hyperlink" Target="https://www.wikidata.org/wiki/Property:P1365" TargetMode="External"/><Relationship Id="rId171" Type="http://schemas.openxmlformats.org/officeDocument/2006/relationships/hyperlink" Target="https://www.wikidata.org/wiki/Property:P973" TargetMode="External"/><Relationship Id="rId227" Type="http://schemas.openxmlformats.org/officeDocument/2006/relationships/hyperlink" Target="https://ror.org/047426m28" TargetMode="External"/><Relationship Id="rId269" Type="http://schemas.openxmlformats.org/officeDocument/2006/relationships/hyperlink" Target="https://ror.org/021018s5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or.org/035b05819" TargetMode="External"/><Relationship Id="rId21" Type="http://schemas.openxmlformats.org/officeDocument/2006/relationships/hyperlink" Target="https://www.wikidata.org/wiki/Property:P11961" TargetMode="External"/><Relationship Id="rId42" Type="http://schemas.openxmlformats.org/officeDocument/2006/relationships/hyperlink" Target="https://www.wikidata.org/wiki/Property:P691" TargetMode="External"/><Relationship Id="rId63" Type="http://schemas.openxmlformats.org/officeDocument/2006/relationships/hyperlink" Target="https://ror.org/03cve4549" TargetMode="External"/><Relationship Id="rId84" Type="http://schemas.openxmlformats.org/officeDocument/2006/relationships/hyperlink" Target="https://ror.org/01yc7t268" TargetMode="External"/><Relationship Id="rId138" Type="http://schemas.openxmlformats.org/officeDocument/2006/relationships/hyperlink" Target="https://ror.org/02crff812" TargetMode="External"/><Relationship Id="rId107" Type="http://schemas.openxmlformats.org/officeDocument/2006/relationships/hyperlink" Target="https://ror.org/027m9bs27" TargetMode="External"/><Relationship Id="rId11" Type="http://schemas.openxmlformats.org/officeDocument/2006/relationships/hyperlink" Target="https://www.wikidata.org/wiki/Property:P3153" TargetMode="External"/><Relationship Id="rId32" Type="http://schemas.openxmlformats.org/officeDocument/2006/relationships/hyperlink" Target="https://www.wikidata.org/wiki/Property:P373" TargetMode="External"/><Relationship Id="rId37" Type="http://schemas.openxmlformats.org/officeDocument/2006/relationships/hyperlink" Target="https://www.wikidata.org/wiki/Property:P355" TargetMode="External"/><Relationship Id="rId53" Type="http://schemas.openxmlformats.org/officeDocument/2006/relationships/hyperlink" Target="https://ror.org/00b30xv10" TargetMode="External"/><Relationship Id="rId58" Type="http://schemas.openxmlformats.org/officeDocument/2006/relationships/hyperlink" Target="https://ror.org/02jx3x895" TargetMode="External"/><Relationship Id="rId74" Type="http://schemas.openxmlformats.org/officeDocument/2006/relationships/hyperlink" Target="https://ror.org/05a28rw58" TargetMode="External"/><Relationship Id="rId79" Type="http://schemas.openxmlformats.org/officeDocument/2006/relationships/hyperlink" Target="https://ror.org/05rrcem69" TargetMode="External"/><Relationship Id="rId102" Type="http://schemas.openxmlformats.org/officeDocument/2006/relationships/hyperlink" Target="https://ror.org/02ttsq026" TargetMode="External"/><Relationship Id="rId123" Type="http://schemas.openxmlformats.org/officeDocument/2006/relationships/hyperlink" Target="https://ror.org/02zhqgq86" TargetMode="External"/><Relationship Id="rId128" Type="http://schemas.openxmlformats.org/officeDocument/2006/relationships/hyperlink" Target="https://ror.org/02t274463" TargetMode="External"/><Relationship Id="rId144" Type="http://schemas.openxmlformats.org/officeDocument/2006/relationships/printerSettings" Target="../printerSettings/printerSettings3.bin"/><Relationship Id="rId5" Type="http://schemas.openxmlformats.org/officeDocument/2006/relationships/hyperlink" Target="https://www.wikidata.org/wiki/Property:P244" TargetMode="External"/><Relationship Id="rId90" Type="http://schemas.openxmlformats.org/officeDocument/2006/relationships/hyperlink" Target="https://ror.org/05x2bcf33" TargetMode="External"/><Relationship Id="rId95" Type="http://schemas.openxmlformats.org/officeDocument/2006/relationships/hyperlink" Target="https://ror.org/03m2x1q45" TargetMode="External"/><Relationship Id="rId22" Type="http://schemas.openxmlformats.org/officeDocument/2006/relationships/hyperlink" Target="https://www.wikidata.org/wiki/Property:P3417" TargetMode="External"/><Relationship Id="rId27" Type="http://schemas.openxmlformats.org/officeDocument/2006/relationships/hyperlink" Target="https://www.wikidata.org/wiki/Property:P571" TargetMode="External"/><Relationship Id="rId43" Type="http://schemas.openxmlformats.org/officeDocument/2006/relationships/hyperlink" Target="https://www.wikidata.org/wiki/Property:P227" TargetMode="External"/><Relationship Id="rId48" Type="http://schemas.openxmlformats.org/officeDocument/2006/relationships/hyperlink" Target="https://ror.org/00jmfr291" TargetMode="External"/><Relationship Id="rId64" Type="http://schemas.openxmlformats.org/officeDocument/2006/relationships/hyperlink" Target="https://ror.org/00py81415" TargetMode="External"/><Relationship Id="rId69" Type="http://schemas.openxmlformats.org/officeDocument/2006/relationships/hyperlink" Target="https://ror.org/00hx57361" TargetMode="External"/><Relationship Id="rId113" Type="http://schemas.openxmlformats.org/officeDocument/2006/relationships/hyperlink" Target="https://ror.org/0160cpw27" TargetMode="External"/><Relationship Id="rId118" Type="http://schemas.openxmlformats.org/officeDocument/2006/relationships/hyperlink" Target="https://ror.org/05f950310" TargetMode="External"/><Relationship Id="rId134" Type="http://schemas.openxmlformats.org/officeDocument/2006/relationships/hyperlink" Target="https://ror.org/024mrxd33" TargetMode="External"/><Relationship Id="rId139" Type="http://schemas.openxmlformats.org/officeDocument/2006/relationships/hyperlink" Target="https://ror.org/013q1eq08" TargetMode="External"/><Relationship Id="rId80" Type="http://schemas.openxmlformats.org/officeDocument/2006/relationships/hyperlink" Target="https://ror.org/04gyf1771" TargetMode="External"/><Relationship Id="rId85" Type="http://schemas.openxmlformats.org/officeDocument/2006/relationships/hyperlink" Target="https://ror.org/047s2c258" TargetMode="External"/><Relationship Id="rId12" Type="http://schemas.openxmlformats.org/officeDocument/2006/relationships/hyperlink" Target="https://www.wikidata.org/wiki/Property:P5584" TargetMode="External"/><Relationship Id="rId17" Type="http://schemas.openxmlformats.org/officeDocument/2006/relationships/hyperlink" Target="https://www.wikidata.org/wiki/Property:P409" TargetMode="External"/><Relationship Id="rId33" Type="http://schemas.openxmlformats.org/officeDocument/2006/relationships/hyperlink" Target="https://www.wikidata.org/wiki/Property:P3876" TargetMode="External"/><Relationship Id="rId38" Type="http://schemas.openxmlformats.org/officeDocument/2006/relationships/hyperlink" Target="https://www.wikidata.org/wiki/Property:P2936" TargetMode="External"/><Relationship Id="rId59" Type="http://schemas.openxmlformats.org/officeDocument/2006/relationships/hyperlink" Target="https://ror.org/03dbr7087" TargetMode="External"/><Relationship Id="rId103" Type="http://schemas.openxmlformats.org/officeDocument/2006/relationships/hyperlink" Target="https://ror.org/0220qvk04" TargetMode="External"/><Relationship Id="rId108" Type="http://schemas.openxmlformats.org/officeDocument/2006/relationships/hyperlink" Target="https://ror.org/01zkghx44" TargetMode="External"/><Relationship Id="rId124" Type="http://schemas.openxmlformats.org/officeDocument/2006/relationships/hyperlink" Target="https://ror.org/008xxew50" TargetMode="External"/><Relationship Id="rId129" Type="http://schemas.openxmlformats.org/officeDocument/2006/relationships/hyperlink" Target="https://ror.org/01aff2v68" TargetMode="External"/><Relationship Id="rId54" Type="http://schemas.openxmlformats.org/officeDocument/2006/relationships/hyperlink" Target="https://ror.org/00za53h95" TargetMode="External"/><Relationship Id="rId70" Type="http://schemas.openxmlformats.org/officeDocument/2006/relationships/hyperlink" Target="https://ror.org/0130frc33" TargetMode="External"/><Relationship Id="rId75" Type="http://schemas.openxmlformats.org/officeDocument/2006/relationships/hyperlink" Target="https://ror.org/02y3ad647" TargetMode="External"/><Relationship Id="rId91" Type="http://schemas.openxmlformats.org/officeDocument/2006/relationships/hyperlink" Target="https://ror.org/05hs6h993" TargetMode="External"/><Relationship Id="rId96" Type="http://schemas.openxmlformats.org/officeDocument/2006/relationships/hyperlink" Target="https://ror.org/05qwgg493" TargetMode="External"/><Relationship Id="rId140" Type="http://schemas.openxmlformats.org/officeDocument/2006/relationships/hyperlink" Target="https://ror.org/01111rn36" TargetMode="External"/><Relationship Id="rId1" Type="http://schemas.openxmlformats.org/officeDocument/2006/relationships/hyperlink" Target="https://www.wikidata.org/wiki/Property:P214" TargetMode="External"/><Relationship Id="rId6" Type="http://schemas.openxmlformats.org/officeDocument/2006/relationships/hyperlink" Target="https://www.wikidata.org/wiki/Property:P269" TargetMode="External"/><Relationship Id="rId23" Type="http://schemas.openxmlformats.org/officeDocument/2006/relationships/hyperlink" Target="https://www.wikidata.org/wiki/Property:P12749" TargetMode="External"/><Relationship Id="rId28" Type="http://schemas.openxmlformats.org/officeDocument/2006/relationships/hyperlink" Target="https://www.wikidata.org/wiki/Property:P17" TargetMode="External"/><Relationship Id="rId49" Type="http://schemas.openxmlformats.org/officeDocument/2006/relationships/hyperlink" Target="https://ror.org/01an7q238" TargetMode="External"/><Relationship Id="rId114" Type="http://schemas.openxmlformats.org/officeDocument/2006/relationships/hyperlink" Target="https://ror.org/03czfpz43" TargetMode="External"/><Relationship Id="rId119" Type="http://schemas.openxmlformats.org/officeDocument/2006/relationships/hyperlink" Target="https://ror.org/00t33hh48" TargetMode="External"/><Relationship Id="rId44" Type="http://schemas.openxmlformats.org/officeDocument/2006/relationships/hyperlink" Target="https://ror.org/03vek6s52" TargetMode="External"/><Relationship Id="rId60" Type="http://schemas.openxmlformats.org/officeDocument/2006/relationships/hyperlink" Target="https://ror.org/0168r3w48" TargetMode="External"/><Relationship Id="rId65" Type="http://schemas.openxmlformats.org/officeDocument/2006/relationships/hyperlink" Target="https://ror.org/000e0be47" TargetMode="External"/><Relationship Id="rId81" Type="http://schemas.openxmlformats.org/officeDocument/2006/relationships/hyperlink" Target="https://ror.org/01ej9dk98" TargetMode="External"/><Relationship Id="rId86" Type="http://schemas.openxmlformats.org/officeDocument/2006/relationships/hyperlink" Target="https://ror.org/01nrxwf90" TargetMode="External"/><Relationship Id="rId130" Type="http://schemas.openxmlformats.org/officeDocument/2006/relationships/hyperlink" Target="https://ror.org/040af2s02" TargetMode="External"/><Relationship Id="rId135" Type="http://schemas.openxmlformats.org/officeDocument/2006/relationships/hyperlink" Target="https://ror.org/02e7b5302" TargetMode="External"/><Relationship Id="rId13" Type="http://schemas.openxmlformats.org/officeDocument/2006/relationships/hyperlink" Target="https://www.wikidata.org/wiki/Property:P3500" TargetMode="External"/><Relationship Id="rId18" Type="http://schemas.openxmlformats.org/officeDocument/2006/relationships/hyperlink" Target="https://www.wikidata.org/wiki/Property:P7859" TargetMode="External"/><Relationship Id="rId39" Type="http://schemas.openxmlformats.org/officeDocument/2006/relationships/hyperlink" Target="https://www.wikidata.org/wiki/Property:P8687" TargetMode="External"/><Relationship Id="rId109" Type="http://schemas.openxmlformats.org/officeDocument/2006/relationships/hyperlink" Target="https://ror.org/04pp8hn57" TargetMode="External"/><Relationship Id="rId34" Type="http://schemas.openxmlformats.org/officeDocument/2006/relationships/hyperlink" Target="https://www.wikidata.org/wiki/Property:P18" TargetMode="External"/><Relationship Id="rId50" Type="http://schemas.openxmlformats.org/officeDocument/2006/relationships/hyperlink" Target="https://ror.org/05bnh6r87" TargetMode="External"/><Relationship Id="rId55" Type="http://schemas.openxmlformats.org/officeDocument/2006/relationships/hyperlink" Target="https://ror.org/013meh722" TargetMode="External"/><Relationship Id="rId76" Type="http://schemas.openxmlformats.org/officeDocument/2006/relationships/hyperlink" Target="https://ror.org/041kmwe10" TargetMode="External"/><Relationship Id="rId97" Type="http://schemas.openxmlformats.org/officeDocument/2006/relationships/hyperlink" Target="https://ror.org/01f5ytq51" TargetMode="External"/><Relationship Id="rId104" Type="http://schemas.openxmlformats.org/officeDocument/2006/relationships/hyperlink" Target="https://ror.org/01pxwe438" TargetMode="External"/><Relationship Id="rId120" Type="http://schemas.openxmlformats.org/officeDocument/2006/relationships/hyperlink" Target="https://ror.org/021018s57" TargetMode="External"/><Relationship Id="rId125" Type="http://schemas.openxmlformats.org/officeDocument/2006/relationships/hyperlink" Target="https://ror.org/04tj63d06" TargetMode="External"/><Relationship Id="rId141" Type="http://schemas.openxmlformats.org/officeDocument/2006/relationships/hyperlink" Target="https://ror.org/01aj84f44" TargetMode="External"/><Relationship Id="rId7" Type="http://schemas.openxmlformats.org/officeDocument/2006/relationships/hyperlink" Target="https://www.wikidata.org/wiki/Property:P5242" TargetMode="External"/><Relationship Id="rId71" Type="http://schemas.openxmlformats.org/officeDocument/2006/relationships/hyperlink" Target="https://ror.org/024mw5h28" TargetMode="External"/><Relationship Id="rId92" Type="http://schemas.openxmlformats.org/officeDocument/2006/relationships/hyperlink" Target="https://ror.org/00rqy9422" TargetMode="External"/><Relationship Id="rId2" Type="http://schemas.openxmlformats.org/officeDocument/2006/relationships/hyperlink" Target="https://www.wikidata.org/wiki/Property:P213" TargetMode="External"/><Relationship Id="rId29" Type="http://schemas.openxmlformats.org/officeDocument/2006/relationships/hyperlink" Target="https://www.wikidata.org/wiki/Property:P625" TargetMode="External"/><Relationship Id="rId24" Type="http://schemas.openxmlformats.org/officeDocument/2006/relationships/hyperlink" Target="https://www.wikidata.org/wiki/Property:P3984" TargetMode="External"/><Relationship Id="rId40" Type="http://schemas.openxmlformats.org/officeDocument/2006/relationships/hyperlink" Target="https://www.wikidata.org/wiki/Property:P910" TargetMode="External"/><Relationship Id="rId45" Type="http://schemas.openxmlformats.org/officeDocument/2006/relationships/hyperlink" Target="https://ror.org/00f54p054" TargetMode="External"/><Relationship Id="rId66" Type="http://schemas.openxmlformats.org/officeDocument/2006/relationships/hyperlink" Target="https://ror.org/02v51f717" TargetMode="External"/><Relationship Id="rId87" Type="http://schemas.openxmlformats.org/officeDocument/2006/relationships/hyperlink" Target="https://ror.org/01tgyzw49" TargetMode="External"/><Relationship Id="rId110" Type="http://schemas.openxmlformats.org/officeDocument/2006/relationships/hyperlink" Target="https://ror.org/0220mzb33" TargetMode="External"/><Relationship Id="rId115" Type="http://schemas.openxmlformats.org/officeDocument/2006/relationships/hyperlink" Target="https://ror.org/057zh3y96" TargetMode="External"/><Relationship Id="rId131" Type="http://schemas.openxmlformats.org/officeDocument/2006/relationships/hyperlink" Target="https://ror.org/02smfhw86" TargetMode="External"/><Relationship Id="rId136" Type="http://schemas.openxmlformats.org/officeDocument/2006/relationships/hyperlink" Target="https://ror.org/01xtthb56" TargetMode="External"/><Relationship Id="rId61" Type="http://schemas.openxmlformats.org/officeDocument/2006/relationships/hyperlink" Target="https://ror.org/04p491231" TargetMode="External"/><Relationship Id="rId82" Type="http://schemas.openxmlformats.org/officeDocument/2006/relationships/hyperlink" Target="https://ror.org/043mz5j54" TargetMode="External"/><Relationship Id="rId19" Type="http://schemas.openxmlformats.org/officeDocument/2006/relationships/hyperlink" Target="https://www.wikidata.org/wiki/Property:P2013" TargetMode="External"/><Relationship Id="rId14" Type="http://schemas.openxmlformats.org/officeDocument/2006/relationships/hyperlink" Target="https://www.wikidata.org/wiki/Property:P5586" TargetMode="External"/><Relationship Id="rId30" Type="http://schemas.openxmlformats.org/officeDocument/2006/relationships/hyperlink" Target="https://www.wikidata.org/wiki/Property:P463" TargetMode="External"/><Relationship Id="rId35" Type="http://schemas.openxmlformats.org/officeDocument/2006/relationships/hyperlink" Target="https://www.wikidata.org/wiki/Property:P131" TargetMode="External"/><Relationship Id="rId56" Type="http://schemas.openxmlformats.org/officeDocument/2006/relationships/hyperlink" Target="https://ror.org/03v76x132" TargetMode="External"/><Relationship Id="rId77" Type="http://schemas.openxmlformats.org/officeDocument/2006/relationships/hyperlink" Target="https://ror.org/00rs6vg23" TargetMode="External"/><Relationship Id="rId100" Type="http://schemas.openxmlformats.org/officeDocument/2006/relationships/hyperlink" Target="https://ror.org/00a2xv884" TargetMode="External"/><Relationship Id="rId105" Type="http://schemas.openxmlformats.org/officeDocument/2006/relationships/hyperlink" Target="https://ror.org/02vm5rt34" TargetMode="External"/><Relationship Id="rId126" Type="http://schemas.openxmlformats.org/officeDocument/2006/relationships/hyperlink" Target="https://ror.org/02kkvpp62" TargetMode="External"/><Relationship Id="rId8" Type="http://schemas.openxmlformats.org/officeDocument/2006/relationships/hyperlink" Target="https://www.wikidata.org/wiki/Property:P646" TargetMode="External"/><Relationship Id="rId51" Type="http://schemas.openxmlformats.org/officeDocument/2006/relationships/hyperlink" Target="https://ror.org/00cvxb145" TargetMode="External"/><Relationship Id="rId72" Type="http://schemas.openxmlformats.org/officeDocument/2006/relationships/hyperlink" Target="https://ror.org/00hj54h04" TargetMode="External"/><Relationship Id="rId93" Type="http://schemas.openxmlformats.org/officeDocument/2006/relationships/hyperlink" Target="https://ror.org/05vt9qd57" TargetMode="External"/><Relationship Id="rId98" Type="http://schemas.openxmlformats.org/officeDocument/2006/relationships/hyperlink" Target="https://ror.org/02bfwt286" TargetMode="External"/><Relationship Id="rId121" Type="http://schemas.openxmlformats.org/officeDocument/2006/relationships/hyperlink" Target="https://ror.org/05gq02987" TargetMode="External"/><Relationship Id="rId142" Type="http://schemas.openxmlformats.org/officeDocument/2006/relationships/hyperlink" Target="https://ror.org/02s376052" TargetMode="External"/><Relationship Id="rId3" Type="http://schemas.openxmlformats.org/officeDocument/2006/relationships/hyperlink" Target="https://www.wikidata.org/wiki/Property:P6782" TargetMode="External"/><Relationship Id="rId25" Type="http://schemas.openxmlformats.org/officeDocument/2006/relationships/hyperlink" Target="https://www.wikidata.org/wiki/Property:P2002" TargetMode="External"/><Relationship Id="rId46" Type="http://schemas.openxmlformats.org/officeDocument/2006/relationships/hyperlink" Target="https://ror.org/042nb2s44" TargetMode="External"/><Relationship Id="rId67" Type="http://schemas.openxmlformats.org/officeDocument/2006/relationships/hyperlink" Target="https://ror.org/0190ak572" TargetMode="External"/><Relationship Id="rId116" Type="http://schemas.openxmlformats.org/officeDocument/2006/relationships/hyperlink" Target="https://ror.org/036rp1748" TargetMode="External"/><Relationship Id="rId137" Type="http://schemas.openxmlformats.org/officeDocument/2006/relationships/hyperlink" Target="https://ror.org/036jqmy94" TargetMode="External"/><Relationship Id="rId20" Type="http://schemas.openxmlformats.org/officeDocument/2006/relationships/hyperlink" Target="https://www.wikidata.org/wiki/Property:P3749" TargetMode="External"/><Relationship Id="rId41" Type="http://schemas.openxmlformats.org/officeDocument/2006/relationships/hyperlink" Target="https://www.wikidata.org/wiki/Property:P4195" TargetMode="External"/><Relationship Id="rId62" Type="http://schemas.openxmlformats.org/officeDocument/2006/relationships/hyperlink" Target="https://ror.org/01y2jtd41" TargetMode="External"/><Relationship Id="rId83" Type="http://schemas.openxmlformats.org/officeDocument/2006/relationships/hyperlink" Target="https://ror.org/03r8z3t63" TargetMode="External"/><Relationship Id="rId88" Type="http://schemas.openxmlformats.org/officeDocument/2006/relationships/hyperlink" Target="https://ror.org/02dqehb95" TargetMode="External"/><Relationship Id="rId111" Type="http://schemas.openxmlformats.org/officeDocument/2006/relationships/hyperlink" Target="https://ror.org/03r0ha626" TargetMode="External"/><Relationship Id="rId132" Type="http://schemas.openxmlformats.org/officeDocument/2006/relationships/hyperlink" Target="https://ror.org/03yjb2x39" TargetMode="External"/><Relationship Id="rId15" Type="http://schemas.openxmlformats.org/officeDocument/2006/relationships/hyperlink" Target="https://www.wikidata.org/wiki/Property:P5600" TargetMode="External"/><Relationship Id="rId36" Type="http://schemas.openxmlformats.org/officeDocument/2006/relationships/hyperlink" Target="https://www.wikidata.org/wiki/Property:P2196" TargetMode="External"/><Relationship Id="rId57" Type="http://schemas.openxmlformats.org/officeDocument/2006/relationships/hyperlink" Target="https://ror.org/046rm7j60" TargetMode="External"/><Relationship Id="rId106" Type="http://schemas.openxmlformats.org/officeDocument/2006/relationships/hyperlink" Target="https://ror.org/05dxps055" TargetMode="External"/><Relationship Id="rId127" Type="http://schemas.openxmlformats.org/officeDocument/2006/relationships/hyperlink" Target="https://ror.org/019wvm592" TargetMode="External"/><Relationship Id="rId10" Type="http://schemas.openxmlformats.org/officeDocument/2006/relationships/hyperlink" Target="https://www.wikidata.org/wiki/Property:P6366" TargetMode="External"/><Relationship Id="rId31" Type="http://schemas.openxmlformats.org/officeDocument/2006/relationships/hyperlink" Target="https://www.wikidata.org/wiki/Property:P856" TargetMode="External"/><Relationship Id="rId52" Type="http://schemas.openxmlformats.org/officeDocument/2006/relationships/hyperlink" Target="https://ror.org/00hj8s172" TargetMode="External"/><Relationship Id="rId73" Type="http://schemas.openxmlformats.org/officeDocument/2006/relationships/hyperlink" Target="https://ror.org/03taz7m60" TargetMode="External"/><Relationship Id="rId78" Type="http://schemas.openxmlformats.org/officeDocument/2006/relationships/hyperlink" Target="https://ror.org/047426m28" TargetMode="External"/><Relationship Id="rId94" Type="http://schemas.openxmlformats.org/officeDocument/2006/relationships/hyperlink" Target="https://ror.org/03efmqc40" TargetMode="External"/><Relationship Id="rId99" Type="http://schemas.openxmlformats.org/officeDocument/2006/relationships/hyperlink" Target="https://ror.org/0384j8v12" TargetMode="External"/><Relationship Id="rId101" Type="http://schemas.openxmlformats.org/officeDocument/2006/relationships/hyperlink" Target="https://ror.org/04dkp9463" TargetMode="External"/><Relationship Id="rId122" Type="http://schemas.openxmlformats.org/officeDocument/2006/relationships/hyperlink" Target="https://ror.org/012p63287" TargetMode="External"/><Relationship Id="rId143" Type="http://schemas.openxmlformats.org/officeDocument/2006/relationships/hyperlink" Target="https://ror.org/022kthw22" TargetMode="External"/><Relationship Id="rId4" Type="http://schemas.openxmlformats.org/officeDocument/2006/relationships/hyperlink" Target="https://www.wikidata.org/wiki/Property:P8189" TargetMode="External"/><Relationship Id="rId9" Type="http://schemas.openxmlformats.org/officeDocument/2006/relationships/hyperlink" Target="https://www.wikidata.org/wiki/Property:P2427" TargetMode="External"/><Relationship Id="rId26" Type="http://schemas.openxmlformats.org/officeDocument/2006/relationships/hyperlink" Target="https://www.wikidata.org/wiki/Property:P31" TargetMode="External"/><Relationship Id="rId47" Type="http://schemas.openxmlformats.org/officeDocument/2006/relationships/hyperlink" Target="https://ror.org/052gg0110" TargetMode="External"/><Relationship Id="rId68" Type="http://schemas.openxmlformats.org/officeDocument/2006/relationships/hyperlink" Target="https://ror.org/03rmrcq20" TargetMode="External"/><Relationship Id="rId89" Type="http://schemas.openxmlformats.org/officeDocument/2006/relationships/hyperlink" Target="https://ror.org/01an3r305" TargetMode="External"/><Relationship Id="rId112" Type="http://schemas.openxmlformats.org/officeDocument/2006/relationships/hyperlink" Target="https://ror.org/0153tk833" TargetMode="External"/><Relationship Id="rId133" Type="http://schemas.openxmlformats.org/officeDocument/2006/relationships/hyperlink" Target="https://ror.org/04c4dkn09" TargetMode="External"/><Relationship Id="rId16" Type="http://schemas.openxmlformats.org/officeDocument/2006/relationships/hyperlink" Target="https://www.wikidata.org/wiki/Property:P26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ror.org/035b05819" TargetMode="External"/><Relationship Id="rId21" Type="http://schemas.openxmlformats.org/officeDocument/2006/relationships/hyperlink" Target="https://www.wikidata.org/wiki/Property:P11961" TargetMode="External"/><Relationship Id="rId42" Type="http://schemas.openxmlformats.org/officeDocument/2006/relationships/hyperlink" Target="https://www.wikidata.org/wiki/Property:P691" TargetMode="External"/><Relationship Id="rId63" Type="http://schemas.openxmlformats.org/officeDocument/2006/relationships/hyperlink" Target="https://ror.org/03cve4549" TargetMode="External"/><Relationship Id="rId84" Type="http://schemas.openxmlformats.org/officeDocument/2006/relationships/hyperlink" Target="https://ror.org/01yc7t268" TargetMode="External"/><Relationship Id="rId138" Type="http://schemas.openxmlformats.org/officeDocument/2006/relationships/hyperlink" Target="https://ror.org/02crff812" TargetMode="External"/><Relationship Id="rId107" Type="http://schemas.openxmlformats.org/officeDocument/2006/relationships/hyperlink" Target="https://ror.org/027m9bs27" TargetMode="External"/><Relationship Id="rId11" Type="http://schemas.openxmlformats.org/officeDocument/2006/relationships/hyperlink" Target="https://www.wikidata.org/wiki/Property:P3153" TargetMode="External"/><Relationship Id="rId32" Type="http://schemas.openxmlformats.org/officeDocument/2006/relationships/hyperlink" Target="https://www.wikidata.org/wiki/Property:P373" TargetMode="External"/><Relationship Id="rId37" Type="http://schemas.openxmlformats.org/officeDocument/2006/relationships/hyperlink" Target="https://www.wikidata.org/wiki/Property:P355" TargetMode="External"/><Relationship Id="rId53" Type="http://schemas.openxmlformats.org/officeDocument/2006/relationships/hyperlink" Target="https://ror.org/00b30xv10" TargetMode="External"/><Relationship Id="rId58" Type="http://schemas.openxmlformats.org/officeDocument/2006/relationships/hyperlink" Target="https://ror.org/02jx3x895" TargetMode="External"/><Relationship Id="rId74" Type="http://schemas.openxmlformats.org/officeDocument/2006/relationships/hyperlink" Target="https://ror.org/05a28rw58" TargetMode="External"/><Relationship Id="rId79" Type="http://schemas.openxmlformats.org/officeDocument/2006/relationships/hyperlink" Target="https://ror.org/05rrcem69" TargetMode="External"/><Relationship Id="rId102" Type="http://schemas.openxmlformats.org/officeDocument/2006/relationships/hyperlink" Target="https://ror.org/02ttsq026" TargetMode="External"/><Relationship Id="rId123" Type="http://schemas.openxmlformats.org/officeDocument/2006/relationships/hyperlink" Target="https://ror.org/02zhqgq86" TargetMode="External"/><Relationship Id="rId128" Type="http://schemas.openxmlformats.org/officeDocument/2006/relationships/hyperlink" Target="https://ror.org/02t274463" TargetMode="External"/><Relationship Id="rId5" Type="http://schemas.openxmlformats.org/officeDocument/2006/relationships/hyperlink" Target="https://www.wikidata.org/wiki/Property:P244" TargetMode="External"/><Relationship Id="rId90" Type="http://schemas.openxmlformats.org/officeDocument/2006/relationships/hyperlink" Target="https://ror.org/05x2bcf33" TargetMode="External"/><Relationship Id="rId95" Type="http://schemas.openxmlformats.org/officeDocument/2006/relationships/hyperlink" Target="https://ror.org/03m2x1q45" TargetMode="External"/><Relationship Id="rId22" Type="http://schemas.openxmlformats.org/officeDocument/2006/relationships/hyperlink" Target="https://www.wikidata.org/wiki/Property:P3417" TargetMode="External"/><Relationship Id="rId27" Type="http://schemas.openxmlformats.org/officeDocument/2006/relationships/hyperlink" Target="https://www.wikidata.org/wiki/Property:P571" TargetMode="External"/><Relationship Id="rId43" Type="http://schemas.openxmlformats.org/officeDocument/2006/relationships/hyperlink" Target="https://www.wikidata.org/wiki/Property:P227" TargetMode="External"/><Relationship Id="rId48" Type="http://schemas.openxmlformats.org/officeDocument/2006/relationships/hyperlink" Target="https://ror.org/00jmfr291" TargetMode="External"/><Relationship Id="rId64" Type="http://schemas.openxmlformats.org/officeDocument/2006/relationships/hyperlink" Target="https://ror.org/00py81415" TargetMode="External"/><Relationship Id="rId69" Type="http://schemas.openxmlformats.org/officeDocument/2006/relationships/hyperlink" Target="https://ror.org/00hx57361" TargetMode="External"/><Relationship Id="rId113" Type="http://schemas.openxmlformats.org/officeDocument/2006/relationships/hyperlink" Target="https://ror.org/0160cpw27" TargetMode="External"/><Relationship Id="rId118" Type="http://schemas.openxmlformats.org/officeDocument/2006/relationships/hyperlink" Target="https://ror.org/05f950310" TargetMode="External"/><Relationship Id="rId134" Type="http://schemas.openxmlformats.org/officeDocument/2006/relationships/hyperlink" Target="https://ror.org/024mrxd33" TargetMode="External"/><Relationship Id="rId139" Type="http://schemas.openxmlformats.org/officeDocument/2006/relationships/hyperlink" Target="https://ror.org/013q1eq08" TargetMode="External"/><Relationship Id="rId80" Type="http://schemas.openxmlformats.org/officeDocument/2006/relationships/hyperlink" Target="https://ror.org/04gyf1771" TargetMode="External"/><Relationship Id="rId85" Type="http://schemas.openxmlformats.org/officeDocument/2006/relationships/hyperlink" Target="https://ror.org/047s2c258" TargetMode="External"/><Relationship Id="rId12" Type="http://schemas.openxmlformats.org/officeDocument/2006/relationships/hyperlink" Target="https://www.wikidata.org/wiki/Property:P5584" TargetMode="External"/><Relationship Id="rId17" Type="http://schemas.openxmlformats.org/officeDocument/2006/relationships/hyperlink" Target="https://www.wikidata.org/wiki/Property:P409" TargetMode="External"/><Relationship Id="rId33" Type="http://schemas.openxmlformats.org/officeDocument/2006/relationships/hyperlink" Target="https://www.wikidata.org/wiki/Property:P3876" TargetMode="External"/><Relationship Id="rId38" Type="http://schemas.openxmlformats.org/officeDocument/2006/relationships/hyperlink" Target="https://www.wikidata.org/wiki/Property:P2936" TargetMode="External"/><Relationship Id="rId59" Type="http://schemas.openxmlformats.org/officeDocument/2006/relationships/hyperlink" Target="https://ror.org/03dbr7087" TargetMode="External"/><Relationship Id="rId103" Type="http://schemas.openxmlformats.org/officeDocument/2006/relationships/hyperlink" Target="https://ror.org/0220qvk04" TargetMode="External"/><Relationship Id="rId108" Type="http://schemas.openxmlformats.org/officeDocument/2006/relationships/hyperlink" Target="https://ror.org/01zkghx44" TargetMode="External"/><Relationship Id="rId124" Type="http://schemas.openxmlformats.org/officeDocument/2006/relationships/hyperlink" Target="https://ror.org/008xxew50" TargetMode="External"/><Relationship Id="rId129" Type="http://schemas.openxmlformats.org/officeDocument/2006/relationships/hyperlink" Target="https://ror.org/01aff2v68" TargetMode="External"/><Relationship Id="rId54" Type="http://schemas.openxmlformats.org/officeDocument/2006/relationships/hyperlink" Target="https://ror.org/00za53h95" TargetMode="External"/><Relationship Id="rId70" Type="http://schemas.openxmlformats.org/officeDocument/2006/relationships/hyperlink" Target="https://ror.org/0130frc33" TargetMode="External"/><Relationship Id="rId75" Type="http://schemas.openxmlformats.org/officeDocument/2006/relationships/hyperlink" Target="https://ror.org/02y3ad647" TargetMode="External"/><Relationship Id="rId91" Type="http://schemas.openxmlformats.org/officeDocument/2006/relationships/hyperlink" Target="https://ror.org/05hs6h993" TargetMode="External"/><Relationship Id="rId96" Type="http://schemas.openxmlformats.org/officeDocument/2006/relationships/hyperlink" Target="https://ror.org/05qwgg493" TargetMode="External"/><Relationship Id="rId140" Type="http://schemas.openxmlformats.org/officeDocument/2006/relationships/hyperlink" Target="https://ror.org/01111rn36" TargetMode="External"/><Relationship Id="rId1" Type="http://schemas.openxmlformats.org/officeDocument/2006/relationships/hyperlink" Target="https://www.wikidata.org/wiki/Property:P214" TargetMode="External"/><Relationship Id="rId6" Type="http://schemas.openxmlformats.org/officeDocument/2006/relationships/hyperlink" Target="https://www.wikidata.org/wiki/Property:P269" TargetMode="External"/><Relationship Id="rId23" Type="http://schemas.openxmlformats.org/officeDocument/2006/relationships/hyperlink" Target="https://www.wikidata.org/wiki/Property:P12749" TargetMode="External"/><Relationship Id="rId28" Type="http://schemas.openxmlformats.org/officeDocument/2006/relationships/hyperlink" Target="https://www.wikidata.org/wiki/Property:P17" TargetMode="External"/><Relationship Id="rId49" Type="http://schemas.openxmlformats.org/officeDocument/2006/relationships/hyperlink" Target="https://ror.org/01an7q238" TargetMode="External"/><Relationship Id="rId114" Type="http://schemas.openxmlformats.org/officeDocument/2006/relationships/hyperlink" Target="https://ror.org/03czfpz43" TargetMode="External"/><Relationship Id="rId119" Type="http://schemas.openxmlformats.org/officeDocument/2006/relationships/hyperlink" Target="https://ror.org/00t33hh48" TargetMode="External"/><Relationship Id="rId44" Type="http://schemas.openxmlformats.org/officeDocument/2006/relationships/hyperlink" Target="https://ror.org/03vek6s52" TargetMode="External"/><Relationship Id="rId60" Type="http://schemas.openxmlformats.org/officeDocument/2006/relationships/hyperlink" Target="https://ror.org/0168r3w48" TargetMode="External"/><Relationship Id="rId65" Type="http://schemas.openxmlformats.org/officeDocument/2006/relationships/hyperlink" Target="https://ror.org/000e0be47" TargetMode="External"/><Relationship Id="rId81" Type="http://schemas.openxmlformats.org/officeDocument/2006/relationships/hyperlink" Target="https://ror.org/01ej9dk98" TargetMode="External"/><Relationship Id="rId86" Type="http://schemas.openxmlformats.org/officeDocument/2006/relationships/hyperlink" Target="https://ror.org/01nrxwf90" TargetMode="External"/><Relationship Id="rId130" Type="http://schemas.openxmlformats.org/officeDocument/2006/relationships/hyperlink" Target="https://ror.org/040af2s02" TargetMode="External"/><Relationship Id="rId135" Type="http://schemas.openxmlformats.org/officeDocument/2006/relationships/hyperlink" Target="https://ror.org/02e7b5302" TargetMode="External"/><Relationship Id="rId13" Type="http://schemas.openxmlformats.org/officeDocument/2006/relationships/hyperlink" Target="https://www.wikidata.org/wiki/Property:P3500" TargetMode="External"/><Relationship Id="rId18" Type="http://schemas.openxmlformats.org/officeDocument/2006/relationships/hyperlink" Target="https://www.wikidata.org/wiki/Property:P7859" TargetMode="External"/><Relationship Id="rId39" Type="http://schemas.openxmlformats.org/officeDocument/2006/relationships/hyperlink" Target="https://www.wikidata.org/wiki/Property:P8687" TargetMode="External"/><Relationship Id="rId109" Type="http://schemas.openxmlformats.org/officeDocument/2006/relationships/hyperlink" Target="https://ror.org/04pp8hn57" TargetMode="External"/><Relationship Id="rId34" Type="http://schemas.openxmlformats.org/officeDocument/2006/relationships/hyperlink" Target="https://www.wikidata.org/wiki/Property:P18" TargetMode="External"/><Relationship Id="rId50" Type="http://schemas.openxmlformats.org/officeDocument/2006/relationships/hyperlink" Target="https://ror.org/05bnh6r87" TargetMode="External"/><Relationship Id="rId55" Type="http://schemas.openxmlformats.org/officeDocument/2006/relationships/hyperlink" Target="https://ror.org/013meh722" TargetMode="External"/><Relationship Id="rId76" Type="http://schemas.openxmlformats.org/officeDocument/2006/relationships/hyperlink" Target="https://ror.org/041kmwe10" TargetMode="External"/><Relationship Id="rId97" Type="http://schemas.openxmlformats.org/officeDocument/2006/relationships/hyperlink" Target="https://ror.org/01f5ytq51" TargetMode="External"/><Relationship Id="rId104" Type="http://schemas.openxmlformats.org/officeDocument/2006/relationships/hyperlink" Target="https://ror.org/01pxwe438" TargetMode="External"/><Relationship Id="rId120" Type="http://schemas.openxmlformats.org/officeDocument/2006/relationships/hyperlink" Target="https://ror.org/021018s57" TargetMode="External"/><Relationship Id="rId125" Type="http://schemas.openxmlformats.org/officeDocument/2006/relationships/hyperlink" Target="https://ror.org/04tj63d06" TargetMode="External"/><Relationship Id="rId141" Type="http://schemas.openxmlformats.org/officeDocument/2006/relationships/hyperlink" Target="https://ror.org/01aj84f44" TargetMode="External"/><Relationship Id="rId7" Type="http://schemas.openxmlformats.org/officeDocument/2006/relationships/hyperlink" Target="https://www.wikidata.org/wiki/Property:P5242" TargetMode="External"/><Relationship Id="rId71" Type="http://schemas.openxmlformats.org/officeDocument/2006/relationships/hyperlink" Target="https://ror.org/024mw5h28" TargetMode="External"/><Relationship Id="rId92" Type="http://schemas.openxmlformats.org/officeDocument/2006/relationships/hyperlink" Target="https://ror.org/00rqy9422" TargetMode="External"/><Relationship Id="rId2" Type="http://schemas.openxmlformats.org/officeDocument/2006/relationships/hyperlink" Target="https://www.wikidata.org/wiki/Property:P213" TargetMode="External"/><Relationship Id="rId29" Type="http://schemas.openxmlformats.org/officeDocument/2006/relationships/hyperlink" Target="https://www.wikidata.org/wiki/Property:P625" TargetMode="External"/><Relationship Id="rId24" Type="http://schemas.openxmlformats.org/officeDocument/2006/relationships/hyperlink" Target="https://www.wikidata.org/wiki/Property:P3984" TargetMode="External"/><Relationship Id="rId40" Type="http://schemas.openxmlformats.org/officeDocument/2006/relationships/hyperlink" Target="https://www.wikidata.org/wiki/Property:P910" TargetMode="External"/><Relationship Id="rId45" Type="http://schemas.openxmlformats.org/officeDocument/2006/relationships/hyperlink" Target="https://ror.org/00f54p054" TargetMode="External"/><Relationship Id="rId66" Type="http://schemas.openxmlformats.org/officeDocument/2006/relationships/hyperlink" Target="https://ror.org/02v51f717" TargetMode="External"/><Relationship Id="rId87" Type="http://schemas.openxmlformats.org/officeDocument/2006/relationships/hyperlink" Target="https://ror.org/01tgyzw49" TargetMode="External"/><Relationship Id="rId110" Type="http://schemas.openxmlformats.org/officeDocument/2006/relationships/hyperlink" Target="https://ror.org/0220mzb33" TargetMode="External"/><Relationship Id="rId115" Type="http://schemas.openxmlformats.org/officeDocument/2006/relationships/hyperlink" Target="https://ror.org/057zh3y96" TargetMode="External"/><Relationship Id="rId131" Type="http://schemas.openxmlformats.org/officeDocument/2006/relationships/hyperlink" Target="https://ror.org/02smfhw86" TargetMode="External"/><Relationship Id="rId136" Type="http://schemas.openxmlformats.org/officeDocument/2006/relationships/hyperlink" Target="https://ror.org/01xtthb56" TargetMode="External"/><Relationship Id="rId61" Type="http://schemas.openxmlformats.org/officeDocument/2006/relationships/hyperlink" Target="https://ror.org/04p491231" TargetMode="External"/><Relationship Id="rId82" Type="http://schemas.openxmlformats.org/officeDocument/2006/relationships/hyperlink" Target="https://ror.org/043mz5j54" TargetMode="External"/><Relationship Id="rId19" Type="http://schemas.openxmlformats.org/officeDocument/2006/relationships/hyperlink" Target="https://www.wikidata.org/wiki/Property:P2013" TargetMode="External"/><Relationship Id="rId14" Type="http://schemas.openxmlformats.org/officeDocument/2006/relationships/hyperlink" Target="https://www.wikidata.org/wiki/Property:P5586" TargetMode="External"/><Relationship Id="rId30" Type="http://schemas.openxmlformats.org/officeDocument/2006/relationships/hyperlink" Target="https://www.wikidata.org/wiki/Property:P463" TargetMode="External"/><Relationship Id="rId35" Type="http://schemas.openxmlformats.org/officeDocument/2006/relationships/hyperlink" Target="https://www.wikidata.org/wiki/Property:P131" TargetMode="External"/><Relationship Id="rId56" Type="http://schemas.openxmlformats.org/officeDocument/2006/relationships/hyperlink" Target="https://ror.org/03v76x132" TargetMode="External"/><Relationship Id="rId77" Type="http://schemas.openxmlformats.org/officeDocument/2006/relationships/hyperlink" Target="https://ror.org/00rs6vg23" TargetMode="External"/><Relationship Id="rId100" Type="http://schemas.openxmlformats.org/officeDocument/2006/relationships/hyperlink" Target="https://ror.org/00a2xv884" TargetMode="External"/><Relationship Id="rId105" Type="http://schemas.openxmlformats.org/officeDocument/2006/relationships/hyperlink" Target="https://ror.org/02vm5rt34" TargetMode="External"/><Relationship Id="rId126" Type="http://schemas.openxmlformats.org/officeDocument/2006/relationships/hyperlink" Target="https://ror.org/02kkvpp62" TargetMode="External"/><Relationship Id="rId8" Type="http://schemas.openxmlformats.org/officeDocument/2006/relationships/hyperlink" Target="https://www.wikidata.org/wiki/Property:P646" TargetMode="External"/><Relationship Id="rId51" Type="http://schemas.openxmlformats.org/officeDocument/2006/relationships/hyperlink" Target="https://ror.org/00cvxb145" TargetMode="External"/><Relationship Id="rId72" Type="http://schemas.openxmlformats.org/officeDocument/2006/relationships/hyperlink" Target="https://ror.org/00hj54h04" TargetMode="External"/><Relationship Id="rId93" Type="http://schemas.openxmlformats.org/officeDocument/2006/relationships/hyperlink" Target="https://ror.org/05vt9qd57" TargetMode="External"/><Relationship Id="rId98" Type="http://schemas.openxmlformats.org/officeDocument/2006/relationships/hyperlink" Target="https://ror.org/02bfwt286" TargetMode="External"/><Relationship Id="rId121" Type="http://schemas.openxmlformats.org/officeDocument/2006/relationships/hyperlink" Target="https://ror.org/05gq02987" TargetMode="External"/><Relationship Id="rId142" Type="http://schemas.openxmlformats.org/officeDocument/2006/relationships/hyperlink" Target="https://ror.org/02s376052" TargetMode="External"/><Relationship Id="rId3" Type="http://schemas.openxmlformats.org/officeDocument/2006/relationships/hyperlink" Target="https://www.wikidata.org/wiki/Property:P6782" TargetMode="External"/><Relationship Id="rId25" Type="http://schemas.openxmlformats.org/officeDocument/2006/relationships/hyperlink" Target="https://www.wikidata.org/wiki/Property:P2002" TargetMode="External"/><Relationship Id="rId46" Type="http://schemas.openxmlformats.org/officeDocument/2006/relationships/hyperlink" Target="https://ror.org/042nb2s44" TargetMode="External"/><Relationship Id="rId67" Type="http://schemas.openxmlformats.org/officeDocument/2006/relationships/hyperlink" Target="https://ror.org/0190ak572" TargetMode="External"/><Relationship Id="rId116" Type="http://schemas.openxmlformats.org/officeDocument/2006/relationships/hyperlink" Target="https://ror.org/036rp1748" TargetMode="External"/><Relationship Id="rId137" Type="http://schemas.openxmlformats.org/officeDocument/2006/relationships/hyperlink" Target="https://ror.org/036jqmy94" TargetMode="External"/><Relationship Id="rId20" Type="http://schemas.openxmlformats.org/officeDocument/2006/relationships/hyperlink" Target="https://www.wikidata.org/wiki/Property:P3749" TargetMode="External"/><Relationship Id="rId41" Type="http://schemas.openxmlformats.org/officeDocument/2006/relationships/hyperlink" Target="https://www.wikidata.org/wiki/Property:P4195" TargetMode="External"/><Relationship Id="rId62" Type="http://schemas.openxmlformats.org/officeDocument/2006/relationships/hyperlink" Target="https://ror.org/01y2jtd41" TargetMode="External"/><Relationship Id="rId83" Type="http://schemas.openxmlformats.org/officeDocument/2006/relationships/hyperlink" Target="https://ror.org/03r8z3t63" TargetMode="External"/><Relationship Id="rId88" Type="http://schemas.openxmlformats.org/officeDocument/2006/relationships/hyperlink" Target="https://ror.org/02dqehb95" TargetMode="External"/><Relationship Id="rId111" Type="http://schemas.openxmlformats.org/officeDocument/2006/relationships/hyperlink" Target="https://ror.org/03r0ha626" TargetMode="External"/><Relationship Id="rId132" Type="http://schemas.openxmlformats.org/officeDocument/2006/relationships/hyperlink" Target="https://ror.org/03yjb2x39" TargetMode="External"/><Relationship Id="rId15" Type="http://schemas.openxmlformats.org/officeDocument/2006/relationships/hyperlink" Target="https://www.wikidata.org/wiki/Property:P5600" TargetMode="External"/><Relationship Id="rId36" Type="http://schemas.openxmlformats.org/officeDocument/2006/relationships/hyperlink" Target="https://www.wikidata.org/wiki/Property:P2196" TargetMode="External"/><Relationship Id="rId57" Type="http://schemas.openxmlformats.org/officeDocument/2006/relationships/hyperlink" Target="https://ror.org/046rm7j60" TargetMode="External"/><Relationship Id="rId106" Type="http://schemas.openxmlformats.org/officeDocument/2006/relationships/hyperlink" Target="https://ror.org/05dxps055" TargetMode="External"/><Relationship Id="rId127" Type="http://schemas.openxmlformats.org/officeDocument/2006/relationships/hyperlink" Target="https://ror.org/019wvm592" TargetMode="External"/><Relationship Id="rId10" Type="http://schemas.openxmlformats.org/officeDocument/2006/relationships/hyperlink" Target="https://www.wikidata.org/wiki/Property:P6366" TargetMode="External"/><Relationship Id="rId31" Type="http://schemas.openxmlformats.org/officeDocument/2006/relationships/hyperlink" Target="https://www.wikidata.org/wiki/Property:P856" TargetMode="External"/><Relationship Id="rId52" Type="http://schemas.openxmlformats.org/officeDocument/2006/relationships/hyperlink" Target="https://ror.org/00hj8s172" TargetMode="External"/><Relationship Id="rId73" Type="http://schemas.openxmlformats.org/officeDocument/2006/relationships/hyperlink" Target="https://ror.org/03taz7m60" TargetMode="External"/><Relationship Id="rId78" Type="http://schemas.openxmlformats.org/officeDocument/2006/relationships/hyperlink" Target="https://ror.org/047426m28" TargetMode="External"/><Relationship Id="rId94" Type="http://schemas.openxmlformats.org/officeDocument/2006/relationships/hyperlink" Target="https://ror.org/03efmqc40" TargetMode="External"/><Relationship Id="rId99" Type="http://schemas.openxmlformats.org/officeDocument/2006/relationships/hyperlink" Target="https://ror.org/0384j8v12" TargetMode="External"/><Relationship Id="rId101" Type="http://schemas.openxmlformats.org/officeDocument/2006/relationships/hyperlink" Target="https://ror.org/04dkp9463" TargetMode="External"/><Relationship Id="rId122" Type="http://schemas.openxmlformats.org/officeDocument/2006/relationships/hyperlink" Target="https://ror.org/012p63287" TargetMode="External"/><Relationship Id="rId143" Type="http://schemas.openxmlformats.org/officeDocument/2006/relationships/hyperlink" Target="https://ror.org/022kthw22" TargetMode="External"/><Relationship Id="rId4" Type="http://schemas.openxmlformats.org/officeDocument/2006/relationships/hyperlink" Target="https://www.wikidata.org/wiki/Property:P8189" TargetMode="External"/><Relationship Id="rId9" Type="http://schemas.openxmlformats.org/officeDocument/2006/relationships/hyperlink" Target="https://www.wikidata.org/wiki/Property:P2427" TargetMode="External"/><Relationship Id="rId26" Type="http://schemas.openxmlformats.org/officeDocument/2006/relationships/hyperlink" Target="https://www.wikidata.org/wiki/Property:P31" TargetMode="External"/><Relationship Id="rId47" Type="http://schemas.openxmlformats.org/officeDocument/2006/relationships/hyperlink" Target="https://ror.org/052gg0110" TargetMode="External"/><Relationship Id="rId68" Type="http://schemas.openxmlformats.org/officeDocument/2006/relationships/hyperlink" Target="https://ror.org/03rmrcq20" TargetMode="External"/><Relationship Id="rId89" Type="http://schemas.openxmlformats.org/officeDocument/2006/relationships/hyperlink" Target="https://ror.org/01an3r305" TargetMode="External"/><Relationship Id="rId112" Type="http://schemas.openxmlformats.org/officeDocument/2006/relationships/hyperlink" Target="https://ror.org/0153tk833" TargetMode="External"/><Relationship Id="rId133" Type="http://schemas.openxmlformats.org/officeDocument/2006/relationships/hyperlink" Target="https://ror.org/04c4dkn09" TargetMode="External"/><Relationship Id="rId16" Type="http://schemas.openxmlformats.org/officeDocument/2006/relationships/hyperlink" Target="https://www.wikidata.org/wiki/Property:P268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ror.org/00hx57361" TargetMode="External"/><Relationship Id="rId21" Type="http://schemas.openxmlformats.org/officeDocument/2006/relationships/hyperlink" Target="https://ror.org/00py81415" TargetMode="External"/><Relationship Id="rId42" Type="http://schemas.openxmlformats.org/officeDocument/2006/relationships/hyperlink" Target="https://ror.org/047s2c258" TargetMode="External"/><Relationship Id="rId47" Type="http://schemas.openxmlformats.org/officeDocument/2006/relationships/hyperlink" Target="https://ror.org/05x2bcf33" TargetMode="External"/><Relationship Id="rId63" Type="http://schemas.openxmlformats.org/officeDocument/2006/relationships/hyperlink" Target="https://ror.org/05dxps055" TargetMode="External"/><Relationship Id="rId68" Type="http://schemas.openxmlformats.org/officeDocument/2006/relationships/hyperlink" Target="https://ror.org/03r0ha626" TargetMode="External"/><Relationship Id="rId84" Type="http://schemas.openxmlformats.org/officeDocument/2006/relationships/hyperlink" Target="https://ror.org/019wvm592" TargetMode="External"/><Relationship Id="rId89" Type="http://schemas.openxmlformats.org/officeDocument/2006/relationships/hyperlink" Target="https://ror.org/03yjb2x39" TargetMode="External"/><Relationship Id="rId16" Type="http://schemas.openxmlformats.org/officeDocument/2006/relationships/hyperlink" Target="https://ror.org/03dbr7087" TargetMode="External"/><Relationship Id="rId11" Type="http://schemas.openxmlformats.org/officeDocument/2006/relationships/hyperlink" Target="https://ror.org/00za53h95" TargetMode="External"/><Relationship Id="rId32" Type="http://schemas.openxmlformats.org/officeDocument/2006/relationships/hyperlink" Target="https://ror.org/02y3ad647" TargetMode="External"/><Relationship Id="rId37" Type="http://schemas.openxmlformats.org/officeDocument/2006/relationships/hyperlink" Target="https://ror.org/04gyf1771" TargetMode="External"/><Relationship Id="rId53" Type="http://schemas.openxmlformats.org/officeDocument/2006/relationships/hyperlink" Target="https://ror.org/05qwgg493" TargetMode="External"/><Relationship Id="rId58" Type="http://schemas.openxmlformats.org/officeDocument/2006/relationships/hyperlink" Target="https://ror.org/04dkp9463" TargetMode="External"/><Relationship Id="rId74" Type="http://schemas.openxmlformats.org/officeDocument/2006/relationships/hyperlink" Target="https://ror.org/035b05819" TargetMode="External"/><Relationship Id="rId79" Type="http://schemas.openxmlformats.org/officeDocument/2006/relationships/hyperlink" Target="https://ror.org/012p63287" TargetMode="External"/><Relationship Id="rId5" Type="http://schemas.openxmlformats.org/officeDocument/2006/relationships/hyperlink" Target="https://ror.org/00jmfr291" TargetMode="External"/><Relationship Id="rId90" Type="http://schemas.openxmlformats.org/officeDocument/2006/relationships/hyperlink" Target="https://ror.org/04c4dkn09" TargetMode="External"/><Relationship Id="rId95" Type="http://schemas.openxmlformats.org/officeDocument/2006/relationships/hyperlink" Target="https://ror.org/02crff812" TargetMode="External"/><Relationship Id="rId22" Type="http://schemas.openxmlformats.org/officeDocument/2006/relationships/hyperlink" Target="https://ror.org/000e0be47" TargetMode="External"/><Relationship Id="rId27" Type="http://schemas.openxmlformats.org/officeDocument/2006/relationships/hyperlink" Target="https://ror.org/0130frc33" TargetMode="External"/><Relationship Id="rId43" Type="http://schemas.openxmlformats.org/officeDocument/2006/relationships/hyperlink" Target="https://ror.org/01nrxwf90" TargetMode="External"/><Relationship Id="rId48" Type="http://schemas.openxmlformats.org/officeDocument/2006/relationships/hyperlink" Target="https://ror.org/05hs6h993" TargetMode="External"/><Relationship Id="rId64" Type="http://schemas.openxmlformats.org/officeDocument/2006/relationships/hyperlink" Target="https://ror.org/027m9bs27" TargetMode="External"/><Relationship Id="rId69" Type="http://schemas.openxmlformats.org/officeDocument/2006/relationships/hyperlink" Target="https://ror.org/0153tk833" TargetMode="External"/><Relationship Id="rId80" Type="http://schemas.openxmlformats.org/officeDocument/2006/relationships/hyperlink" Target="https://ror.org/02zhqgq86" TargetMode="External"/><Relationship Id="rId85" Type="http://schemas.openxmlformats.org/officeDocument/2006/relationships/hyperlink" Target="https://ror.org/02t274463" TargetMode="External"/><Relationship Id="rId3" Type="http://schemas.openxmlformats.org/officeDocument/2006/relationships/hyperlink" Target="https://ror.org/042nb2s44" TargetMode="External"/><Relationship Id="rId12" Type="http://schemas.openxmlformats.org/officeDocument/2006/relationships/hyperlink" Target="https://ror.org/013meh722" TargetMode="External"/><Relationship Id="rId17" Type="http://schemas.openxmlformats.org/officeDocument/2006/relationships/hyperlink" Target="https://ror.org/0168r3w48" TargetMode="External"/><Relationship Id="rId25" Type="http://schemas.openxmlformats.org/officeDocument/2006/relationships/hyperlink" Target="https://ror.org/03rmrcq20" TargetMode="External"/><Relationship Id="rId33" Type="http://schemas.openxmlformats.org/officeDocument/2006/relationships/hyperlink" Target="https://ror.org/041kmwe10" TargetMode="External"/><Relationship Id="rId38" Type="http://schemas.openxmlformats.org/officeDocument/2006/relationships/hyperlink" Target="https://ror.org/01ej9dk98" TargetMode="External"/><Relationship Id="rId46" Type="http://schemas.openxmlformats.org/officeDocument/2006/relationships/hyperlink" Target="https://ror.org/01an3r305" TargetMode="External"/><Relationship Id="rId59" Type="http://schemas.openxmlformats.org/officeDocument/2006/relationships/hyperlink" Target="https://ror.org/02ttsq026" TargetMode="External"/><Relationship Id="rId67" Type="http://schemas.openxmlformats.org/officeDocument/2006/relationships/hyperlink" Target="https://ror.org/0220mzb33" TargetMode="External"/><Relationship Id="rId20" Type="http://schemas.openxmlformats.org/officeDocument/2006/relationships/hyperlink" Target="https://ror.org/03cve4549" TargetMode="External"/><Relationship Id="rId41" Type="http://schemas.openxmlformats.org/officeDocument/2006/relationships/hyperlink" Target="https://ror.org/01yc7t268" TargetMode="External"/><Relationship Id="rId54" Type="http://schemas.openxmlformats.org/officeDocument/2006/relationships/hyperlink" Target="https://ror.org/01f5ytq51" TargetMode="External"/><Relationship Id="rId62" Type="http://schemas.openxmlformats.org/officeDocument/2006/relationships/hyperlink" Target="https://ror.org/02vm5rt34" TargetMode="External"/><Relationship Id="rId70" Type="http://schemas.openxmlformats.org/officeDocument/2006/relationships/hyperlink" Target="https://ror.org/0160cpw27" TargetMode="External"/><Relationship Id="rId75" Type="http://schemas.openxmlformats.org/officeDocument/2006/relationships/hyperlink" Target="https://ror.org/05f950310" TargetMode="External"/><Relationship Id="rId83" Type="http://schemas.openxmlformats.org/officeDocument/2006/relationships/hyperlink" Target="https://ror.org/02kkvpp62" TargetMode="External"/><Relationship Id="rId88" Type="http://schemas.openxmlformats.org/officeDocument/2006/relationships/hyperlink" Target="https://ror.org/02smfhw86" TargetMode="External"/><Relationship Id="rId91" Type="http://schemas.openxmlformats.org/officeDocument/2006/relationships/hyperlink" Target="https://ror.org/024mrxd33" TargetMode="External"/><Relationship Id="rId96" Type="http://schemas.openxmlformats.org/officeDocument/2006/relationships/hyperlink" Target="https://ror.org/013q1eq08" TargetMode="External"/><Relationship Id="rId1" Type="http://schemas.openxmlformats.org/officeDocument/2006/relationships/hyperlink" Target="https://ror.org/03vek6s52" TargetMode="External"/><Relationship Id="rId6" Type="http://schemas.openxmlformats.org/officeDocument/2006/relationships/hyperlink" Target="https://ror.org/01an7q238" TargetMode="External"/><Relationship Id="rId15" Type="http://schemas.openxmlformats.org/officeDocument/2006/relationships/hyperlink" Target="https://ror.org/02jx3x895" TargetMode="External"/><Relationship Id="rId23" Type="http://schemas.openxmlformats.org/officeDocument/2006/relationships/hyperlink" Target="https://ror.org/02v51f717" TargetMode="External"/><Relationship Id="rId28" Type="http://schemas.openxmlformats.org/officeDocument/2006/relationships/hyperlink" Target="https://ror.org/024mw5h28" TargetMode="External"/><Relationship Id="rId36" Type="http://schemas.openxmlformats.org/officeDocument/2006/relationships/hyperlink" Target="https://ror.org/05rrcem69" TargetMode="External"/><Relationship Id="rId49" Type="http://schemas.openxmlformats.org/officeDocument/2006/relationships/hyperlink" Target="https://ror.org/00rqy9422" TargetMode="External"/><Relationship Id="rId57" Type="http://schemas.openxmlformats.org/officeDocument/2006/relationships/hyperlink" Target="https://ror.org/00a2xv884" TargetMode="External"/><Relationship Id="rId10" Type="http://schemas.openxmlformats.org/officeDocument/2006/relationships/hyperlink" Target="https://ror.org/00b30xv10" TargetMode="External"/><Relationship Id="rId31" Type="http://schemas.openxmlformats.org/officeDocument/2006/relationships/hyperlink" Target="https://ror.org/05a28rw58" TargetMode="External"/><Relationship Id="rId44" Type="http://schemas.openxmlformats.org/officeDocument/2006/relationships/hyperlink" Target="https://ror.org/01tgyzw49" TargetMode="External"/><Relationship Id="rId52" Type="http://schemas.openxmlformats.org/officeDocument/2006/relationships/hyperlink" Target="https://ror.org/03m2x1q45" TargetMode="External"/><Relationship Id="rId60" Type="http://schemas.openxmlformats.org/officeDocument/2006/relationships/hyperlink" Target="https://ror.org/0220qvk04" TargetMode="External"/><Relationship Id="rId65" Type="http://schemas.openxmlformats.org/officeDocument/2006/relationships/hyperlink" Target="https://ror.org/01zkghx44" TargetMode="External"/><Relationship Id="rId73" Type="http://schemas.openxmlformats.org/officeDocument/2006/relationships/hyperlink" Target="https://ror.org/036rp1748" TargetMode="External"/><Relationship Id="rId78" Type="http://schemas.openxmlformats.org/officeDocument/2006/relationships/hyperlink" Target="https://ror.org/05gq02987" TargetMode="External"/><Relationship Id="rId81" Type="http://schemas.openxmlformats.org/officeDocument/2006/relationships/hyperlink" Target="https://ror.org/008xxew50" TargetMode="External"/><Relationship Id="rId86" Type="http://schemas.openxmlformats.org/officeDocument/2006/relationships/hyperlink" Target="https://ror.org/01aff2v68" TargetMode="External"/><Relationship Id="rId94" Type="http://schemas.openxmlformats.org/officeDocument/2006/relationships/hyperlink" Target="https://ror.org/036jqmy94" TargetMode="External"/><Relationship Id="rId99" Type="http://schemas.openxmlformats.org/officeDocument/2006/relationships/hyperlink" Target="https://ror.org/02s376052" TargetMode="External"/><Relationship Id="rId4" Type="http://schemas.openxmlformats.org/officeDocument/2006/relationships/hyperlink" Target="https://ror.org/052gg0110" TargetMode="External"/><Relationship Id="rId9" Type="http://schemas.openxmlformats.org/officeDocument/2006/relationships/hyperlink" Target="https://ror.org/00hj8s172" TargetMode="External"/><Relationship Id="rId13" Type="http://schemas.openxmlformats.org/officeDocument/2006/relationships/hyperlink" Target="https://ror.org/03v76x132" TargetMode="External"/><Relationship Id="rId18" Type="http://schemas.openxmlformats.org/officeDocument/2006/relationships/hyperlink" Target="https://ror.org/04p491231" TargetMode="External"/><Relationship Id="rId39" Type="http://schemas.openxmlformats.org/officeDocument/2006/relationships/hyperlink" Target="https://ror.org/043mz5j54" TargetMode="External"/><Relationship Id="rId34" Type="http://schemas.openxmlformats.org/officeDocument/2006/relationships/hyperlink" Target="https://ror.org/00rs6vg23" TargetMode="External"/><Relationship Id="rId50" Type="http://schemas.openxmlformats.org/officeDocument/2006/relationships/hyperlink" Target="https://ror.org/05vt9qd57" TargetMode="External"/><Relationship Id="rId55" Type="http://schemas.openxmlformats.org/officeDocument/2006/relationships/hyperlink" Target="https://ror.org/02bfwt286" TargetMode="External"/><Relationship Id="rId76" Type="http://schemas.openxmlformats.org/officeDocument/2006/relationships/hyperlink" Target="https://ror.org/00t33hh48" TargetMode="External"/><Relationship Id="rId97" Type="http://schemas.openxmlformats.org/officeDocument/2006/relationships/hyperlink" Target="https://ror.org/01111rn36" TargetMode="External"/><Relationship Id="rId7" Type="http://schemas.openxmlformats.org/officeDocument/2006/relationships/hyperlink" Target="https://ror.org/05bnh6r87" TargetMode="External"/><Relationship Id="rId71" Type="http://schemas.openxmlformats.org/officeDocument/2006/relationships/hyperlink" Target="https://ror.org/03czfpz43" TargetMode="External"/><Relationship Id="rId92" Type="http://schemas.openxmlformats.org/officeDocument/2006/relationships/hyperlink" Target="https://ror.org/02e7b5302" TargetMode="External"/><Relationship Id="rId2" Type="http://schemas.openxmlformats.org/officeDocument/2006/relationships/hyperlink" Target="https://ror.org/00f54p054" TargetMode="External"/><Relationship Id="rId29" Type="http://schemas.openxmlformats.org/officeDocument/2006/relationships/hyperlink" Target="https://ror.org/00hj54h04" TargetMode="External"/><Relationship Id="rId24" Type="http://schemas.openxmlformats.org/officeDocument/2006/relationships/hyperlink" Target="https://ror.org/0190ak572" TargetMode="External"/><Relationship Id="rId40" Type="http://schemas.openxmlformats.org/officeDocument/2006/relationships/hyperlink" Target="https://ror.org/03r8z3t63" TargetMode="External"/><Relationship Id="rId45" Type="http://schemas.openxmlformats.org/officeDocument/2006/relationships/hyperlink" Target="https://ror.org/02dqehb95" TargetMode="External"/><Relationship Id="rId66" Type="http://schemas.openxmlformats.org/officeDocument/2006/relationships/hyperlink" Target="https://ror.org/04pp8hn57" TargetMode="External"/><Relationship Id="rId87" Type="http://schemas.openxmlformats.org/officeDocument/2006/relationships/hyperlink" Target="https://ror.org/040af2s02" TargetMode="External"/><Relationship Id="rId61" Type="http://schemas.openxmlformats.org/officeDocument/2006/relationships/hyperlink" Target="https://ror.org/01pxwe438" TargetMode="External"/><Relationship Id="rId82" Type="http://schemas.openxmlformats.org/officeDocument/2006/relationships/hyperlink" Target="https://ror.org/04tj63d06" TargetMode="External"/><Relationship Id="rId19" Type="http://schemas.openxmlformats.org/officeDocument/2006/relationships/hyperlink" Target="https://ror.org/01y2jtd41" TargetMode="External"/><Relationship Id="rId14" Type="http://schemas.openxmlformats.org/officeDocument/2006/relationships/hyperlink" Target="https://ror.org/046rm7j60" TargetMode="External"/><Relationship Id="rId30" Type="http://schemas.openxmlformats.org/officeDocument/2006/relationships/hyperlink" Target="https://ror.org/03taz7m60" TargetMode="External"/><Relationship Id="rId35" Type="http://schemas.openxmlformats.org/officeDocument/2006/relationships/hyperlink" Target="https://ror.org/047426m28" TargetMode="External"/><Relationship Id="rId56" Type="http://schemas.openxmlformats.org/officeDocument/2006/relationships/hyperlink" Target="https://ror.org/0384j8v12" TargetMode="External"/><Relationship Id="rId77" Type="http://schemas.openxmlformats.org/officeDocument/2006/relationships/hyperlink" Target="https://ror.org/021018s57" TargetMode="External"/><Relationship Id="rId100" Type="http://schemas.openxmlformats.org/officeDocument/2006/relationships/hyperlink" Target="https://ror.org/022kthw22" TargetMode="External"/><Relationship Id="rId8" Type="http://schemas.openxmlformats.org/officeDocument/2006/relationships/hyperlink" Target="https://ror.org/00cvxb145" TargetMode="External"/><Relationship Id="rId51" Type="http://schemas.openxmlformats.org/officeDocument/2006/relationships/hyperlink" Target="https://ror.org/03efmqc40" TargetMode="External"/><Relationship Id="rId72" Type="http://schemas.openxmlformats.org/officeDocument/2006/relationships/hyperlink" Target="https://ror.org/057zh3y96" TargetMode="External"/><Relationship Id="rId93" Type="http://schemas.openxmlformats.org/officeDocument/2006/relationships/hyperlink" Target="https://ror.org/01xtthb56" TargetMode="External"/><Relationship Id="rId98" Type="http://schemas.openxmlformats.org/officeDocument/2006/relationships/hyperlink" Target="https://ror.org/01aj84f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36FF-1762-4948-82E4-2D89062FBD16}">
  <dimension ref="A1:PK137"/>
  <sheetViews>
    <sheetView zoomScale="80" zoomScaleNormal="80" workbookViewId="0">
      <pane xSplit="1" ySplit="1" topLeftCell="OO67" activePane="bottomRight" state="frozen"/>
      <selection pane="topRight" activeCell="B1" sqref="B1"/>
      <selection pane="bottomLeft" activeCell="A2" sqref="A2"/>
      <selection pane="bottomRight" activeCell="OS1" sqref="OS1:OS101"/>
    </sheetView>
  </sheetViews>
  <sheetFormatPr defaultRowHeight="14.4" x14ac:dyDescent="0.3"/>
  <cols>
    <col min="1" max="1" width="93.88671875" style="9" bestFit="1" customWidth="1"/>
    <col min="2" max="2" width="19.6640625" bestFit="1" customWidth="1"/>
    <col min="3" max="3" width="19.44140625" bestFit="1" customWidth="1"/>
    <col min="4" max="4" width="22.109375" bestFit="1" customWidth="1"/>
    <col min="6" max="7" width="8.88671875" style="1"/>
    <col min="8" max="8" width="20.21875" bestFit="1" customWidth="1"/>
    <col min="9" max="9" width="15.77734375" bestFit="1" customWidth="1"/>
    <col min="10" max="11" width="15.77734375" customWidth="1"/>
    <col min="13" max="13" width="23.6640625" bestFit="1" customWidth="1"/>
    <col min="14" max="15" width="23.6640625" customWidth="1"/>
    <col min="16" max="16" width="23.5546875" bestFit="1" customWidth="1"/>
    <col min="17" max="17" width="32.44140625" style="1" bestFit="1" customWidth="1"/>
    <col min="18" max="18" width="25.5546875" bestFit="1" customWidth="1"/>
    <col min="19" max="19" width="35.6640625" bestFit="1" customWidth="1"/>
    <col min="20" max="20" width="7.44140625" bestFit="1" customWidth="1"/>
    <col min="21" max="21" width="29.33203125" bestFit="1" customWidth="1"/>
    <col min="22" max="23" width="8.88671875" style="1"/>
    <col min="24" max="24" width="7.109375" bestFit="1" customWidth="1"/>
    <col min="25" max="25" width="12.44140625" bestFit="1" customWidth="1"/>
    <col min="26" max="26" width="25" bestFit="1" customWidth="1"/>
    <col min="27" max="27" width="27.21875" style="1" bestFit="1" customWidth="1"/>
    <col min="28" max="28" width="24.77734375" style="1" bestFit="1" customWidth="1"/>
    <col min="29" max="29" width="24" bestFit="1" customWidth="1"/>
    <col min="30" max="30" width="27.109375" style="1" bestFit="1" customWidth="1"/>
    <col min="31" max="31" width="26.77734375" bestFit="1" customWidth="1"/>
    <col min="32" max="32" width="24.109375" bestFit="1" customWidth="1"/>
    <col min="33" max="34" width="24.109375" customWidth="1"/>
    <col min="35" max="35" width="19.109375" style="1" bestFit="1" customWidth="1"/>
    <col min="36" max="36" width="12" style="1" bestFit="1" customWidth="1"/>
    <col min="37" max="37" width="17.88671875" style="1" bestFit="1" customWidth="1"/>
    <col min="38" max="38" width="31.88671875" style="1" bestFit="1" customWidth="1"/>
    <col min="40" max="40" width="9" bestFit="1" customWidth="1"/>
    <col min="41" max="41" width="10.44140625" bestFit="1" customWidth="1"/>
    <col min="42" max="42" width="32.21875" bestFit="1" customWidth="1"/>
    <col min="43" max="43" width="16.5546875" bestFit="1" customWidth="1"/>
    <col min="44" max="44" width="27.5546875" bestFit="1" customWidth="1"/>
    <col min="45" max="46" width="16.5546875" customWidth="1"/>
    <col min="47" max="47" width="8.88671875" style="1"/>
    <col min="48" max="48" width="25.109375" bestFit="1" customWidth="1"/>
    <col min="49" max="50" width="25.109375" customWidth="1"/>
    <col min="51" max="51" width="32.6640625" bestFit="1" customWidth="1"/>
    <col min="52" max="53" width="30.33203125" customWidth="1"/>
    <col min="54" max="54" width="7.6640625" bestFit="1" customWidth="1"/>
    <col min="55" max="55" width="27.109375" bestFit="1" customWidth="1"/>
    <col min="56" max="56" width="25.21875" customWidth="1"/>
    <col min="57" max="57" width="25.77734375" bestFit="1" customWidth="1"/>
    <col min="58" max="58" width="24.6640625" bestFit="1" customWidth="1"/>
    <col min="60" max="60" width="19.88671875" bestFit="1" customWidth="1"/>
    <col min="61" max="61" width="25.6640625" bestFit="1" customWidth="1"/>
    <col min="62" max="62" width="19.88671875" customWidth="1"/>
    <col min="63" max="63" width="8.33203125" bestFit="1" customWidth="1"/>
    <col min="64" max="64" width="21.44140625" bestFit="1" customWidth="1"/>
    <col min="65" max="65" width="25.5546875" bestFit="1" customWidth="1"/>
    <col min="66" max="66" width="12.6640625" bestFit="1" customWidth="1"/>
    <col min="67" max="67" width="14.5546875" bestFit="1" customWidth="1"/>
    <col min="68" max="69" width="14.5546875" customWidth="1"/>
    <col min="70" max="70" width="34.33203125" bestFit="1" customWidth="1"/>
    <col min="71" max="71" width="17.88671875" style="1" bestFit="1" customWidth="1"/>
    <col min="72" max="72" width="25.6640625" style="1" bestFit="1" customWidth="1"/>
    <col min="73" max="73" width="25.6640625" style="1" customWidth="1"/>
    <col min="74" max="74" width="29.109375" style="1" bestFit="1" customWidth="1"/>
    <col min="75" max="75" width="29.109375" style="1" customWidth="1"/>
    <col min="76" max="76" width="20.109375" style="1" bestFit="1" customWidth="1"/>
    <col min="77" max="77" width="24.44140625" bestFit="1" customWidth="1"/>
    <col min="78" max="78" width="24.44140625" customWidth="1"/>
    <col min="79" max="79" width="12.33203125" style="4" bestFit="1" customWidth="1"/>
    <col min="80" max="80" width="15.33203125" bestFit="1" customWidth="1"/>
    <col min="81" max="81" width="10.77734375" bestFit="1" customWidth="1"/>
    <col min="82" max="82" width="20.88671875" bestFit="1" customWidth="1"/>
    <col min="83" max="83" width="20.88671875" customWidth="1"/>
    <col min="84" max="84" width="15.5546875" bestFit="1" customWidth="1"/>
    <col min="85" max="85" width="29.5546875" style="4" bestFit="1" customWidth="1"/>
    <col min="86" max="86" width="54.6640625" style="4" bestFit="1" customWidth="1"/>
    <col min="87" max="87" width="10.21875" bestFit="1" customWidth="1"/>
    <col min="88" max="88" width="16.21875" bestFit="1" customWidth="1"/>
    <col min="89" max="89" width="12.109375" bestFit="1" customWidth="1"/>
    <col min="90" max="90" width="15.21875" bestFit="1" customWidth="1"/>
    <col min="91" max="91" width="12.88671875" bestFit="1" customWidth="1"/>
    <col min="93" max="93" width="23.5546875" bestFit="1" customWidth="1"/>
    <col min="94" max="94" width="11.77734375" bestFit="1" customWidth="1"/>
    <col min="95" max="95" width="20.21875" bestFit="1" customWidth="1"/>
    <col min="96" max="98" width="20.21875" customWidth="1"/>
    <col min="99" max="99" width="33.21875" bestFit="1" customWidth="1"/>
    <col min="100" max="100" width="28.5546875" bestFit="1" customWidth="1"/>
    <col min="101" max="102" width="28.5546875" customWidth="1"/>
    <col min="103" max="103" width="20.109375" bestFit="1" customWidth="1"/>
    <col min="104" max="104" width="20.109375" customWidth="1"/>
    <col min="105" max="105" width="21.33203125" bestFit="1" customWidth="1"/>
    <col min="106" max="106" width="20.109375" customWidth="1"/>
    <col min="107" max="107" width="23.6640625" bestFit="1" customWidth="1"/>
    <col min="108" max="108" width="20.109375" customWidth="1"/>
    <col min="109" max="109" width="27.88671875" bestFit="1" customWidth="1"/>
    <col min="110" max="111" width="27.88671875" customWidth="1"/>
    <col min="112" max="112" width="15" style="1" bestFit="1" customWidth="1"/>
    <col min="113" max="113" width="15" customWidth="1"/>
    <col min="114" max="114" width="21.109375" bestFit="1" customWidth="1"/>
    <col min="115" max="115" width="21.109375" customWidth="1"/>
    <col min="116" max="116" width="26.109375" bestFit="1" customWidth="1"/>
    <col min="117" max="118" width="26.109375" customWidth="1"/>
    <col min="119" max="119" width="11.6640625" style="4" bestFit="1" customWidth="1"/>
    <col min="120" max="120" width="5.21875" bestFit="1" customWidth="1"/>
    <col min="121" max="121" width="26.109375" customWidth="1"/>
    <col min="122" max="122" width="23.5546875" style="1" bestFit="1" customWidth="1"/>
    <col min="123" max="128" width="23.5546875" customWidth="1"/>
    <col min="129" max="129" width="12.33203125" bestFit="1" customWidth="1"/>
    <col min="130" max="130" width="14.109375" bestFit="1" customWidth="1"/>
    <col min="131" max="131" width="12.33203125" customWidth="1"/>
    <col min="132" max="132" width="15.88671875" bestFit="1" customWidth="1"/>
    <col min="133" max="133" width="26" bestFit="1" customWidth="1"/>
    <col min="134" max="134" width="17.77734375" bestFit="1" customWidth="1"/>
    <col min="135" max="135" width="15.88671875" customWidth="1"/>
    <col min="136" max="136" width="39.109375" bestFit="1" customWidth="1"/>
    <col min="137" max="138" width="39.109375" customWidth="1"/>
    <col min="139" max="139" width="24.109375" style="4" bestFit="1" customWidth="1"/>
    <col min="140" max="140" width="20.109375" bestFit="1" customWidth="1"/>
    <col min="141" max="141" width="10.21875" bestFit="1" customWidth="1"/>
    <col min="142" max="142" width="10.21875" style="4" customWidth="1"/>
    <col min="143" max="143" width="35.44140625" bestFit="1" customWidth="1"/>
    <col min="144" max="144" width="15" bestFit="1" customWidth="1"/>
    <col min="145" max="145" width="24.5546875" bestFit="1" customWidth="1"/>
    <col min="146" max="146" width="23.77734375" bestFit="1" customWidth="1"/>
    <col min="147" max="148" width="39.109375" customWidth="1"/>
    <col min="149" max="149" width="11.5546875" bestFit="1" customWidth="1"/>
    <col min="150" max="150" width="11.5546875" customWidth="1"/>
    <col min="151" max="151" width="26.5546875" bestFit="1" customWidth="1"/>
    <col min="152" max="152" width="29.21875" bestFit="1" customWidth="1"/>
    <col min="153" max="154" width="29.21875" customWidth="1"/>
    <col min="155" max="155" width="33.5546875" bestFit="1" customWidth="1"/>
    <col min="156" max="156" width="35.33203125" bestFit="1" customWidth="1"/>
    <col min="157" max="157" width="33.44140625" bestFit="1" customWidth="1"/>
    <col min="158" max="163" width="33.44140625" customWidth="1"/>
    <col min="164" max="164" width="17.5546875" style="1" bestFit="1" customWidth="1"/>
    <col min="165" max="165" width="14.21875" bestFit="1" customWidth="1"/>
    <col min="166" max="166" width="26.77734375" bestFit="1" customWidth="1"/>
    <col min="167" max="167" width="17.77734375" bestFit="1" customWidth="1"/>
    <col min="168" max="169" width="17.77734375" customWidth="1"/>
    <col min="170" max="170" width="25.5546875" bestFit="1" customWidth="1"/>
    <col min="171" max="171" width="32" bestFit="1" customWidth="1"/>
    <col min="172" max="172" width="17.77734375" customWidth="1"/>
    <col min="173" max="173" width="28.5546875" bestFit="1" customWidth="1"/>
    <col min="174" max="174" width="28.5546875" style="4" customWidth="1"/>
    <col min="175" max="175" width="10.5546875" style="1" bestFit="1" customWidth="1"/>
    <col min="176" max="176" width="14.5546875" bestFit="1" customWidth="1"/>
    <col min="177" max="177" width="31.6640625" bestFit="1" customWidth="1"/>
    <col min="178" max="178" width="12.21875" bestFit="1" customWidth="1"/>
    <col min="179" max="179" width="14.109375" bestFit="1" customWidth="1"/>
    <col min="180" max="180" width="20.5546875" style="4" bestFit="1" customWidth="1"/>
    <col min="181" max="181" width="40.77734375" bestFit="1" customWidth="1"/>
    <col min="182" max="182" width="40.77734375" customWidth="1"/>
    <col min="183" max="183" width="30.5546875" bestFit="1" customWidth="1"/>
    <col min="184" max="184" width="35" bestFit="1" customWidth="1"/>
    <col min="185" max="185" width="11.109375" bestFit="1" customWidth="1"/>
    <col min="186" max="186" width="11.109375" style="4" customWidth="1"/>
    <col min="187" max="187" width="19.44140625" bestFit="1" customWidth="1"/>
    <col min="188" max="189" width="19.44140625" customWidth="1"/>
    <col min="190" max="190" width="14" bestFit="1" customWidth="1"/>
    <col min="192" max="192" width="18.21875" bestFit="1" customWidth="1"/>
    <col min="193" max="193" width="26.33203125" bestFit="1" customWidth="1"/>
    <col min="194" max="195" width="26.33203125" customWidth="1"/>
    <col min="196" max="196" width="22.5546875" bestFit="1" customWidth="1"/>
    <col min="197" max="198" width="22.5546875" customWidth="1"/>
    <col min="199" max="199" width="23.77734375" bestFit="1" customWidth="1"/>
    <col min="200" max="200" width="26.44140625" style="1" bestFit="1" customWidth="1"/>
    <col min="201" max="201" width="10" bestFit="1" customWidth="1"/>
    <col min="202" max="202" width="25.88671875" bestFit="1" customWidth="1"/>
    <col min="203" max="203" width="40.109375" bestFit="1" customWidth="1"/>
    <col min="204" max="204" width="42.44140625" bestFit="1" customWidth="1"/>
    <col min="205" max="205" width="42.44140625" customWidth="1"/>
    <col min="206" max="206" width="8.88671875" style="1"/>
    <col min="207" max="207" width="15.21875" bestFit="1" customWidth="1"/>
    <col min="208" max="209" width="15.21875" customWidth="1"/>
    <col min="210" max="210" width="25.109375" bestFit="1" customWidth="1"/>
    <col min="211" max="211" width="6.6640625" style="4" bestFit="1" customWidth="1"/>
    <col min="212" max="213" width="15.21875" customWidth="1"/>
    <col min="214" max="214" width="31.109375" bestFit="1" customWidth="1"/>
    <col min="215" max="215" width="21.77734375" bestFit="1" customWidth="1"/>
    <col min="216" max="216" width="32.21875" style="4" bestFit="1" customWidth="1"/>
    <col min="217" max="217" width="36.6640625" bestFit="1" customWidth="1"/>
    <col min="218" max="219" width="21.77734375" customWidth="1"/>
    <col min="221" max="221" width="12.88671875" bestFit="1" customWidth="1"/>
    <col min="222" max="222" width="18.109375" bestFit="1" customWidth="1"/>
    <col min="223" max="223" width="18.109375" customWidth="1"/>
    <col min="224" max="224" width="22.77734375" bestFit="1" customWidth="1"/>
    <col min="225" max="225" width="14.21875" bestFit="1" customWidth="1"/>
    <col min="226" max="226" width="18.6640625" customWidth="1"/>
    <col min="227" max="227" width="22.21875" bestFit="1" customWidth="1"/>
    <col min="228" max="228" width="18.6640625" bestFit="1" customWidth="1"/>
    <col min="229" max="229" width="17.77734375" style="1" bestFit="1" customWidth="1"/>
    <col min="230" max="230" width="44" bestFit="1" customWidth="1"/>
    <col min="231" max="231" width="18.77734375" bestFit="1" customWidth="1"/>
    <col min="232" max="232" width="17.44140625" customWidth="1"/>
    <col min="233" max="233" width="18.88671875" bestFit="1" customWidth="1"/>
    <col min="234" max="234" width="32.44140625" bestFit="1" customWidth="1"/>
    <col min="235" max="235" width="51.5546875" bestFit="1" customWidth="1"/>
    <col min="236" max="236" width="11.21875" bestFit="1" customWidth="1"/>
    <col min="237" max="237" width="19" bestFit="1" customWidth="1"/>
    <col min="238" max="238" width="27.5546875" bestFit="1" customWidth="1"/>
    <col min="239" max="239" width="22" bestFit="1" customWidth="1"/>
    <col min="240" max="240" width="19" customWidth="1"/>
    <col min="241" max="241" width="21.88671875" bestFit="1" customWidth="1"/>
    <col min="242" max="242" width="19" customWidth="1"/>
    <col min="243" max="243" width="19" style="4" customWidth="1"/>
    <col min="244" max="244" width="9.77734375" bestFit="1" customWidth="1"/>
    <col min="245" max="245" width="28.44140625" bestFit="1" customWidth="1"/>
    <col min="246" max="246" width="13.33203125" bestFit="1" customWidth="1"/>
    <col min="247" max="247" width="19.21875" bestFit="1" customWidth="1"/>
    <col min="248" max="249" width="19.21875" customWidth="1"/>
    <col min="250" max="250" width="31.21875" bestFit="1" customWidth="1"/>
    <col min="251" max="251" width="20.21875" bestFit="1" customWidth="1"/>
    <col min="252" max="252" width="27.109375" style="4" bestFit="1" customWidth="1"/>
    <col min="253" max="253" width="16.109375" bestFit="1" customWidth="1"/>
    <col min="254" max="254" width="16.5546875" bestFit="1" customWidth="1"/>
    <col min="255" max="255" width="20.33203125" bestFit="1" customWidth="1"/>
    <col min="256" max="257" width="20.33203125" customWidth="1"/>
    <col min="258" max="258" width="19.77734375" bestFit="1" customWidth="1"/>
    <col min="259" max="259" width="32.33203125" bestFit="1" customWidth="1"/>
    <col min="260" max="260" width="35.77734375" bestFit="1" customWidth="1"/>
    <col min="261" max="261" width="35.77734375" customWidth="1"/>
    <col min="262" max="262" width="27.33203125" bestFit="1" customWidth="1"/>
    <col min="263" max="263" width="27.33203125" customWidth="1"/>
    <col min="264" max="264" width="20.6640625" bestFit="1" customWidth="1"/>
    <col min="265" max="268" width="20.6640625" customWidth="1"/>
    <col min="269" max="269" width="18" bestFit="1" customWidth="1"/>
    <col min="270" max="270" width="31.5546875" bestFit="1" customWidth="1"/>
    <col min="271" max="271" width="35" style="4" bestFit="1" customWidth="1"/>
    <col min="272" max="272" width="27.88671875" bestFit="1" customWidth="1"/>
    <col min="273" max="273" width="27.88671875" style="4" customWidth="1"/>
    <col min="274" max="274" width="36.21875" bestFit="1" customWidth="1"/>
    <col min="275" max="275" width="36.21875" customWidth="1"/>
    <col min="276" max="276" width="32.44140625" bestFit="1" customWidth="1"/>
    <col min="277" max="277" width="11.33203125" bestFit="1" customWidth="1"/>
    <col min="278" max="278" width="20.21875" bestFit="1" customWidth="1"/>
    <col min="280" max="280" width="26.5546875" bestFit="1" customWidth="1"/>
    <col min="281" max="281" width="21.109375" bestFit="1" customWidth="1"/>
    <col min="282" max="282" width="15.33203125" bestFit="1" customWidth="1"/>
    <col min="283" max="283" width="17.88671875" bestFit="1" customWidth="1"/>
    <col min="284" max="284" width="17.88671875" customWidth="1"/>
    <col min="285" max="285" width="13.6640625" bestFit="1" customWidth="1"/>
    <col min="286" max="286" width="13.6640625" customWidth="1"/>
    <col min="287" max="287" width="29.44140625" style="4" bestFit="1" customWidth="1"/>
    <col min="288" max="288" width="40.109375" style="4" bestFit="1" customWidth="1"/>
    <col min="289" max="289" width="40.44140625" bestFit="1" customWidth="1"/>
    <col min="290" max="290" width="24.44140625" bestFit="1" customWidth="1"/>
    <col min="291" max="293" width="24.44140625" customWidth="1"/>
    <col min="294" max="294" width="24.44140625" bestFit="1" customWidth="1"/>
    <col min="295" max="295" width="28.5546875" style="1" bestFit="1" customWidth="1"/>
    <col min="296" max="296" width="26.6640625" customWidth="1"/>
    <col min="297" max="297" width="13.6640625" bestFit="1" customWidth="1"/>
    <col min="298" max="298" width="20" bestFit="1" customWidth="1"/>
    <col min="299" max="299" width="11" bestFit="1" customWidth="1"/>
    <col min="300" max="300" width="16.77734375" bestFit="1" customWidth="1"/>
    <col min="301" max="301" width="31" bestFit="1" customWidth="1"/>
    <col min="302" max="302" width="13" bestFit="1" customWidth="1"/>
    <col min="303" max="303" width="18.21875" bestFit="1" customWidth="1"/>
    <col min="304" max="304" width="21.21875" bestFit="1" customWidth="1"/>
    <col min="305" max="305" width="22.21875" bestFit="1" customWidth="1"/>
    <col min="306" max="306" width="23.21875" bestFit="1" customWidth="1"/>
    <col min="307" max="307" width="26.88671875" bestFit="1" customWidth="1"/>
    <col min="308" max="308" width="26.88671875" style="4" customWidth="1"/>
    <col min="309" max="309" width="23.21875" customWidth="1"/>
    <col min="311" max="311" width="17.33203125" style="4" bestFit="1" customWidth="1"/>
    <col min="312" max="312" width="33.5546875" bestFit="1" customWidth="1"/>
    <col min="313" max="313" width="16.77734375" bestFit="1" customWidth="1"/>
    <col min="314" max="314" width="13.33203125" bestFit="1" customWidth="1"/>
    <col min="315" max="315" width="36.5546875" style="4" bestFit="1" customWidth="1"/>
    <col min="316" max="316" width="16.21875" bestFit="1" customWidth="1"/>
    <col min="317" max="317" width="26.5546875" bestFit="1" customWidth="1"/>
    <col min="318" max="318" width="21.77734375" bestFit="1" customWidth="1"/>
    <col min="319" max="320" width="21.77734375" customWidth="1"/>
    <col min="321" max="321" width="20.77734375" bestFit="1" customWidth="1"/>
    <col min="322" max="322" width="12.88671875" style="1" bestFit="1" customWidth="1"/>
    <col min="323" max="323" width="12.88671875" customWidth="1"/>
    <col min="324" max="324" width="30.88671875" bestFit="1" customWidth="1"/>
    <col min="325" max="325" width="30.88671875" style="4" customWidth="1"/>
    <col min="326" max="326" width="30.88671875" customWidth="1"/>
    <col min="327" max="327" width="15.44140625" bestFit="1" customWidth="1"/>
    <col min="328" max="328" width="23.77734375" bestFit="1" customWidth="1"/>
    <col min="329" max="329" width="22" bestFit="1" customWidth="1"/>
    <col min="330" max="330" width="10.6640625" style="1" bestFit="1" customWidth="1"/>
    <col min="331" max="331" width="15.6640625" bestFit="1" customWidth="1"/>
    <col min="332" max="332" width="18.33203125" bestFit="1" customWidth="1"/>
    <col min="333" max="333" width="8.88671875" style="1"/>
    <col min="334" max="334" width="25.5546875" bestFit="1" customWidth="1"/>
    <col min="335" max="335" width="25.5546875" customWidth="1"/>
    <col min="336" max="336" width="39.109375" bestFit="1" customWidth="1"/>
    <col min="337" max="337" width="39.109375" customWidth="1"/>
    <col min="338" max="338" width="15.109375" bestFit="1" customWidth="1"/>
    <col min="339" max="339" width="16.21875" bestFit="1" customWidth="1"/>
    <col min="340" max="340" width="23.109375" bestFit="1" customWidth="1"/>
    <col min="341" max="342" width="23.109375" customWidth="1"/>
    <col min="343" max="343" width="13.5546875" bestFit="1" customWidth="1"/>
    <col min="344" max="344" width="20.77734375" bestFit="1" customWidth="1"/>
    <col min="345" max="345" width="23.44140625" bestFit="1" customWidth="1"/>
    <col min="346" max="346" width="23.44140625" customWidth="1"/>
    <col min="347" max="347" width="51.109375" bestFit="1" customWidth="1"/>
    <col min="348" max="348" width="23.44140625" customWidth="1"/>
    <col min="349" max="349" width="36.21875" bestFit="1" customWidth="1"/>
    <col min="350" max="350" width="11.33203125" bestFit="1" customWidth="1"/>
    <col min="351" max="351" width="17" bestFit="1" customWidth="1"/>
    <col min="352" max="352" width="8.88671875" style="1"/>
    <col min="353" max="353" width="15.6640625" bestFit="1" customWidth="1"/>
    <col min="354" max="354" width="12.88671875" bestFit="1" customWidth="1"/>
    <col min="355" max="355" width="12.88671875" customWidth="1"/>
    <col min="356" max="356" width="20.6640625" bestFit="1" customWidth="1"/>
    <col min="357" max="357" width="19.6640625" bestFit="1" customWidth="1"/>
    <col min="358" max="358" width="19.6640625" style="4" customWidth="1"/>
    <col min="359" max="359" width="8.88671875" style="1"/>
    <col min="360" max="360" width="13.88671875" style="1" bestFit="1" customWidth="1"/>
    <col min="361" max="361" width="14.88671875" bestFit="1" customWidth="1"/>
    <col min="362" max="362" width="14.77734375" bestFit="1" customWidth="1"/>
    <col min="363" max="363" width="19.44140625" bestFit="1" customWidth="1"/>
    <col min="364" max="364" width="16" bestFit="1" customWidth="1"/>
    <col min="365" max="365" width="18.5546875" bestFit="1" customWidth="1"/>
    <col min="366" max="366" width="18.5546875" style="4" customWidth="1"/>
    <col min="367" max="367" width="24.5546875" bestFit="1" customWidth="1"/>
    <col min="368" max="368" width="16" customWidth="1"/>
    <col min="369" max="369" width="36.88671875" style="1" bestFit="1" customWidth="1"/>
    <col min="370" max="370" width="10.109375" bestFit="1" customWidth="1"/>
    <col min="371" max="371" width="29" bestFit="1" customWidth="1"/>
    <col min="372" max="372" width="12.33203125" bestFit="1" customWidth="1"/>
    <col min="373" max="373" width="15.109375" bestFit="1" customWidth="1"/>
    <col min="374" max="374" width="15.109375" style="4" customWidth="1"/>
    <col min="375" max="376" width="29" customWidth="1"/>
    <col min="377" max="377" width="18.109375" bestFit="1" customWidth="1"/>
    <col min="378" max="378" width="21.5546875" style="1" bestFit="1" customWidth="1"/>
    <col min="379" max="379" width="23.44140625" bestFit="1" customWidth="1"/>
    <col min="380" max="380" width="26.77734375" bestFit="1" customWidth="1"/>
    <col min="381" max="381" width="26.77734375" customWidth="1"/>
    <col min="382" max="382" width="30.6640625" bestFit="1" customWidth="1"/>
    <col min="383" max="383" width="30.6640625" style="4" customWidth="1"/>
    <col min="384" max="384" width="23" bestFit="1" customWidth="1"/>
    <col min="385" max="387" width="23" customWidth="1"/>
    <col min="388" max="388" width="29.77734375" bestFit="1" customWidth="1"/>
    <col min="389" max="389" width="29.77734375" style="4" customWidth="1"/>
    <col min="390" max="390" width="29.77734375" customWidth="1"/>
    <col min="391" max="391" width="14.88671875" bestFit="1" customWidth="1"/>
    <col min="392" max="392" width="10" bestFit="1" customWidth="1"/>
    <col min="393" max="393" width="26.33203125" bestFit="1" customWidth="1"/>
    <col min="394" max="394" width="26.33203125" style="4" customWidth="1"/>
    <col min="395" max="398" width="26.33203125" customWidth="1"/>
    <col min="399" max="399" width="19.6640625" bestFit="1" customWidth="1"/>
    <col min="400" max="400" width="36.33203125" bestFit="1" customWidth="1"/>
    <col min="401" max="403" width="17.33203125" customWidth="1"/>
    <col min="404" max="404" width="17.33203125" bestFit="1" customWidth="1"/>
    <col min="405" max="405" width="17.33203125" customWidth="1"/>
    <col min="406" max="406" width="17.33203125" style="4" customWidth="1"/>
    <col min="407" max="407" width="12.109375" bestFit="1" customWidth="1"/>
    <col min="408" max="408" width="12.109375" style="4" customWidth="1"/>
    <col min="409" max="409" width="19" bestFit="1" customWidth="1"/>
    <col min="410" max="410" width="30.44140625" bestFit="1" customWidth="1"/>
    <col min="412" max="412" width="26.88671875" bestFit="1" customWidth="1"/>
  </cols>
  <sheetData>
    <row r="1" spans="1:427" s="5" customFormat="1" x14ac:dyDescent="0.3">
      <c r="A1" s="9" t="s">
        <v>613</v>
      </c>
      <c r="B1" s="6" t="s">
        <v>63</v>
      </c>
      <c r="C1" s="6" t="s">
        <v>290</v>
      </c>
      <c r="D1" s="6" t="s">
        <v>437</v>
      </c>
      <c r="E1" s="6" t="s">
        <v>64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228</v>
      </c>
      <c r="K1" s="6" t="s">
        <v>536</v>
      </c>
      <c r="L1" s="6" t="s">
        <v>69</v>
      </c>
      <c r="M1" s="6" t="s">
        <v>70</v>
      </c>
      <c r="N1" s="6" t="s">
        <v>228</v>
      </c>
      <c r="O1" s="6" t="s">
        <v>294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258</v>
      </c>
      <c r="U1" s="6" t="s">
        <v>361</v>
      </c>
      <c r="V1" s="6" t="s">
        <v>75</v>
      </c>
      <c r="W1" s="6" t="s">
        <v>432</v>
      </c>
      <c r="X1" s="6" t="s">
        <v>77</v>
      </c>
      <c r="Y1" s="6" t="s">
        <v>308</v>
      </c>
      <c r="Z1" s="6" t="s">
        <v>76</v>
      </c>
      <c r="AA1" s="6" t="s">
        <v>78</v>
      </c>
      <c r="AB1" s="6" t="s">
        <v>79</v>
      </c>
      <c r="AC1" s="6" t="s">
        <v>80</v>
      </c>
      <c r="AD1" s="6" t="s">
        <v>81</v>
      </c>
      <c r="AE1" s="6" t="s">
        <v>82</v>
      </c>
      <c r="AF1" s="6" t="s">
        <v>83</v>
      </c>
      <c r="AG1" s="6" t="s">
        <v>84</v>
      </c>
      <c r="AH1" s="6" t="s">
        <v>229</v>
      </c>
      <c r="AI1" s="6" t="s">
        <v>85</v>
      </c>
      <c r="AJ1" s="6" t="s">
        <v>86</v>
      </c>
      <c r="AK1" s="6" t="s">
        <v>87</v>
      </c>
      <c r="AL1" s="6" t="s">
        <v>475</v>
      </c>
      <c r="AM1" s="6" t="s">
        <v>88</v>
      </c>
      <c r="AN1" s="6" t="s">
        <v>89</v>
      </c>
      <c r="AO1" s="6" t="s">
        <v>90</v>
      </c>
      <c r="AP1" s="6" t="s">
        <v>91</v>
      </c>
      <c r="AQ1" s="6" t="s">
        <v>92</v>
      </c>
      <c r="AR1" s="6" t="s">
        <v>93</v>
      </c>
      <c r="AS1" s="6" t="s">
        <v>259</v>
      </c>
      <c r="AT1" s="6" t="s">
        <v>260</v>
      </c>
      <c r="AU1" s="6" t="s">
        <v>94</v>
      </c>
      <c r="AV1" s="6" t="s">
        <v>295</v>
      </c>
      <c r="AW1" s="6" t="s">
        <v>309</v>
      </c>
      <c r="AX1" s="6" t="s">
        <v>509</v>
      </c>
      <c r="AY1" s="6" t="s">
        <v>95</v>
      </c>
      <c r="AZ1" s="6" t="s">
        <v>537</v>
      </c>
      <c r="BA1" s="6" t="s">
        <v>362</v>
      </c>
      <c r="BB1" s="6" t="s">
        <v>381</v>
      </c>
      <c r="BC1" s="6" t="s">
        <v>96</v>
      </c>
      <c r="BD1" s="6" t="s">
        <v>495</v>
      </c>
      <c r="BE1" s="6" t="s">
        <v>97</v>
      </c>
      <c r="BF1" s="6" t="s">
        <v>98</v>
      </c>
      <c r="BG1" s="6" t="s">
        <v>99</v>
      </c>
      <c r="BH1" s="6" t="s">
        <v>296</v>
      </c>
      <c r="BI1" s="6" t="s">
        <v>375</v>
      </c>
      <c r="BJ1" s="6" t="s">
        <v>376</v>
      </c>
      <c r="BK1" s="6" t="s">
        <v>547</v>
      </c>
      <c r="BL1" s="6" t="s">
        <v>100</v>
      </c>
      <c r="BM1" s="6" t="s">
        <v>411</v>
      </c>
      <c r="BN1" s="6" t="s">
        <v>101</v>
      </c>
      <c r="BO1" s="6" t="s">
        <v>102</v>
      </c>
      <c r="BP1" s="6" t="s">
        <v>341</v>
      </c>
      <c r="BQ1" s="6" t="s">
        <v>363</v>
      </c>
      <c r="BR1" s="6" t="s">
        <v>488</v>
      </c>
      <c r="BS1" s="6" t="s">
        <v>103</v>
      </c>
      <c r="BT1" s="6" t="s">
        <v>489</v>
      </c>
      <c r="BU1" s="6" t="s">
        <v>564</v>
      </c>
      <c r="BV1" s="6" t="s">
        <v>490</v>
      </c>
      <c r="BW1" s="6" t="s">
        <v>491</v>
      </c>
      <c r="BX1" s="6" t="s">
        <v>462</v>
      </c>
      <c r="BY1" s="6" t="s">
        <v>104</v>
      </c>
      <c r="BZ1" s="6" t="s">
        <v>399</v>
      </c>
      <c r="CA1" s="6" t="s">
        <v>580</v>
      </c>
      <c r="CB1" s="6" t="s">
        <v>105</v>
      </c>
      <c r="CC1" s="6" t="s">
        <v>106</v>
      </c>
      <c r="CD1" s="6" t="s">
        <v>377</v>
      </c>
      <c r="CE1" s="6" t="s">
        <v>400</v>
      </c>
      <c r="CF1" s="6" t="s">
        <v>107</v>
      </c>
      <c r="CG1" s="6" t="s">
        <v>561</v>
      </c>
      <c r="CH1" s="6" t="s">
        <v>562</v>
      </c>
      <c r="CI1" s="6" t="s">
        <v>108</v>
      </c>
      <c r="CJ1" s="6" t="s">
        <v>230</v>
      </c>
      <c r="CK1" s="6" t="s">
        <v>231</v>
      </c>
      <c r="CL1" s="6" t="s">
        <v>422</v>
      </c>
      <c r="CM1" s="6" t="s">
        <v>109</v>
      </c>
      <c r="CN1" s="6" t="s">
        <v>110</v>
      </c>
      <c r="CO1" s="6" t="s">
        <v>481</v>
      </c>
      <c r="CP1" s="6" t="s">
        <v>321</v>
      </c>
      <c r="CQ1" s="6" t="s">
        <v>322</v>
      </c>
      <c r="CR1" s="6" t="s">
        <v>342</v>
      </c>
      <c r="CS1" s="6" t="s">
        <v>391</v>
      </c>
      <c r="CT1" s="6" t="s">
        <v>426</v>
      </c>
      <c r="CU1" s="6" t="s">
        <v>261</v>
      </c>
      <c r="CV1" s="6" t="s">
        <v>111</v>
      </c>
      <c r="CW1" s="6" t="s">
        <v>343</v>
      </c>
      <c r="CX1" s="6" t="s">
        <v>480</v>
      </c>
      <c r="CY1" s="6" t="s">
        <v>112</v>
      </c>
      <c r="CZ1" s="6" t="s">
        <v>232</v>
      </c>
      <c r="DA1" s="6" t="s">
        <v>262</v>
      </c>
      <c r="DB1" s="6" t="s">
        <v>297</v>
      </c>
      <c r="DC1" s="6" t="s">
        <v>298</v>
      </c>
      <c r="DD1" s="6" t="s">
        <v>299</v>
      </c>
      <c r="DE1" s="6" t="s">
        <v>371</v>
      </c>
      <c r="DF1" s="6" t="s">
        <v>392</v>
      </c>
      <c r="DG1" s="6" t="s">
        <v>416</v>
      </c>
      <c r="DH1" s="6" t="s">
        <v>113</v>
      </c>
      <c r="DI1" s="6" t="s">
        <v>300</v>
      </c>
      <c r="DJ1" s="6" t="s">
        <v>114</v>
      </c>
      <c r="DK1" s="6" t="s">
        <v>313</v>
      </c>
      <c r="DL1" s="6" t="s">
        <v>369</v>
      </c>
      <c r="DM1" s="6" t="s">
        <v>438</v>
      </c>
      <c r="DN1" s="6" t="s">
        <v>528</v>
      </c>
      <c r="DO1" s="6" t="s">
        <v>579</v>
      </c>
      <c r="DP1" s="6" t="s">
        <v>538</v>
      </c>
      <c r="DQ1" s="6" t="s">
        <v>455</v>
      </c>
      <c r="DR1" s="6" t="s">
        <v>115</v>
      </c>
      <c r="DS1" s="6" t="s">
        <v>344</v>
      </c>
      <c r="DT1" s="6" t="s">
        <v>541</v>
      </c>
      <c r="DU1" s="6" t="s">
        <v>302</v>
      </c>
      <c r="DV1" s="6" t="s">
        <v>542</v>
      </c>
      <c r="DW1" s="6" t="s">
        <v>529</v>
      </c>
      <c r="DX1" s="6" t="s">
        <v>233</v>
      </c>
      <c r="DY1" s="6" t="s">
        <v>116</v>
      </c>
      <c r="DZ1" s="6" t="s">
        <v>335</v>
      </c>
      <c r="EA1" s="6" t="s">
        <v>453</v>
      </c>
      <c r="EB1" s="6" t="s">
        <v>117</v>
      </c>
      <c r="EC1" s="6" t="s">
        <v>323</v>
      </c>
      <c r="ED1" s="6" t="s">
        <v>118</v>
      </c>
      <c r="EE1" s="6" t="s">
        <v>263</v>
      </c>
      <c r="EF1" s="6" t="s">
        <v>264</v>
      </c>
      <c r="EG1" s="6" t="s">
        <v>301</v>
      </c>
      <c r="EH1" s="6" t="s">
        <v>265</v>
      </c>
      <c r="EI1" s="6" t="s">
        <v>589</v>
      </c>
      <c r="EJ1" s="6" t="s">
        <v>463</v>
      </c>
      <c r="EK1" s="6" t="s">
        <v>314</v>
      </c>
      <c r="EL1" s="6" t="s">
        <v>557</v>
      </c>
      <c r="EM1" s="6" t="s">
        <v>266</v>
      </c>
      <c r="EN1" s="6" t="s">
        <v>505</v>
      </c>
      <c r="EO1" s="6" t="s">
        <v>267</v>
      </c>
      <c r="EP1" s="6" t="s">
        <v>423</v>
      </c>
      <c r="EQ1" s="6" t="s">
        <v>496</v>
      </c>
      <c r="ER1" s="6" t="s">
        <v>439</v>
      </c>
      <c r="ES1" s="6" t="s">
        <v>514</v>
      </c>
      <c r="ET1" s="6" t="s">
        <v>539</v>
      </c>
      <c r="EU1" s="6" t="s">
        <v>548</v>
      </c>
      <c r="EV1" s="6" t="s">
        <v>119</v>
      </c>
      <c r="EW1" s="6" t="s">
        <v>268</v>
      </c>
      <c r="EX1" s="6" t="s">
        <v>402</v>
      </c>
      <c r="EY1" s="6" t="s">
        <v>456</v>
      </c>
      <c r="EZ1" s="6" t="s">
        <v>234</v>
      </c>
      <c r="FA1" s="6" t="s">
        <v>120</v>
      </c>
      <c r="FB1" s="6" t="s">
        <v>457</v>
      </c>
      <c r="FC1" s="6" t="s">
        <v>121</v>
      </c>
      <c r="FD1" s="6" t="s">
        <v>543</v>
      </c>
      <c r="FE1" s="6" t="s">
        <v>315</v>
      </c>
      <c r="FF1" s="6" t="s">
        <v>269</v>
      </c>
      <c r="FG1" s="6" t="s">
        <v>345</v>
      </c>
      <c r="FH1" s="6" t="s">
        <v>122</v>
      </c>
      <c r="FI1" s="6" t="s">
        <v>123</v>
      </c>
      <c r="FJ1" s="6" t="s">
        <v>303</v>
      </c>
      <c r="FK1" s="6" t="s">
        <v>307</v>
      </c>
      <c r="FL1" s="6" t="s">
        <v>476</v>
      </c>
      <c r="FM1" s="6" t="s">
        <v>540</v>
      </c>
      <c r="FN1" s="6" t="s">
        <v>452</v>
      </c>
      <c r="FO1" s="6" t="s">
        <v>346</v>
      </c>
      <c r="FP1" s="6" t="s">
        <v>324</v>
      </c>
      <c r="FQ1" s="6" t="s">
        <v>303</v>
      </c>
      <c r="FR1" s="6" t="s">
        <v>570</v>
      </c>
      <c r="FS1" s="6" t="s">
        <v>124</v>
      </c>
      <c r="FT1" s="6" t="s">
        <v>125</v>
      </c>
      <c r="FU1" s="6" t="s">
        <v>378</v>
      </c>
      <c r="FV1" s="6" t="s">
        <v>126</v>
      </c>
      <c r="FW1" s="6" t="s">
        <v>127</v>
      </c>
      <c r="FX1" s="6" t="s">
        <v>563</v>
      </c>
      <c r="FY1" s="6" t="s">
        <v>464</v>
      </c>
      <c r="FZ1" s="6" t="s">
        <v>465</v>
      </c>
      <c r="GA1" s="6" t="s">
        <v>325</v>
      </c>
      <c r="GB1" s="6" t="s">
        <v>128</v>
      </c>
      <c r="GC1" s="6" t="s">
        <v>129</v>
      </c>
      <c r="GD1" s="6" t="s">
        <v>571</v>
      </c>
      <c r="GE1" s="6" t="s">
        <v>326</v>
      </c>
      <c r="GF1" s="6" t="s">
        <v>497</v>
      </c>
      <c r="GG1" s="6" t="s">
        <v>393</v>
      </c>
      <c r="GH1" s="6" t="s">
        <v>130</v>
      </c>
      <c r="GI1" s="6" t="s">
        <v>131</v>
      </c>
      <c r="GJ1" s="6" t="s">
        <v>270</v>
      </c>
      <c r="GK1" s="6" t="s">
        <v>132</v>
      </c>
      <c r="GL1" s="6" t="s">
        <v>530</v>
      </c>
      <c r="GM1" s="6" t="s">
        <v>291</v>
      </c>
      <c r="GN1" s="6" t="s">
        <v>133</v>
      </c>
      <c r="GO1" s="6" t="s">
        <v>364</v>
      </c>
      <c r="GP1" s="6" t="s">
        <v>271</v>
      </c>
      <c r="GQ1" s="6" t="s">
        <v>386</v>
      </c>
      <c r="GR1" s="6" t="s">
        <v>134</v>
      </c>
      <c r="GS1" s="6" t="s">
        <v>135</v>
      </c>
      <c r="GT1" s="6" t="s">
        <v>136</v>
      </c>
      <c r="GU1" s="6" t="s">
        <v>137</v>
      </c>
      <c r="GV1" s="6" t="s">
        <v>138</v>
      </c>
      <c r="GW1" s="6" t="s">
        <v>272</v>
      </c>
      <c r="GX1" s="6" t="s">
        <v>139</v>
      </c>
      <c r="GY1" s="6" t="s">
        <v>140</v>
      </c>
      <c r="GZ1" s="6" t="s">
        <v>273</v>
      </c>
      <c r="HA1" s="6" t="s">
        <v>424</v>
      </c>
      <c r="HB1" s="6" t="s">
        <v>403</v>
      </c>
      <c r="HC1" s="6" t="s">
        <v>587</v>
      </c>
      <c r="HD1" s="6" t="s">
        <v>355</v>
      </c>
      <c r="HE1" s="6" t="s">
        <v>394</v>
      </c>
      <c r="HF1" s="6" t="s">
        <v>141</v>
      </c>
      <c r="HG1" s="6" t="s">
        <v>142</v>
      </c>
      <c r="HH1" s="6" t="s">
        <v>576</v>
      </c>
      <c r="HI1" s="6" t="s">
        <v>329</v>
      </c>
      <c r="HJ1" s="6" t="s">
        <v>336</v>
      </c>
      <c r="HK1" s="6" t="s">
        <v>316</v>
      </c>
      <c r="HL1" s="6" t="s">
        <v>143</v>
      </c>
      <c r="HM1" s="6" t="s">
        <v>144</v>
      </c>
      <c r="HN1" s="6" t="s">
        <v>235</v>
      </c>
      <c r="HO1" s="6" t="s">
        <v>328</v>
      </c>
      <c r="HP1" s="6" t="s">
        <v>236</v>
      </c>
      <c r="HQ1" s="6" t="s">
        <v>145</v>
      </c>
      <c r="HR1" s="6" t="s">
        <v>327</v>
      </c>
      <c r="HS1" s="6" t="s">
        <v>487</v>
      </c>
      <c r="HT1" s="6" t="s">
        <v>304</v>
      </c>
      <c r="HU1" s="6" t="s">
        <v>146</v>
      </c>
      <c r="HV1" s="6" t="s">
        <v>147</v>
      </c>
      <c r="HW1" s="6" t="s">
        <v>148</v>
      </c>
      <c r="HX1" s="6" t="s">
        <v>523</v>
      </c>
      <c r="HY1" s="6" t="s">
        <v>149</v>
      </c>
      <c r="HZ1" s="6" t="s">
        <v>305</v>
      </c>
      <c r="IA1" s="6" t="s">
        <v>531</v>
      </c>
      <c r="IB1" s="6" t="s">
        <v>532</v>
      </c>
      <c r="IC1" s="6" t="s">
        <v>150</v>
      </c>
      <c r="ID1" s="6" t="s">
        <v>347</v>
      </c>
      <c r="IE1" s="6" t="s">
        <v>240</v>
      </c>
      <c r="IF1" s="6" t="s">
        <v>356</v>
      </c>
      <c r="IG1" s="6" t="s">
        <v>239</v>
      </c>
      <c r="IH1" s="6" t="s">
        <v>330</v>
      </c>
      <c r="II1" s="6" t="s">
        <v>572</v>
      </c>
      <c r="IJ1" s="6" t="s">
        <v>151</v>
      </c>
      <c r="IK1" s="6" t="s">
        <v>348</v>
      </c>
      <c r="IL1" s="6" t="s">
        <v>440</v>
      </c>
      <c r="IM1" s="6" t="s">
        <v>152</v>
      </c>
      <c r="IN1" s="6" t="s">
        <v>498</v>
      </c>
      <c r="IO1" s="6" t="s">
        <v>238</v>
      </c>
      <c r="IP1" s="6" t="s">
        <v>237</v>
      </c>
      <c r="IQ1" s="6" t="s">
        <v>153</v>
      </c>
      <c r="IR1" s="6" t="s">
        <v>581</v>
      </c>
      <c r="IS1" s="6" t="s">
        <v>154</v>
      </c>
      <c r="IT1" s="6" t="s">
        <v>155</v>
      </c>
      <c r="IU1" s="6" t="s">
        <v>156</v>
      </c>
      <c r="IV1" s="6" t="s">
        <v>349</v>
      </c>
      <c r="IW1" s="6" t="s">
        <v>533</v>
      </c>
      <c r="IX1" s="6" t="s">
        <v>157</v>
      </c>
      <c r="IY1" s="6" t="s">
        <v>158</v>
      </c>
      <c r="IZ1" s="6" t="s">
        <v>331</v>
      </c>
      <c r="JA1" s="6" t="s">
        <v>350</v>
      </c>
      <c r="JB1" s="6" t="s">
        <v>159</v>
      </c>
      <c r="JC1" s="6" t="s">
        <v>484</v>
      </c>
      <c r="JD1" s="6" t="s">
        <v>160</v>
      </c>
      <c r="JE1" s="6" t="s">
        <v>332</v>
      </c>
      <c r="JF1" s="6" t="s">
        <v>471</v>
      </c>
      <c r="JG1" s="6" t="s">
        <v>483</v>
      </c>
      <c r="JH1" s="6" t="s">
        <v>161</v>
      </c>
      <c r="JI1" s="6" t="s">
        <v>162</v>
      </c>
      <c r="JJ1" s="6" t="s">
        <v>241</v>
      </c>
      <c r="JK1" s="6" t="s">
        <v>565</v>
      </c>
      <c r="JL1" s="6" t="s">
        <v>163</v>
      </c>
      <c r="JM1" s="6" t="s">
        <v>582</v>
      </c>
      <c r="JN1" s="6" t="s">
        <v>274</v>
      </c>
      <c r="JO1" s="6" t="s">
        <v>466</v>
      </c>
      <c r="JP1" s="6" t="s">
        <v>275</v>
      </c>
      <c r="JQ1" s="6" t="s">
        <v>370</v>
      </c>
      <c r="JR1" s="6" t="s">
        <v>534</v>
      </c>
      <c r="JS1" s="6" t="s">
        <v>164</v>
      </c>
      <c r="JT1" s="6" t="s">
        <v>508</v>
      </c>
      <c r="JU1" s="6" t="s">
        <v>165</v>
      </c>
      <c r="JV1" s="6" t="s">
        <v>166</v>
      </c>
      <c r="JW1" s="6" t="s">
        <v>167</v>
      </c>
      <c r="JX1" s="6" t="s">
        <v>168</v>
      </c>
      <c r="JY1" s="6" t="s">
        <v>169</v>
      </c>
      <c r="JZ1" s="6" t="s">
        <v>499</v>
      </c>
      <c r="KA1" s="6" t="s">
        <v>583</v>
      </c>
      <c r="KB1" s="6" t="s">
        <v>584</v>
      </c>
      <c r="KC1" s="6" t="s">
        <v>492</v>
      </c>
      <c r="KD1" s="6" t="s">
        <v>170</v>
      </c>
      <c r="KE1" s="6" t="s">
        <v>242</v>
      </c>
      <c r="KF1" s="6" t="s">
        <v>276</v>
      </c>
      <c r="KG1" s="6" t="s">
        <v>549</v>
      </c>
      <c r="KH1" s="6" t="s">
        <v>171</v>
      </c>
      <c r="KI1" s="6" t="s">
        <v>172</v>
      </c>
      <c r="KJ1" s="6" t="s">
        <v>173</v>
      </c>
      <c r="KK1" s="6" t="s">
        <v>174</v>
      </c>
      <c r="KL1" s="6" t="s">
        <v>277</v>
      </c>
      <c r="KM1" s="6" t="s">
        <v>175</v>
      </c>
      <c r="KN1" s="6" t="s">
        <v>173</v>
      </c>
      <c r="KO1" s="6" t="s">
        <v>278</v>
      </c>
      <c r="KP1" s="6" t="s">
        <v>507</v>
      </c>
      <c r="KQ1" s="6" t="s">
        <v>176</v>
      </c>
      <c r="KR1" s="6" t="s">
        <v>379</v>
      </c>
      <c r="KS1" s="6" t="s">
        <v>500</v>
      </c>
      <c r="KT1" s="6" t="s">
        <v>177</v>
      </c>
      <c r="KU1" s="6" t="s">
        <v>337</v>
      </c>
      <c r="KV1" s="6" t="s">
        <v>585</v>
      </c>
      <c r="KW1" s="6" t="s">
        <v>338</v>
      </c>
      <c r="KX1" s="6" t="s">
        <v>178</v>
      </c>
      <c r="KY1" s="6" t="s">
        <v>588</v>
      </c>
      <c r="KZ1" s="6" t="s">
        <v>502</v>
      </c>
      <c r="LA1" s="6" t="s">
        <v>292</v>
      </c>
      <c r="LB1" s="6" t="s">
        <v>179</v>
      </c>
      <c r="LC1" s="6" t="s">
        <v>553</v>
      </c>
      <c r="LD1" s="6" t="s">
        <v>180</v>
      </c>
      <c r="LE1" s="6" t="s">
        <v>387</v>
      </c>
      <c r="LF1" s="6" t="s">
        <v>181</v>
      </c>
      <c r="LG1" s="6" t="s">
        <v>357</v>
      </c>
      <c r="LH1" s="6" t="s">
        <v>406</v>
      </c>
      <c r="LI1" s="6" t="s">
        <v>182</v>
      </c>
      <c r="LJ1" s="6" t="s">
        <v>183</v>
      </c>
      <c r="LK1" s="6" t="s">
        <v>358</v>
      </c>
      <c r="LL1" s="6" t="s">
        <v>184</v>
      </c>
      <c r="LM1" s="6" t="s">
        <v>590</v>
      </c>
      <c r="LN1" s="6" t="s">
        <v>279</v>
      </c>
      <c r="LO1" s="6" t="s">
        <v>185</v>
      </c>
      <c r="LP1" s="6" t="s">
        <v>493</v>
      </c>
      <c r="LQ1" s="6" t="s">
        <v>186</v>
      </c>
      <c r="LR1" s="6" t="s">
        <v>187</v>
      </c>
      <c r="LS1" s="6" t="s">
        <v>501</v>
      </c>
      <c r="LT1" s="6" t="s">
        <v>479</v>
      </c>
      <c r="LU1" s="6" t="s">
        <v>188</v>
      </c>
      <c r="LV1" s="6" t="s">
        <v>280</v>
      </c>
      <c r="LW1" s="6" t="s">
        <v>433</v>
      </c>
      <c r="LX1" s="6" t="s">
        <v>189</v>
      </c>
      <c r="LY1" s="6" t="s">
        <v>243</v>
      </c>
      <c r="LZ1" s="6" t="s">
        <v>458</v>
      </c>
      <c r="MA1" s="6" t="s">
        <v>190</v>
      </c>
      <c r="MB1" s="6" t="s">
        <v>191</v>
      </c>
      <c r="MC1" s="6" t="s">
        <v>434</v>
      </c>
      <c r="MD1" s="6" t="s">
        <v>473</v>
      </c>
      <c r="ME1" s="6" t="s">
        <v>192</v>
      </c>
      <c r="MF1" s="6" t="s">
        <v>281</v>
      </c>
      <c r="MG1" s="6" t="s">
        <v>193</v>
      </c>
      <c r="MH1" s="6" t="s">
        <v>333</v>
      </c>
      <c r="MI1" s="6" t="s">
        <v>317</v>
      </c>
      <c r="MJ1" s="6" t="s">
        <v>477</v>
      </c>
      <c r="MK1" s="6" t="s">
        <v>478</v>
      </c>
      <c r="ML1" s="6" t="s">
        <v>194</v>
      </c>
      <c r="MM1" s="6" t="s">
        <v>417</v>
      </c>
      <c r="MN1" s="6" t="s">
        <v>195</v>
      </c>
      <c r="MO1" s="6" t="s">
        <v>196</v>
      </c>
      <c r="MP1" s="6" t="s">
        <v>197</v>
      </c>
      <c r="MQ1" s="6" t="s">
        <v>418</v>
      </c>
      <c r="MR1" s="6" t="s">
        <v>198</v>
      </c>
      <c r="MS1" s="6" t="s">
        <v>199</v>
      </c>
      <c r="MT1" s="6" t="s">
        <v>558</v>
      </c>
      <c r="MU1" s="6" t="s">
        <v>200</v>
      </c>
      <c r="MV1" s="6" t="s">
        <v>510</v>
      </c>
      <c r="MW1" s="6" t="s">
        <v>365</v>
      </c>
      <c r="MX1" s="6" t="s">
        <v>201</v>
      </c>
      <c r="MY1" s="6" t="s">
        <v>202</v>
      </c>
      <c r="MZ1" s="6" t="s">
        <v>203</v>
      </c>
      <c r="NA1" s="6" t="s">
        <v>485</v>
      </c>
      <c r="NB1" s="6" t="s">
        <v>554</v>
      </c>
      <c r="NC1" s="6" t="s">
        <v>506</v>
      </c>
      <c r="ND1" s="6" t="s">
        <v>519</v>
      </c>
      <c r="NE1" s="6" t="s">
        <v>204</v>
      </c>
      <c r="NF1" s="6" t="s">
        <v>205</v>
      </c>
      <c r="NG1" s="6" t="s">
        <v>206</v>
      </c>
      <c r="NH1" s="6" t="s">
        <v>380</v>
      </c>
      <c r="NI1" s="6" t="s">
        <v>544</v>
      </c>
      <c r="NJ1" s="6" t="s">
        <v>577</v>
      </c>
      <c r="NK1" s="6" t="s">
        <v>207</v>
      </c>
      <c r="NL1" s="6" t="s">
        <v>310</v>
      </c>
      <c r="NM1" s="6" t="s">
        <v>208</v>
      </c>
      <c r="NN1" s="6" t="s">
        <v>209</v>
      </c>
      <c r="NO1" s="6" t="s">
        <v>210</v>
      </c>
      <c r="NP1" s="6" t="s">
        <v>282</v>
      </c>
      <c r="NQ1" s="6" t="s">
        <v>395</v>
      </c>
      <c r="NR1" s="6" t="s">
        <v>244</v>
      </c>
      <c r="NS1" s="6" t="s">
        <v>573</v>
      </c>
      <c r="NT1" s="6" t="s">
        <v>211</v>
      </c>
      <c r="NU1" s="6" t="s">
        <v>351</v>
      </c>
      <c r="NV1" s="6" t="s">
        <v>515</v>
      </c>
      <c r="NW1" s="6" t="s">
        <v>459</v>
      </c>
      <c r="NX1" s="6" t="s">
        <v>212</v>
      </c>
      <c r="NY1" s="6" t="s">
        <v>591</v>
      </c>
      <c r="NZ1" s="6" t="s">
        <v>283</v>
      </c>
      <c r="OA1" s="6" t="s">
        <v>388</v>
      </c>
      <c r="OB1" s="6" t="s">
        <v>213</v>
      </c>
      <c r="OC1" s="6" t="s">
        <v>214</v>
      </c>
      <c r="OD1" s="6" t="s">
        <v>555</v>
      </c>
      <c r="OE1" s="6" t="s">
        <v>407</v>
      </c>
      <c r="OF1" s="6" t="s">
        <v>215</v>
      </c>
      <c r="OG1" s="6" t="s">
        <v>293</v>
      </c>
      <c r="OH1" s="6" t="s">
        <v>520</v>
      </c>
      <c r="OI1" s="6" t="s">
        <v>216</v>
      </c>
      <c r="OJ1" s="6" t="s">
        <v>435</v>
      </c>
      <c r="OK1" s="6" t="s">
        <v>218</v>
      </c>
      <c r="OL1" s="6" t="s">
        <v>245</v>
      </c>
      <c r="OM1" s="6" t="s">
        <v>306</v>
      </c>
      <c r="ON1" s="6" t="s">
        <v>217</v>
      </c>
      <c r="OO1" s="6" t="s">
        <v>408</v>
      </c>
      <c r="OP1" s="6" t="s">
        <v>559</v>
      </c>
      <c r="OQ1" s="6" t="s">
        <v>219</v>
      </c>
      <c r="OR1" s="17"/>
      <c r="OS1" s="5" t="s">
        <v>596</v>
      </c>
      <c r="OT1" s="5" t="s">
        <v>597</v>
      </c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</row>
    <row r="2" spans="1:427" x14ac:dyDescent="0.3">
      <c r="A2" s="10" t="s">
        <v>614</v>
      </c>
      <c r="B2">
        <v>1</v>
      </c>
      <c r="C2">
        <v>0</v>
      </c>
      <c r="D2" s="1">
        <v>0</v>
      </c>
      <c r="E2">
        <v>3</v>
      </c>
      <c r="F2" s="1">
        <v>1</v>
      </c>
      <c r="G2" s="1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 s="1">
        <v>1</v>
      </c>
      <c r="R2">
        <v>1</v>
      </c>
      <c r="S2">
        <v>0</v>
      </c>
      <c r="T2">
        <v>0</v>
      </c>
      <c r="U2">
        <v>0</v>
      </c>
      <c r="V2" s="1">
        <v>1</v>
      </c>
      <c r="W2" s="1">
        <v>0</v>
      </c>
      <c r="X2">
        <v>0</v>
      </c>
      <c r="Y2">
        <v>0</v>
      </c>
      <c r="Z2">
        <v>1</v>
      </c>
      <c r="AA2" s="1">
        <v>1</v>
      </c>
      <c r="AB2" s="1">
        <v>1</v>
      </c>
      <c r="AC2">
        <v>1</v>
      </c>
      <c r="AD2" s="1">
        <v>1</v>
      </c>
      <c r="AE2">
        <v>1</v>
      </c>
      <c r="AF2">
        <v>1</v>
      </c>
      <c r="AG2">
        <v>0</v>
      </c>
      <c r="AH2">
        <v>0</v>
      </c>
      <c r="AI2" s="1">
        <v>1</v>
      </c>
      <c r="AJ2" s="1">
        <v>2</v>
      </c>
      <c r="AK2" s="1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 s="1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 s="1">
        <v>1</v>
      </c>
      <c r="BT2">
        <v>0</v>
      </c>
      <c r="BU2" s="4">
        <v>0</v>
      </c>
      <c r="BV2">
        <v>0</v>
      </c>
      <c r="BW2">
        <v>0</v>
      </c>
      <c r="BX2">
        <v>0</v>
      </c>
      <c r="BY2">
        <v>3</v>
      </c>
      <c r="BZ2">
        <v>0</v>
      </c>
      <c r="CA2" s="4">
        <v>0</v>
      </c>
      <c r="CB2">
        <v>1</v>
      </c>
      <c r="CC2">
        <v>1</v>
      </c>
      <c r="CD2">
        <v>0</v>
      </c>
      <c r="CE2">
        <v>0</v>
      </c>
      <c r="CF2">
        <v>1</v>
      </c>
      <c r="CG2" s="4">
        <v>0</v>
      </c>
      <c r="CH2" s="4">
        <v>0</v>
      </c>
      <c r="CI2">
        <v>1</v>
      </c>
      <c r="CJ2">
        <v>0</v>
      </c>
      <c r="CK2">
        <v>0</v>
      </c>
      <c r="CL2">
        <v>0</v>
      </c>
      <c r="CM2">
        <v>1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 s="1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 s="4">
        <v>0</v>
      </c>
      <c r="DP2">
        <v>0</v>
      </c>
      <c r="DQ2">
        <v>0</v>
      </c>
      <c r="DR2" s="1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 s="4">
        <v>0</v>
      </c>
      <c r="EJ2">
        <v>0</v>
      </c>
      <c r="EK2">
        <v>0</v>
      </c>
      <c r="EL2" s="4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 s="1">
        <v>1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 s="4">
        <v>0</v>
      </c>
      <c r="FS2" s="1">
        <v>1</v>
      </c>
      <c r="FT2">
        <v>1</v>
      </c>
      <c r="FU2">
        <v>0</v>
      </c>
      <c r="FV2">
        <v>1</v>
      </c>
      <c r="FW2">
        <v>1</v>
      </c>
      <c r="FX2" s="4">
        <v>0</v>
      </c>
      <c r="FY2">
        <v>0</v>
      </c>
      <c r="FZ2">
        <v>0</v>
      </c>
      <c r="GA2">
        <v>0</v>
      </c>
      <c r="GB2">
        <v>0</v>
      </c>
      <c r="GC2">
        <v>1</v>
      </c>
      <c r="GD2" s="4">
        <v>0</v>
      </c>
      <c r="GE2">
        <v>0</v>
      </c>
      <c r="GF2">
        <v>0</v>
      </c>
      <c r="GG2">
        <v>0</v>
      </c>
      <c r="GH2">
        <v>1</v>
      </c>
      <c r="GI2">
        <v>1</v>
      </c>
      <c r="GJ2">
        <v>0</v>
      </c>
      <c r="GK2">
        <v>1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 s="1">
        <v>1</v>
      </c>
      <c r="GS2">
        <v>1</v>
      </c>
      <c r="GT2">
        <v>1</v>
      </c>
      <c r="GU2">
        <v>1</v>
      </c>
      <c r="GV2">
        <v>1</v>
      </c>
      <c r="GW2">
        <v>0</v>
      </c>
      <c r="GX2" s="1">
        <v>1</v>
      </c>
      <c r="GY2">
        <v>1</v>
      </c>
      <c r="GZ2">
        <v>0</v>
      </c>
      <c r="HA2">
        <v>0</v>
      </c>
      <c r="HB2">
        <v>0</v>
      </c>
      <c r="HC2" s="4">
        <v>0</v>
      </c>
      <c r="HD2">
        <v>0</v>
      </c>
      <c r="HE2">
        <v>0</v>
      </c>
      <c r="HF2">
        <v>1</v>
      </c>
      <c r="HG2">
        <v>1</v>
      </c>
      <c r="HH2" s="4">
        <v>0</v>
      </c>
      <c r="HI2">
        <v>0</v>
      </c>
      <c r="HJ2">
        <v>0</v>
      </c>
      <c r="HK2">
        <v>0</v>
      </c>
      <c r="HL2">
        <v>1</v>
      </c>
      <c r="HM2">
        <v>1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 s="1">
        <v>1</v>
      </c>
      <c r="HV2">
        <v>1</v>
      </c>
      <c r="HW2">
        <v>1</v>
      </c>
      <c r="HX2">
        <v>0</v>
      </c>
      <c r="HY2">
        <v>1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 s="4">
        <v>0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 s="4">
        <v>0</v>
      </c>
      <c r="IS2">
        <v>1</v>
      </c>
      <c r="IT2">
        <v>1</v>
      </c>
      <c r="IU2">
        <v>0</v>
      </c>
      <c r="IV2">
        <v>0</v>
      </c>
      <c r="IW2">
        <v>0</v>
      </c>
      <c r="IX2">
        <v>1</v>
      </c>
      <c r="IY2">
        <v>1</v>
      </c>
      <c r="IZ2">
        <v>0</v>
      </c>
      <c r="JA2">
        <v>0</v>
      </c>
      <c r="JB2">
        <v>1</v>
      </c>
      <c r="JC2">
        <v>0</v>
      </c>
      <c r="JD2">
        <v>1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 s="4">
        <v>0</v>
      </c>
      <c r="JL2">
        <v>1</v>
      </c>
      <c r="JM2" s="4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1</v>
      </c>
      <c r="JV2">
        <v>1</v>
      </c>
      <c r="JW2">
        <v>1</v>
      </c>
      <c r="JX2">
        <v>0</v>
      </c>
      <c r="JY2">
        <v>1</v>
      </c>
      <c r="JZ2">
        <v>0</v>
      </c>
      <c r="KA2" s="4">
        <v>0</v>
      </c>
      <c r="KB2" s="4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1</v>
      </c>
      <c r="KI2" s="1">
        <v>1</v>
      </c>
      <c r="KJ2">
        <v>0</v>
      </c>
      <c r="KK2">
        <v>1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1</v>
      </c>
      <c r="KU2">
        <v>0</v>
      </c>
      <c r="KV2" s="4">
        <v>0</v>
      </c>
      <c r="KW2">
        <v>0</v>
      </c>
      <c r="KX2">
        <v>1</v>
      </c>
      <c r="KY2" s="4">
        <v>0</v>
      </c>
      <c r="KZ2">
        <v>0</v>
      </c>
      <c r="LA2">
        <v>0</v>
      </c>
      <c r="LB2">
        <v>1</v>
      </c>
      <c r="LC2" s="4">
        <v>0</v>
      </c>
      <c r="LD2">
        <v>1</v>
      </c>
      <c r="LE2">
        <v>0</v>
      </c>
      <c r="LF2">
        <v>1</v>
      </c>
      <c r="LG2">
        <v>0</v>
      </c>
      <c r="LH2">
        <v>0</v>
      </c>
      <c r="LI2">
        <v>1</v>
      </c>
      <c r="LJ2" s="1">
        <v>4</v>
      </c>
      <c r="LK2">
        <v>0</v>
      </c>
      <c r="LL2">
        <v>1</v>
      </c>
      <c r="LM2" s="4">
        <v>0</v>
      </c>
      <c r="LN2">
        <v>0</v>
      </c>
      <c r="LO2">
        <v>2</v>
      </c>
      <c r="LP2">
        <v>0</v>
      </c>
      <c r="LQ2">
        <v>1</v>
      </c>
      <c r="LR2" s="1">
        <v>1</v>
      </c>
      <c r="LS2">
        <v>0</v>
      </c>
      <c r="LT2">
        <v>0</v>
      </c>
      <c r="LU2" s="1">
        <v>1</v>
      </c>
      <c r="LV2">
        <v>0</v>
      </c>
      <c r="LW2">
        <v>0</v>
      </c>
      <c r="LX2">
        <v>1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1</v>
      </c>
      <c r="MF2">
        <v>0</v>
      </c>
      <c r="MG2">
        <v>2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 s="1">
        <v>1</v>
      </c>
      <c r="MO2">
        <v>1</v>
      </c>
      <c r="MP2">
        <v>1</v>
      </c>
      <c r="MQ2">
        <v>0</v>
      </c>
      <c r="MR2">
        <v>1</v>
      </c>
      <c r="MS2">
        <v>1</v>
      </c>
      <c r="MT2" s="4">
        <v>0</v>
      </c>
      <c r="MU2" s="1">
        <v>1</v>
      </c>
      <c r="MV2">
        <v>0</v>
      </c>
      <c r="MW2">
        <v>0</v>
      </c>
      <c r="MX2">
        <v>0</v>
      </c>
      <c r="MY2">
        <v>1</v>
      </c>
      <c r="MZ2">
        <v>1</v>
      </c>
      <c r="NA2">
        <v>0</v>
      </c>
      <c r="NB2" s="4">
        <v>0</v>
      </c>
      <c r="NC2">
        <v>0</v>
      </c>
      <c r="ND2">
        <v>0</v>
      </c>
      <c r="NE2" s="1">
        <v>1</v>
      </c>
      <c r="NF2">
        <v>1</v>
      </c>
      <c r="NG2">
        <v>1</v>
      </c>
      <c r="NH2">
        <v>0</v>
      </c>
      <c r="NI2">
        <v>0</v>
      </c>
      <c r="NJ2" s="4">
        <v>0</v>
      </c>
      <c r="NK2">
        <v>0</v>
      </c>
      <c r="NL2">
        <v>0</v>
      </c>
      <c r="NM2">
        <v>1</v>
      </c>
      <c r="NN2" s="1">
        <v>1</v>
      </c>
      <c r="NO2">
        <v>1</v>
      </c>
      <c r="NP2">
        <v>0</v>
      </c>
      <c r="NQ2">
        <v>0</v>
      </c>
      <c r="NR2">
        <v>0</v>
      </c>
      <c r="NS2" s="4">
        <v>0</v>
      </c>
      <c r="NT2">
        <v>1</v>
      </c>
      <c r="NU2">
        <v>0</v>
      </c>
      <c r="NV2">
        <v>0</v>
      </c>
      <c r="NW2">
        <v>0</v>
      </c>
      <c r="NX2">
        <v>1</v>
      </c>
      <c r="NY2" s="4">
        <v>0</v>
      </c>
      <c r="NZ2">
        <v>0</v>
      </c>
      <c r="OA2">
        <v>0</v>
      </c>
      <c r="OB2">
        <v>1</v>
      </c>
      <c r="OC2">
        <v>1</v>
      </c>
      <c r="OD2" s="4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0</v>
      </c>
      <c r="OL2">
        <v>0</v>
      </c>
      <c r="OM2">
        <v>0</v>
      </c>
      <c r="ON2">
        <v>1</v>
      </c>
      <c r="OO2">
        <v>0</v>
      </c>
      <c r="OP2" s="4">
        <v>0</v>
      </c>
      <c r="OQ2">
        <v>1</v>
      </c>
      <c r="OS2">
        <f>406-COUNTIF(B2:OQ2,0)</f>
        <v>136</v>
      </c>
      <c r="OT2">
        <f>SUM(B2:OQ2)</f>
        <v>147</v>
      </c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</row>
    <row r="3" spans="1:427" x14ac:dyDescent="0.3">
      <c r="A3" s="10" t="s">
        <v>615</v>
      </c>
      <c r="B3">
        <v>1</v>
      </c>
      <c r="C3">
        <v>0</v>
      </c>
      <c r="D3" s="1">
        <v>0</v>
      </c>
      <c r="E3">
        <v>1</v>
      </c>
      <c r="F3" s="1">
        <v>1</v>
      </c>
      <c r="G3" s="1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 s="1">
        <v>1</v>
      </c>
      <c r="R3">
        <v>1</v>
      </c>
      <c r="S3">
        <v>1</v>
      </c>
      <c r="T3">
        <v>0</v>
      </c>
      <c r="U3">
        <v>0</v>
      </c>
      <c r="V3" s="1">
        <v>1</v>
      </c>
      <c r="W3" s="1">
        <v>0</v>
      </c>
      <c r="X3">
        <v>0</v>
      </c>
      <c r="Y3">
        <v>0</v>
      </c>
      <c r="Z3">
        <v>0</v>
      </c>
      <c r="AA3" s="1">
        <v>1</v>
      </c>
      <c r="AB3" s="1">
        <v>1</v>
      </c>
      <c r="AC3">
        <v>0</v>
      </c>
      <c r="AD3" s="1">
        <v>1</v>
      </c>
      <c r="AE3">
        <v>1</v>
      </c>
      <c r="AF3">
        <v>1</v>
      </c>
      <c r="AG3">
        <v>1</v>
      </c>
      <c r="AH3">
        <v>0</v>
      </c>
      <c r="AI3" s="1">
        <v>1</v>
      </c>
      <c r="AJ3" s="1">
        <v>1</v>
      </c>
      <c r="AK3" s="1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 s="1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s="1">
        <v>1</v>
      </c>
      <c r="BT3">
        <v>0</v>
      </c>
      <c r="BU3" s="4">
        <v>0</v>
      </c>
      <c r="BV3">
        <v>0</v>
      </c>
      <c r="BW3">
        <v>0</v>
      </c>
      <c r="BX3">
        <v>0</v>
      </c>
      <c r="BY3">
        <v>4</v>
      </c>
      <c r="BZ3">
        <v>0</v>
      </c>
      <c r="CA3" s="4">
        <v>0</v>
      </c>
      <c r="CB3">
        <v>0</v>
      </c>
      <c r="CC3">
        <v>1</v>
      </c>
      <c r="CD3">
        <v>0</v>
      </c>
      <c r="CE3">
        <v>0</v>
      </c>
      <c r="CF3">
        <v>1</v>
      </c>
      <c r="CG3" s="4">
        <v>0</v>
      </c>
      <c r="CH3" s="4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 s="1">
        <v>1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 s="4">
        <v>0</v>
      </c>
      <c r="DP3">
        <v>0</v>
      </c>
      <c r="DQ3">
        <v>0</v>
      </c>
      <c r="DR3" s="1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 s="4">
        <v>0</v>
      </c>
      <c r="EJ3">
        <v>0</v>
      </c>
      <c r="EK3">
        <v>0</v>
      </c>
      <c r="EL3" s="4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 s="1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 s="4">
        <v>0</v>
      </c>
      <c r="FS3" s="1">
        <v>1</v>
      </c>
      <c r="FT3">
        <v>0</v>
      </c>
      <c r="FU3">
        <v>0</v>
      </c>
      <c r="FV3">
        <v>1</v>
      </c>
      <c r="FW3">
        <v>0</v>
      </c>
      <c r="FX3" s="4">
        <v>0</v>
      </c>
      <c r="FY3">
        <v>0</v>
      </c>
      <c r="FZ3">
        <v>0</v>
      </c>
      <c r="GA3">
        <v>0</v>
      </c>
      <c r="GB3">
        <v>1</v>
      </c>
      <c r="GC3">
        <v>1</v>
      </c>
      <c r="GD3" s="4">
        <v>0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 s="1">
        <v>1</v>
      </c>
      <c r="GS3">
        <v>0</v>
      </c>
      <c r="GT3">
        <v>0</v>
      </c>
      <c r="GU3">
        <v>0</v>
      </c>
      <c r="GV3">
        <v>1</v>
      </c>
      <c r="GW3">
        <v>0</v>
      </c>
      <c r="GX3" s="1">
        <v>1</v>
      </c>
      <c r="GY3">
        <v>0</v>
      </c>
      <c r="GZ3">
        <v>0</v>
      </c>
      <c r="HA3">
        <v>0</v>
      </c>
      <c r="HB3">
        <v>0</v>
      </c>
      <c r="HC3" s="4">
        <v>0</v>
      </c>
      <c r="HD3">
        <v>0</v>
      </c>
      <c r="HE3">
        <v>0</v>
      </c>
      <c r="HF3">
        <v>1</v>
      </c>
      <c r="HG3">
        <v>0</v>
      </c>
      <c r="HH3" s="4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 s="1">
        <v>1</v>
      </c>
      <c r="HV3">
        <v>1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 s="4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1</v>
      </c>
      <c r="IR3" s="4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1</v>
      </c>
      <c r="JJ3">
        <v>0</v>
      </c>
      <c r="JK3" s="4">
        <v>0</v>
      </c>
      <c r="JL3">
        <v>1</v>
      </c>
      <c r="JM3" s="4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0</v>
      </c>
      <c r="JW3">
        <v>1</v>
      </c>
      <c r="JX3">
        <v>1</v>
      </c>
      <c r="JY3">
        <v>0</v>
      </c>
      <c r="JZ3">
        <v>0</v>
      </c>
      <c r="KA3" s="4">
        <v>0</v>
      </c>
      <c r="KB3" s="4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 s="1">
        <v>1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0</v>
      </c>
      <c r="KT3">
        <v>0</v>
      </c>
      <c r="KU3">
        <v>0</v>
      </c>
      <c r="KV3" s="4">
        <v>0</v>
      </c>
      <c r="KW3">
        <v>0</v>
      </c>
      <c r="KX3">
        <v>1</v>
      </c>
      <c r="KY3" s="4">
        <v>0</v>
      </c>
      <c r="KZ3">
        <v>0</v>
      </c>
      <c r="LA3">
        <v>0</v>
      </c>
      <c r="LB3">
        <v>0</v>
      </c>
      <c r="LC3" s="4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 s="1">
        <v>1</v>
      </c>
      <c r="LK3">
        <v>0</v>
      </c>
      <c r="LL3">
        <v>0</v>
      </c>
      <c r="LM3" s="4">
        <v>0</v>
      </c>
      <c r="LN3">
        <v>0</v>
      </c>
      <c r="LO3">
        <v>0</v>
      </c>
      <c r="LP3">
        <v>0</v>
      </c>
      <c r="LQ3">
        <v>1</v>
      </c>
      <c r="LR3" s="1">
        <v>1</v>
      </c>
      <c r="LS3">
        <v>0</v>
      </c>
      <c r="LT3">
        <v>0</v>
      </c>
      <c r="LU3" s="1">
        <v>1</v>
      </c>
      <c r="LV3">
        <v>0</v>
      </c>
      <c r="LW3">
        <v>0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1</v>
      </c>
      <c r="MF3">
        <v>0</v>
      </c>
      <c r="MG3">
        <v>1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 s="1">
        <v>1</v>
      </c>
      <c r="MO3">
        <v>0</v>
      </c>
      <c r="MP3">
        <v>0</v>
      </c>
      <c r="MQ3">
        <v>0</v>
      </c>
      <c r="MR3">
        <v>1</v>
      </c>
      <c r="MS3">
        <v>0</v>
      </c>
      <c r="MT3" s="4">
        <v>0</v>
      </c>
      <c r="MU3" s="1">
        <v>1</v>
      </c>
      <c r="MV3">
        <v>0</v>
      </c>
      <c r="MW3">
        <v>0</v>
      </c>
      <c r="MX3">
        <v>1</v>
      </c>
      <c r="MY3">
        <v>1</v>
      </c>
      <c r="MZ3">
        <v>0</v>
      </c>
      <c r="NA3">
        <v>0</v>
      </c>
      <c r="NB3" s="4">
        <v>0</v>
      </c>
      <c r="NC3">
        <v>0</v>
      </c>
      <c r="ND3">
        <v>0</v>
      </c>
      <c r="NE3" s="1">
        <v>1</v>
      </c>
      <c r="NF3">
        <v>0</v>
      </c>
      <c r="NG3">
        <v>0</v>
      </c>
      <c r="NH3">
        <v>0</v>
      </c>
      <c r="NI3">
        <v>0</v>
      </c>
      <c r="NJ3" s="4">
        <v>0</v>
      </c>
      <c r="NK3">
        <v>1</v>
      </c>
      <c r="NL3">
        <v>0</v>
      </c>
      <c r="NM3">
        <v>2</v>
      </c>
      <c r="NN3" s="1">
        <v>1</v>
      </c>
      <c r="NO3">
        <v>1</v>
      </c>
      <c r="NP3">
        <v>0</v>
      </c>
      <c r="NQ3">
        <v>0</v>
      </c>
      <c r="NR3">
        <v>0</v>
      </c>
      <c r="NS3" s="4">
        <v>0</v>
      </c>
      <c r="NT3">
        <v>0</v>
      </c>
      <c r="NU3">
        <v>0</v>
      </c>
      <c r="NV3">
        <v>0</v>
      </c>
      <c r="NW3">
        <v>0</v>
      </c>
      <c r="NX3">
        <v>0</v>
      </c>
      <c r="NY3" s="4">
        <v>0</v>
      </c>
      <c r="NZ3">
        <v>0</v>
      </c>
      <c r="OA3">
        <v>0</v>
      </c>
      <c r="OB3">
        <v>1</v>
      </c>
      <c r="OC3">
        <v>0</v>
      </c>
      <c r="OD3" s="4">
        <v>0</v>
      </c>
      <c r="OE3">
        <v>0</v>
      </c>
      <c r="OF3">
        <v>1</v>
      </c>
      <c r="OG3">
        <v>0</v>
      </c>
      <c r="OH3">
        <v>0</v>
      </c>
      <c r="OI3">
        <v>1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 s="4">
        <v>0</v>
      </c>
      <c r="OQ3">
        <v>1</v>
      </c>
      <c r="OS3" s="4">
        <f t="shared" ref="OS3:OS66" si="0">406-COUNTIF(B3:OQ3,0)</f>
        <v>101</v>
      </c>
      <c r="OT3" s="4">
        <f t="shared" ref="OT3:OT66" si="1">SUM(B3:OQ3)</f>
        <v>105</v>
      </c>
    </row>
    <row r="4" spans="1:427" x14ac:dyDescent="0.3">
      <c r="A4" s="10" t="s">
        <v>616</v>
      </c>
      <c r="B4">
        <v>1</v>
      </c>
      <c r="C4">
        <v>0</v>
      </c>
      <c r="D4" s="1">
        <v>0</v>
      </c>
      <c r="E4">
        <v>0</v>
      </c>
      <c r="F4" s="1">
        <v>1</v>
      </c>
      <c r="G4" s="1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 s="1">
        <v>1</v>
      </c>
      <c r="R4">
        <v>0</v>
      </c>
      <c r="S4">
        <v>0</v>
      </c>
      <c r="T4">
        <v>0</v>
      </c>
      <c r="U4">
        <v>0</v>
      </c>
      <c r="V4" s="1">
        <v>1</v>
      </c>
      <c r="W4" s="1">
        <v>0</v>
      </c>
      <c r="X4">
        <v>0</v>
      </c>
      <c r="Y4">
        <v>0</v>
      </c>
      <c r="Z4">
        <v>0</v>
      </c>
      <c r="AA4" s="1">
        <v>1</v>
      </c>
      <c r="AB4" s="1">
        <v>1</v>
      </c>
      <c r="AC4">
        <v>0</v>
      </c>
      <c r="AD4" s="1">
        <v>1</v>
      </c>
      <c r="AE4">
        <v>0</v>
      </c>
      <c r="AF4">
        <v>0</v>
      </c>
      <c r="AG4">
        <v>0</v>
      </c>
      <c r="AH4">
        <v>1</v>
      </c>
      <c r="AI4" s="1">
        <v>1</v>
      </c>
      <c r="AJ4" s="1">
        <v>1</v>
      </c>
      <c r="AK4" s="1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 s="1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s="1">
        <v>1</v>
      </c>
      <c r="BT4">
        <v>0</v>
      </c>
      <c r="BU4" s="4">
        <v>0</v>
      </c>
      <c r="BV4">
        <v>0</v>
      </c>
      <c r="BW4">
        <v>0</v>
      </c>
      <c r="BX4">
        <v>0</v>
      </c>
      <c r="BY4">
        <v>5</v>
      </c>
      <c r="BZ4">
        <v>0</v>
      </c>
      <c r="CA4" s="4">
        <v>0</v>
      </c>
      <c r="CB4">
        <v>1</v>
      </c>
      <c r="CC4">
        <v>0</v>
      </c>
      <c r="CD4">
        <v>0</v>
      </c>
      <c r="CE4">
        <v>0</v>
      </c>
      <c r="CF4">
        <v>0</v>
      </c>
      <c r="CG4" s="4">
        <v>0</v>
      </c>
      <c r="CH4" s="4">
        <v>0</v>
      </c>
      <c r="CI4">
        <v>0</v>
      </c>
      <c r="CJ4">
        <v>1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 s="1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 s="4">
        <v>0</v>
      </c>
      <c r="DP4">
        <v>0</v>
      </c>
      <c r="DQ4">
        <v>0</v>
      </c>
      <c r="DR4" s="1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2</v>
      </c>
      <c r="EE4">
        <v>0</v>
      </c>
      <c r="EF4">
        <v>0</v>
      </c>
      <c r="EG4">
        <v>0</v>
      </c>
      <c r="EH4">
        <v>0</v>
      </c>
      <c r="EI4" s="4">
        <v>0</v>
      </c>
      <c r="EJ4">
        <v>0</v>
      </c>
      <c r="EK4">
        <v>0</v>
      </c>
      <c r="EL4" s="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 s="1">
        <v>1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 s="4">
        <v>0</v>
      </c>
      <c r="FS4" s="1">
        <v>1</v>
      </c>
      <c r="FT4">
        <v>0</v>
      </c>
      <c r="FU4">
        <v>0</v>
      </c>
      <c r="FV4">
        <v>1</v>
      </c>
      <c r="FW4">
        <v>1</v>
      </c>
      <c r="FX4" s="4">
        <v>0</v>
      </c>
      <c r="FY4">
        <v>0</v>
      </c>
      <c r="FZ4">
        <v>0</v>
      </c>
      <c r="GA4">
        <v>0</v>
      </c>
      <c r="GB4">
        <v>1</v>
      </c>
      <c r="GC4">
        <v>0</v>
      </c>
      <c r="GD4" s="4">
        <v>0</v>
      </c>
      <c r="GE4">
        <v>0</v>
      </c>
      <c r="GF4">
        <v>0</v>
      </c>
      <c r="GG4">
        <v>0</v>
      </c>
      <c r="GH4">
        <v>1</v>
      </c>
      <c r="GI4">
        <v>1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 s="1">
        <v>1</v>
      </c>
      <c r="GS4">
        <v>0</v>
      </c>
      <c r="GT4">
        <v>1</v>
      </c>
      <c r="GU4">
        <v>1</v>
      </c>
      <c r="GV4">
        <v>1</v>
      </c>
      <c r="GW4">
        <v>0</v>
      </c>
      <c r="GX4" s="1">
        <v>1</v>
      </c>
      <c r="GY4">
        <v>1</v>
      </c>
      <c r="GZ4">
        <v>0</v>
      </c>
      <c r="HA4">
        <v>0</v>
      </c>
      <c r="HB4">
        <v>0</v>
      </c>
      <c r="HC4" s="4">
        <v>0</v>
      </c>
      <c r="HD4">
        <v>0</v>
      </c>
      <c r="HE4">
        <v>0</v>
      </c>
      <c r="HF4">
        <v>0</v>
      </c>
      <c r="HG4">
        <v>0</v>
      </c>
      <c r="HH4" s="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 s="1">
        <v>1</v>
      </c>
      <c r="HV4">
        <v>1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1</v>
      </c>
      <c r="IH4">
        <v>0</v>
      </c>
      <c r="II4" s="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1</v>
      </c>
      <c r="IQ4">
        <v>1</v>
      </c>
      <c r="IR4" s="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1</v>
      </c>
      <c r="JK4" s="4">
        <v>0</v>
      </c>
      <c r="JL4">
        <v>0</v>
      </c>
      <c r="JM4" s="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0</v>
      </c>
      <c r="JU4">
        <v>1</v>
      </c>
      <c r="JV4">
        <v>0</v>
      </c>
      <c r="JW4">
        <v>1</v>
      </c>
      <c r="JX4">
        <v>0</v>
      </c>
      <c r="JY4">
        <v>0</v>
      </c>
      <c r="JZ4">
        <v>0</v>
      </c>
      <c r="KA4" s="4">
        <v>0</v>
      </c>
      <c r="KB4" s="4">
        <v>0</v>
      </c>
      <c r="KC4">
        <v>0</v>
      </c>
      <c r="KD4">
        <v>0</v>
      </c>
      <c r="KE4">
        <v>1</v>
      </c>
      <c r="KF4">
        <v>0</v>
      </c>
      <c r="KG4">
        <v>0</v>
      </c>
      <c r="KH4">
        <v>1</v>
      </c>
      <c r="KI4" s="1">
        <v>1</v>
      </c>
      <c r="KJ4">
        <v>0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 s="4">
        <v>0</v>
      </c>
      <c r="KW4">
        <v>0</v>
      </c>
      <c r="KX4">
        <v>1</v>
      </c>
      <c r="KY4" s="4">
        <v>0</v>
      </c>
      <c r="KZ4">
        <v>0</v>
      </c>
      <c r="LA4">
        <v>0</v>
      </c>
      <c r="LB4">
        <v>0</v>
      </c>
      <c r="LC4" s="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 s="1">
        <v>1</v>
      </c>
      <c r="LK4">
        <v>0</v>
      </c>
      <c r="LL4">
        <v>0</v>
      </c>
      <c r="LM4" s="4">
        <v>0</v>
      </c>
      <c r="LN4">
        <v>0</v>
      </c>
      <c r="LO4">
        <v>5</v>
      </c>
      <c r="LP4">
        <v>0</v>
      </c>
      <c r="LQ4">
        <v>1</v>
      </c>
      <c r="LR4" s="1">
        <v>1</v>
      </c>
      <c r="LS4">
        <v>0</v>
      </c>
      <c r="LT4">
        <v>0</v>
      </c>
      <c r="LU4" s="1">
        <v>1</v>
      </c>
      <c r="LV4">
        <v>0</v>
      </c>
      <c r="LW4">
        <v>0</v>
      </c>
      <c r="LX4">
        <v>0</v>
      </c>
      <c r="LY4">
        <v>1</v>
      </c>
      <c r="LZ4">
        <v>0</v>
      </c>
      <c r="MA4">
        <v>1</v>
      </c>
      <c r="MB4">
        <v>1</v>
      </c>
      <c r="MC4">
        <v>0</v>
      </c>
      <c r="MD4">
        <v>0</v>
      </c>
      <c r="ME4">
        <v>1</v>
      </c>
      <c r="MF4">
        <v>0</v>
      </c>
      <c r="MG4">
        <v>1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 s="1">
        <v>1</v>
      </c>
      <c r="MO4">
        <v>0</v>
      </c>
      <c r="MP4">
        <v>0</v>
      </c>
      <c r="MQ4">
        <v>0</v>
      </c>
      <c r="MR4">
        <v>1</v>
      </c>
      <c r="MS4">
        <v>0</v>
      </c>
      <c r="MT4" s="4">
        <v>0</v>
      </c>
      <c r="MU4" s="1">
        <v>1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 s="4">
        <v>0</v>
      </c>
      <c r="NC4">
        <v>0</v>
      </c>
      <c r="ND4">
        <v>0</v>
      </c>
      <c r="NE4" s="1">
        <v>1</v>
      </c>
      <c r="NF4">
        <v>0</v>
      </c>
      <c r="NG4">
        <v>0</v>
      </c>
      <c r="NH4">
        <v>0</v>
      </c>
      <c r="NI4">
        <v>0</v>
      </c>
      <c r="NJ4" s="4">
        <v>0</v>
      </c>
      <c r="NK4">
        <v>0</v>
      </c>
      <c r="NL4">
        <v>0</v>
      </c>
      <c r="NM4">
        <v>0</v>
      </c>
      <c r="NN4" s="1">
        <v>1</v>
      </c>
      <c r="NO4">
        <v>1</v>
      </c>
      <c r="NP4">
        <v>0</v>
      </c>
      <c r="NQ4">
        <v>0</v>
      </c>
      <c r="NR4">
        <v>1</v>
      </c>
      <c r="NS4" s="4">
        <v>0</v>
      </c>
      <c r="NT4">
        <v>0</v>
      </c>
      <c r="NU4">
        <v>0</v>
      </c>
      <c r="NV4">
        <v>0</v>
      </c>
      <c r="NW4">
        <v>0</v>
      </c>
      <c r="NX4">
        <v>0</v>
      </c>
      <c r="NY4" s="4">
        <v>0</v>
      </c>
      <c r="NZ4">
        <v>0</v>
      </c>
      <c r="OA4">
        <v>0</v>
      </c>
      <c r="OB4">
        <v>1</v>
      </c>
      <c r="OC4">
        <v>1</v>
      </c>
      <c r="OD4" s="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1</v>
      </c>
      <c r="OM4">
        <v>0</v>
      </c>
      <c r="ON4">
        <v>1</v>
      </c>
      <c r="OO4">
        <v>0</v>
      </c>
      <c r="OP4" s="4">
        <v>0</v>
      </c>
      <c r="OQ4">
        <v>1</v>
      </c>
      <c r="OS4" s="4">
        <f t="shared" si="0"/>
        <v>96</v>
      </c>
      <c r="OT4" s="4">
        <f t="shared" si="1"/>
        <v>106</v>
      </c>
    </row>
    <row r="5" spans="1:427" x14ac:dyDescent="0.3">
      <c r="A5" s="10" t="s">
        <v>617</v>
      </c>
      <c r="B5">
        <v>1</v>
      </c>
      <c r="C5">
        <v>0</v>
      </c>
      <c r="D5" s="1">
        <v>0</v>
      </c>
      <c r="E5">
        <v>0</v>
      </c>
      <c r="F5" s="1">
        <v>1</v>
      </c>
      <c r="G5" s="1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 s="1">
        <v>1</v>
      </c>
      <c r="R5">
        <v>1</v>
      </c>
      <c r="S5">
        <v>0</v>
      </c>
      <c r="T5">
        <v>1</v>
      </c>
      <c r="U5">
        <v>0</v>
      </c>
      <c r="V5" s="1">
        <v>1</v>
      </c>
      <c r="W5" s="1">
        <v>0</v>
      </c>
      <c r="X5">
        <v>1</v>
      </c>
      <c r="Y5">
        <v>0</v>
      </c>
      <c r="Z5">
        <v>1</v>
      </c>
      <c r="AA5" s="1">
        <v>1</v>
      </c>
      <c r="AB5" s="1">
        <v>1</v>
      </c>
      <c r="AC5">
        <v>0</v>
      </c>
      <c r="AD5" s="1">
        <v>1</v>
      </c>
      <c r="AE5">
        <v>1</v>
      </c>
      <c r="AF5">
        <v>1</v>
      </c>
      <c r="AG5">
        <v>0</v>
      </c>
      <c r="AH5">
        <v>1</v>
      </c>
      <c r="AI5" s="1">
        <v>1</v>
      </c>
      <c r="AJ5" s="1">
        <v>1</v>
      </c>
      <c r="AK5" s="1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 s="1">
        <v>1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 s="1">
        <v>1</v>
      </c>
      <c r="BT5">
        <v>0</v>
      </c>
      <c r="BU5" s="4">
        <v>0</v>
      </c>
      <c r="BV5">
        <v>0</v>
      </c>
      <c r="BW5">
        <v>0</v>
      </c>
      <c r="BX5">
        <v>0</v>
      </c>
      <c r="BY5">
        <v>0</v>
      </c>
      <c r="BZ5">
        <v>0</v>
      </c>
      <c r="CA5" s="4">
        <v>0</v>
      </c>
      <c r="CB5">
        <v>1</v>
      </c>
      <c r="CC5">
        <v>1</v>
      </c>
      <c r="CD5">
        <v>0</v>
      </c>
      <c r="CE5">
        <v>0</v>
      </c>
      <c r="CF5">
        <v>1</v>
      </c>
      <c r="CG5" s="4">
        <v>0</v>
      </c>
      <c r="CH5" s="4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 s="1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 s="4">
        <v>0</v>
      </c>
      <c r="DP5">
        <v>0</v>
      </c>
      <c r="DQ5">
        <v>0</v>
      </c>
      <c r="DR5" s="1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1</v>
      </c>
      <c r="EF5">
        <v>1</v>
      </c>
      <c r="EG5">
        <v>0</v>
      </c>
      <c r="EH5">
        <v>1</v>
      </c>
      <c r="EI5" s="4">
        <v>0</v>
      </c>
      <c r="EJ5">
        <v>0</v>
      </c>
      <c r="EK5">
        <v>0</v>
      </c>
      <c r="EL5" s="4">
        <v>0</v>
      </c>
      <c r="EM5">
        <v>1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0</v>
      </c>
      <c r="FF5">
        <v>1</v>
      </c>
      <c r="FG5">
        <v>0</v>
      </c>
      <c r="FH5" s="1">
        <v>1</v>
      </c>
      <c r="FI5">
        <v>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 s="4">
        <v>0</v>
      </c>
      <c r="FS5" s="1">
        <v>1</v>
      </c>
      <c r="FT5">
        <v>0</v>
      </c>
      <c r="FU5">
        <v>0</v>
      </c>
      <c r="FV5">
        <v>1</v>
      </c>
      <c r="FW5">
        <v>0</v>
      </c>
      <c r="FX5" s="4">
        <v>0</v>
      </c>
      <c r="FY5">
        <v>0</v>
      </c>
      <c r="FZ5">
        <v>0</v>
      </c>
      <c r="GA5">
        <v>0</v>
      </c>
      <c r="GB5">
        <v>0</v>
      </c>
      <c r="GC5">
        <v>0</v>
      </c>
      <c r="GD5" s="4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1</v>
      </c>
      <c r="GK5">
        <v>0</v>
      </c>
      <c r="GL5">
        <v>0</v>
      </c>
      <c r="GM5">
        <v>0</v>
      </c>
      <c r="GN5">
        <v>1</v>
      </c>
      <c r="GO5">
        <v>0</v>
      </c>
      <c r="GP5">
        <v>1</v>
      </c>
      <c r="GQ5">
        <v>0</v>
      </c>
      <c r="GR5" s="1">
        <v>1</v>
      </c>
      <c r="GS5">
        <v>0</v>
      </c>
      <c r="GT5">
        <v>0</v>
      </c>
      <c r="GU5">
        <v>0</v>
      </c>
      <c r="GV5">
        <v>1</v>
      </c>
      <c r="GW5">
        <v>1</v>
      </c>
      <c r="GX5" s="1">
        <v>1</v>
      </c>
      <c r="GY5">
        <v>0</v>
      </c>
      <c r="GZ5">
        <v>1</v>
      </c>
      <c r="HA5">
        <v>0</v>
      </c>
      <c r="HB5">
        <v>0</v>
      </c>
      <c r="HC5" s="4">
        <v>0</v>
      </c>
      <c r="HD5">
        <v>0</v>
      </c>
      <c r="HE5">
        <v>0</v>
      </c>
      <c r="HF5">
        <v>1</v>
      </c>
      <c r="HG5">
        <v>0</v>
      </c>
      <c r="HH5" s="4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 s="1">
        <v>1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 s="4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 s="4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 s="4">
        <v>0</v>
      </c>
      <c r="JL5">
        <v>0</v>
      </c>
      <c r="JM5" s="4">
        <v>0</v>
      </c>
      <c r="JN5">
        <v>1</v>
      </c>
      <c r="JO5">
        <v>0</v>
      </c>
      <c r="JP5">
        <v>6</v>
      </c>
      <c r="JQ5">
        <v>0</v>
      </c>
      <c r="JR5">
        <v>0</v>
      </c>
      <c r="JS5">
        <v>1</v>
      </c>
      <c r="JT5">
        <v>0</v>
      </c>
      <c r="JU5">
        <v>1</v>
      </c>
      <c r="JV5">
        <v>0</v>
      </c>
      <c r="JW5">
        <v>1</v>
      </c>
      <c r="JX5">
        <v>0</v>
      </c>
      <c r="JY5">
        <v>0</v>
      </c>
      <c r="JZ5">
        <v>0</v>
      </c>
      <c r="KA5" s="4">
        <v>0</v>
      </c>
      <c r="KB5" s="4">
        <v>0</v>
      </c>
      <c r="KC5">
        <v>0</v>
      </c>
      <c r="KD5">
        <v>0</v>
      </c>
      <c r="KE5">
        <v>0</v>
      </c>
      <c r="KF5">
        <v>1</v>
      </c>
      <c r="KG5">
        <v>0</v>
      </c>
      <c r="KH5">
        <v>1</v>
      </c>
      <c r="KI5" s="1">
        <v>1</v>
      </c>
      <c r="KJ5">
        <v>0</v>
      </c>
      <c r="KK5">
        <v>2</v>
      </c>
      <c r="KL5">
        <v>1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0</v>
      </c>
      <c r="KT5">
        <v>0</v>
      </c>
      <c r="KU5">
        <v>0</v>
      </c>
      <c r="KV5" s="4">
        <v>0</v>
      </c>
      <c r="KW5">
        <v>0</v>
      </c>
      <c r="KX5">
        <v>1</v>
      </c>
      <c r="KY5" s="4">
        <v>0</v>
      </c>
      <c r="KZ5">
        <v>0</v>
      </c>
      <c r="LA5">
        <v>0</v>
      </c>
      <c r="LB5">
        <v>0</v>
      </c>
      <c r="LC5" s="4">
        <v>0</v>
      </c>
      <c r="LD5">
        <v>1</v>
      </c>
      <c r="LE5">
        <v>0</v>
      </c>
      <c r="LF5">
        <v>1</v>
      </c>
      <c r="LG5">
        <v>0</v>
      </c>
      <c r="LH5">
        <v>0</v>
      </c>
      <c r="LI5">
        <v>1</v>
      </c>
      <c r="LJ5" s="1">
        <v>1</v>
      </c>
      <c r="LK5">
        <v>0</v>
      </c>
      <c r="LL5">
        <v>0</v>
      </c>
      <c r="LM5" s="4">
        <v>0</v>
      </c>
      <c r="LN5">
        <v>1</v>
      </c>
      <c r="LO5">
        <v>9</v>
      </c>
      <c r="LP5">
        <v>0</v>
      </c>
      <c r="LQ5">
        <v>1</v>
      </c>
      <c r="LR5" s="1">
        <v>1</v>
      </c>
      <c r="LS5">
        <v>0</v>
      </c>
      <c r="LT5">
        <v>0</v>
      </c>
      <c r="LU5" s="1">
        <v>1</v>
      </c>
      <c r="LV5">
        <v>1</v>
      </c>
      <c r="LW5">
        <v>0</v>
      </c>
      <c r="LX5">
        <v>1</v>
      </c>
      <c r="LY5">
        <v>0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1</v>
      </c>
      <c r="MG5">
        <v>1</v>
      </c>
      <c r="MH5">
        <v>0</v>
      </c>
      <c r="MI5">
        <v>0</v>
      </c>
      <c r="MJ5">
        <v>0</v>
      </c>
      <c r="MK5">
        <v>0</v>
      </c>
      <c r="ML5">
        <v>2</v>
      </c>
      <c r="MM5">
        <v>0</v>
      </c>
      <c r="MN5" s="1">
        <v>1</v>
      </c>
      <c r="MO5">
        <v>0</v>
      </c>
      <c r="MP5">
        <v>0</v>
      </c>
      <c r="MQ5">
        <v>0</v>
      </c>
      <c r="MR5">
        <v>1</v>
      </c>
      <c r="MS5">
        <v>1</v>
      </c>
      <c r="MT5" s="4">
        <v>0</v>
      </c>
      <c r="MU5" s="1">
        <v>1</v>
      </c>
      <c r="MV5">
        <v>0</v>
      </c>
      <c r="MW5">
        <v>0</v>
      </c>
      <c r="MX5">
        <v>0</v>
      </c>
      <c r="MY5">
        <v>1</v>
      </c>
      <c r="MZ5">
        <v>0</v>
      </c>
      <c r="NA5">
        <v>0</v>
      </c>
      <c r="NB5" s="4">
        <v>0</v>
      </c>
      <c r="NC5">
        <v>0</v>
      </c>
      <c r="ND5">
        <v>0</v>
      </c>
      <c r="NE5" s="1">
        <v>1</v>
      </c>
      <c r="NF5">
        <v>1</v>
      </c>
      <c r="NG5">
        <v>0</v>
      </c>
      <c r="NH5">
        <v>0</v>
      </c>
      <c r="NI5">
        <v>0</v>
      </c>
      <c r="NJ5" s="4">
        <v>0</v>
      </c>
      <c r="NK5">
        <v>0</v>
      </c>
      <c r="NL5">
        <v>0</v>
      </c>
      <c r="NM5">
        <v>2</v>
      </c>
      <c r="NN5" s="1">
        <v>1</v>
      </c>
      <c r="NO5">
        <v>1</v>
      </c>
      <c r="NP5">
        <v>1</v>
      </c>
      <c r="NQ5">
        <v>0</v>
      </c>
      <c r="NR5">
        <v>0</v>
      </c>
      <c r="NS5" s="4">
        <v>0</v>
      </c>
      <c r="NT5">
        <v>0</v>
      </c>
      <c r="NU5">
        <v>0</v>
      </c>
      <c r="NV5">
        <v>0</v>
      </c>
      <c r="NW5">
        <v>0</v>
      </c>
      <c r="NX5">
        <v>0</v>
      </c>
      <c r="NY5" s="4">
        <v>0</v>
      </c>
      <c r="NZ5">
        <v>1</v>
      </c>
      <c r="OA5">
        <v>0</v>
      </c>
      <c r="OB5">
        <v>1</v>
      </c>
      <c r="OC5">
        <v>1</v>
      </c>
      <c r="OD5" s="4">
        <v>0</v>
      </c>
      <c r="OE5">
        <v>0</v>
      </c>
      <c r="OF5">
        <v>0</v>
      </c>
      <c r="OG5">
        <v>0</v>
      </c>
      <c r="OH5">
        <v>0</v>
      </c>
      <c r="OI5">
        <v>1</v>
      </c>
      <c r="OJ5">
        <v>0</v>
      </c>
      <c r="OK5">
        <v>1</v>
      </c>
      <c r="OL5">
        <v>0</v>
      </c>
      <c r="OM5">
        <v>0</v>
      </c>
      <c r="ON5">
        <v>0</v>
      </c>
      <c r="OO5">
        <v>0</v>
      </c>
      <c r="OP5" s="4">
        <v>0</v>
      </c>
      <c r="OQ5">
        <v>1</v>
      </c>
      <c r="OS5" s="4">
        <f t="shared" si="0"/>
        <v>126</v>
      </c>
      <c r="OT5" s="4">
        <f t="shared" si="1"/>
        <v>142</v>
      </c>
    </row>
    <row r="6" spans="1:427" x14ac:dyDescent="0.3">
      <c r="A6" s="10" t="s">
        <v>618</v>
      </c>
      <c r="B6">
        <v>0</v>
      </c>
      <c r="C6">
        <v>0</v>
      </c>
      <c r="D6" s="1">
        <v>0</v>
      </c>
      <c r="E6">
        <v>1</v>
      </c>
      <c r="F6" s="1">
        <v>1</v>
      </c>
      <c r="G6" s="1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 s="1">
        <v>1</v>
      </c>
      <c r="R6">
        <v>1</v>
      </c>
      <c r="S6">
        <v>0</v>
      </c>
      <c r="T6">
        <v>0</v>
      </c>
      <c r="U6">
        <v>0</v>
      </c>
      <c r="V6" s="1">
        <v>1</v>
      </c>
      <c r="W6" s="1">
        <v>0</v>
      </c>
      <c r="X6">
        <v>1</v>
      </c>
      <c r="Y6">
        <v>0</v>
      </c>
      <c r="Z6">
        <v>0</v>
      </c>
      <c r="AA6" s="1">
        <v>1</v>
      </c>
      <c r="AB6" s="1">
        <v>1</v>
      </c>
      <c r="AC6">
        <v>0</v>
      </c>
      <c r="AD6" s="1">
        <v>1</v>
      </c>
      <c r="AE6">
        <v>1</v>
      </c>
      <c r="AF6">
        <v>1</v>
      </c>
      <c r="AG6">
        <v>1</v>
      </c>
      <c r="AH6">
        <v>1</v>
      </c>
      <c r="AI6" s="1">
        <v>1</v>
      </c>
      <c r="AJ6" s="1">
        <v>1</v>
      </c>
      <c r="AK6" s="1">
        <v>1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0</v>
      </c>
      <c r="AT6">
        <v>0</v>
      </c>
      <c r="AU6" s="1">
        <v>1</v>
      </c>
      <c r="AV6">
        <v>1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 s="1">
        <v>1</v>
      </c>
      <c r="BT6">
        <v>0</v>
      </c>
      <c r="BU6" s="4">
        <v>0</v>
      </c>
      <c r="BV6">
        <v>0</v>
      </c>
      <c r="BW6">
        <v>0</v>
      </c>
      <c r="BX6">
        <v>0</v>
      </c>
      <c r="BY6">
        <v>2</v>
      </c>
      <c r="BZ6">
        <v>0</v>
      </c>
      <c r="CA6" s="4">
        <v>0</v>
      </c>
      <c r="CB6">
        <v>0</v>
      </c>
      <c r="CC6">
        <v>1</v>
      </c>
      <c r="CD6">
        <v>0</v>
      </c>
      <c r="CE6">
        <v>0</v>
      </c>
      <c r="CF6">
        <v>0</v>
      </c>
      <c r="CG6" s="4">
        <v>0</v>
      </c>
      <c r="CH6" s="4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 s="1">
        <v>1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 s="4">
        <v>0</v>
      </c>
      <c r="DP6">
        <v>0</v>
      </c>
      <c r="DQ6">
        <v>0</v>
      </c>
      <c r="DR6" s="1">
        <v>2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1</v>
      </c>
      <c r="EI6" s="4">
        <v>0</v>
      </c>
      <c r="EJ6">
        <v>0</v>
      </c>
      <c r="EK6">
        <v>0</v>
      </c>
      <c r="EL6" s="4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 s="1">
        <v>1</v>
      </c>
      <c r="FI6">
        <v>1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 s="4">
        <v>0</v>
      </c>
      <c r="FS6" s="1">
        <v>1</v>
      </c>
      <c r="FT6">
        <v>0</v>
      </c>
      <c r="FU6">
        <v>0</v>
      </c>
      <c r="FV6">
        <v>1</v>
      </c>
      <c r="FW6">
        <v>0</v>
      </c>
      <c r="FX6" s="4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4">
        <v>0</v>
      </c>
      <c r="GE6">
        <v>0</v>
      </c>
      <c r="GF6">
        <v>0</v>
      </c>
      <c r="GG6">
        <v>0</v>
      </c>
      <c r="GH6">
        <v>1</v>
      </c>
      <c r="GI6">
        <v>1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2</v>
      </c>
      <c r="GQ6">
        <v>0</v>
      </c>
      <c r="GR6" s="1">
        <v>1</v>
      </c>
      <c r="GS6">
        <v>1</v>
      </c>
      <c r="GT6">
        <v>0</v>
      </c>
      <c r="GU6">
        <v>0</v>
      </c>
      <c r="GV6">
        <v>0</v>
      </c>
      <c r="GW6">
        <v>0</v>
      </c>
      <c r="GX6" s="1">
        <v>1</v>
      </c>
      <c r="GY6">
        <v>0</v>
      </c>
      <c r="GZ6">
        <v>1</v>
      </c>
      <c r="HA6">
        <v>0</v>
      </c>
      <c r="HB6">
        <v>0</v>
      </c>
      <c r="HC6" s="4">
        <v>0</v>
      </c>
      <c r="HD6">
        <v>0</v>
      </c>
      <c r="HE6">
        <v>0</v>
      </c>
      <c r="HF6">
        <v>0</v>
      </c>
      <c r="HG6">
        <v>0</v>
      </c>
      <c r="HH6" s="4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1</v>
      </c>
      <c r="HU6" s="1">
        <v>1</v>
      </c>
      <c r="HV6">
        <v>1</v>
      </c>
      <c r="HW6">
        <v>1</v>
      </c>
      <c r="HX6">
        <v>0</v>
      </c>
      <c r="HY6">
        <v>0</v>
      </c>
      <c r="HZ6">
        <v>1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 s="4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1</v>
      </c>
      <c r="IQ6">
        <v>1</v>
      </c>
      <c r="IR6" s="4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1</v>
      </c>
      <c r="JK6" s="4">
        <v>0</v>
      </c>
      <c r="JL6">
        <v>1</v>
      </c>
      <c r="JM6" s="4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1</v>
      </c>
      <c r="JY6">
        <v>0</v>
      </c>
      <c r="JZ6">
        <v>0</v>
      </c>
      <c r="KA6" s="4">
        <v>0</v>
      </c>
      <c r="KB6" s="4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 s="1">
        <v>1</v>
      </c>
      <c r="KJ6">
        <v>0</v>
      </c>
      <c r="KK6">
        <v>2</v>
      </c>
      <c r="KL6">
        <v>2</v>
      </c>
      <c r="KM6">
        <v>1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1</v>
      </c>
      <c r="KU6">
        <v>0</v>
      </c>
      <c r="KV6" s="4">
        <v>0</v>
      </c>
      <c r="KW6">
        <v>0</v>
      </c>
      <c r="KX6">
        <v>2</v>
      </c>
      <c r="KY6" s="4">
        <v>0</v>
      </c>
      <c r="KZ6">
        <v>0</v>
      </c>
      <c r="LA6">
        <v>0</v>
      </c>
      <c r="LB6">
        <v>0</v>
      </c>
      <c r="LC6" s="4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1</v>
      </c>
      <c r="LJ6" s="1">
        <v>1</v>
      </c>
      <c r="LK6">
        <v>0</v>
      </c>
      <c r="LL6">
        <v>0</v>
      </c>
      <c r="LM6" s="4">
        <v>0</v>
      </c>
      <c r="LN6">
        <v>0</v>
      </c>
      <c r="LO6">
        <v>0</v>
      </c>
      <c r="LP6">
        <v>0</v>
      </c>
      <c r="LQ6">
        <v>1</v>
      </c>
      <c r="LR6" s="1">
        <v>1</v>
      </c>
      <c r="LS6">
        <v>0</v>
      </c>
      <c r="LT6">
        <v>0</v>
      </c>
      <c r="LU6" s="1">
        <v>1</v>
      </c>
      <c r="LV6">
        <v>0</v>
      </c>
      <c r="LW6">
        <v>0</v>
      </c>
      <c r="LX6">
        <v>1</v>
      </c>
      <c r="LY6">
        <v>0</v>
      </c>
      <c r="LZ6">
        <v>0</v>
      </c>
      <c r="MA6">
        <v>1</v>
      </c>
      <c r="MB6">
        <v>0</v>
      </c>
      <c r="MC6">
        <v>0</v>
      </c>
      <c r="MD6">
        <v>0</v>
      </c>
      <c r="ME6">
        <v>1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 s="1">
        <v>1</v>
      </c>
      <c r="MO6">
        <v>1</v>
      </c>
      <c r="MP6">
        <v>0</v>
      </c>
      <c r="MQ6">
        <v>0</v>
      </c>
      <c r="MR6">
        <v>0</v>
      </c>
      <c r="MS6">
        <v>0</v>
      </c>
      <c r="MT6" s="4">
        <v>0</v>
      </c>
      <c r="MU6" s="1">
        <v>1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 s="4">
        <v>0</v>
      </c>
      <c r="NC6">
        <v>0</v>
      </c>
      <c r="ND6">
        <v>0</v>
      </c>
      <c r="NE6" s="1">
        <v>1</v>
      </c>
      <c r="NF6">
        <v>0</v>
      </c>
      <c r="NG6">
        <v>0</v>
      </c>
      <c r="NH6">
        <v>0</v>
      </c>
      <c r="NI6">
        <v>0</v>
      </c>
      <c r="NJ6" s="4">
        <v>0</v>
      </c>
      <c r="NK6">
        <v>0</v>
      </c>
      <c r="NL6">
        <v>0</v>
      </c>
      <c r="NM6">
        <v>0</v>
      </c>
      <c r="NN6" s="1">
        <v>1</v>
      </c>
      <c r="NO6">
        <v>1</v>
      </c>
      <c r="NP6">
        <v>0</v>
      </c>
      <c r="NQ6">
        <v>0</v>
      </c>
      <c r="NR6">
        <v>1</v>
      </c>
      <c r="NS6" s="4">
        <v>0</v>
      </c>
      <c r="NT6">
        <v>0</v>
      </c>
      <c r="NU6">
        <v>0</v>
      </c>
      <c r="NV6">
        <v>0</v>
      </c>
      <c r="NW6">
        <v>0</v>
      </c>
      <c r="NX6">
        <v>1</v>
      </c>
      <c r="NY6" s="4">
        <v>0</v>
      </c>
      <c r="NZ6">
        <v>0</v>
      </c>
      <c r="OA6">
        <v>0</v>
      </c>
      <c r="OB6">
        <v>0</v>
      </c>
      <c r="OC6">
        <v>0</v>
      </c>
      <c r="OD6" s="4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1</v>
      </c>
      <c r="OM6">
        <v>1</v>
      </c>
      <c r="ON6">
        <v>0</v>
      </c>
      <c r="OO6">
        <v>0</v>
      </c>
      <c r="OP6" s="4">
        <v>0</v>
      </c>
      <c r="OQ6">
        <v>0</v>
      </c>
      <c r="OS6" s="4">
        <f t="shared" si="0"/>
        <v>105</v>
      </c>
      <c r="OT6" s="4">
        <f t="shared" si="1"/>
        <v>111</v>
      </c>
    </row>
    <row r="7" spans="1:427" x14ac:dyDescent="0.3">
      <c r="A7" s="10" t="s">
        <v>619</v>
      </c>
      <c r="B7">
        <v>2</v>
      </c>
      <c r="C7">
        <v>1</v>
      </c>
      <c r="D7" s="1">
        <v>0</v>
      </c>
      <c r="E7">
        <v>0</v>
      </c>
      <c r="F7" s="1">
        <v>1</v>
      </c>
      <c r="G7" s="1">
        <v>2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  <c r="Q7" s="1">
        <v>1</v>
      </c>
      <c r="R7">
        <v>1</v>
      </c>
      <c r="S7">
        <v>0</v>
      </c>
      <c r="T7">
        <v>0</v>
      </c>
      <c r="U7">
        <v>0</v>
      </c>
      <c r="V7" s="1">
        <v>1</v>
      </c>
      <c r="W7" s="1">
        <v>0</v>
      </c>
      <c r="X7">
        <v>0</v>
      </c>
      <c r="Y7">
        <v>0</v>
      </c>
      <c r="Z7">
        <v>1</v>
      </c>
      <c r="AA7" s="1">
        <v>2</v>
      </c>
      <c r="AB7" s="1">
        <v>1</v>
      </c>
      <c r="AC7">
        <v>1</v>
      </c>
      <c r="AD7" s="1">
        <v>1</v>
      </c>
      <c r="AE7">
        <v>1</v>
      </c>
      <c r="AF7">
        <v>1</v>
      </c>
      <c r="AG7">
        <v>1</v>
      </c>
      <c r="AH7">
        <v>1</v>
      </c>
      <c r="AI7" s="1">
        <v>1</v>
      </c>
      <c r="AJ7" s="1">
        <v>1</v>
      </c>
      <c r="AK7" s="1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 s="1">
        <v>1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 s="1">
        <v>1</v>
      </c>
      <c r="BT7">
        <v>0</v>
      </c>
      <c r="BU7" s="4">
        <v>0</v>
      </c>
      <c r="BV7">
        <v>0</v>
      </c>
      <c r="BW7">
        <v>0</v>
      </c>
      <c r="BX7">
        <v>0</v>
      </c>
      <c r="BY7">
        <v>5</v>
      </c>
      <c r="BZ7">
        <v>0</v>
      </c>
      <c r="CA7" s="4">
        <v>0</v>
      </c>
      <c r="CB7">
        <v>0</v>
      </c>
      <c r="CC7">
        <v>0</v>
      </c>
      <c r="CD7">
        <v>0</v>
      </c>
      <c r="CE7">
        <v>0</v>
      </c>
      <c r="CF7">
        <v>0</v>
      </c>
      <c r="CG7" s="4">
        <v>0</v>
      </c>
      <c r="CH7" s="4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 s="1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 s="4">
        <v>0</v>
      </c>
      <c r="DP7">
        <v>0</v>
      </c>
      <c r="DQ7">
        <v>0</v>
      </c>
      <c r="DR7" s="1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 s="4">
        <v>0</v>
      </c>
      <c r="EJ7">
        <v>0</v>
      </c>
      <c r="EK7">
        <v>0</v>
      </c>
      <c r="EL7" s="4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 s="1">
        <v>1</v>
      </c>
      <c r="FI7">
        <v>1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 s="4">
        <v>0</v>
      </c>
      <c r="FS7" s="1">
        <v>1</v>
      </c>
      <c r="FT7">
        <v>0</v>
      </c>
      <c r="FU7">
        <v>0</v>
      </c>
      <c r="FV7">
        <v>1</v>
      </c>
      <c r="FW7">
        <v>0</v>
      </c>
      <c r="FX7" s="4">
        <v>0</v>
      </c>
      <c r="FY7">
        <v>0</v>
      </c>
      <c r="FZ7">
        <v>0</v>
      </c>
      <c r="GA7">
        <v>0</v>
      </c>
      <c r="GB7">
        <v>0</v>
      </c>
      <c r="GC7">
        <v>1</v>
      </c>
      <c r="GD7" s="4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</v>
      </c>
      <c r="GL7">
        <v>0</v>
      </c>
      <c r="GM7">
        <v>1</v>
      </c>
      <c r="GN7">
        <v>1</v>
      </c>
      <c r="GO7">
        <v>0</v>
      </c>
      <c r="GP7">
        <v>0</v>
      </c>
      <c r="GQ7">
        <v>0</v>
      </c>
      <c r="GR7" s="1">
        <v>1</v>
      </c>
      <c r="GS7">
        <v>1</v>
      </c>
      <c r="GT7">
        <v>0</v>
      </c>
      <c r="GU7">
        <v>0</v>
      </c>
      <c r="GV7">
        <v>1</v>
      </c>
      <c r="GW7">
        <v>0</v>
      </c>
      <c r="GX7" s="1">
        <v>1</v>
      </c>
      <c r="GY7">
        <v>0</v>
      </c>
      <c r="GZ7">
        <v>1</v>
      </c>
      <c r="HA7">
        <v>0</v>
      </c>
      <c r="HB7">
        <v>0</v>
      </c>
      <c r="HC7" s="4">
        <v>0</v>
      </c>
      <c r="HD7">
        <v>0</v>
      </c>
      <c r="HE7">
        <v>0</v>
      </c>
      <c r="HF7">
        <v>0</v>
      </c>
      <c r="HG7">
        <v>0</v>
      </c>
      <c r="HH7" s="4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 s="1">
        <v>1</v>
      </c>
      <c r="HV7">
        <v>1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0</v>
      </c>
      <c r="II7" s="4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 s="4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0</v>
      </c>
      <c r="JK7" s="4">
        <v>0</v>
      </c>
      <c r="JL7">
        <v>0</v>
      </c>
      <c r="JM7" s="4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1</v>
      </c>
      <c r="JV7">
        <v>0</v>
      </c>
      <c r="JW7">
        <v>0</v>
      </c>
      <c r="JX7">
        <v>0</v>
      </c>
      <c r="JY7">
        <v>0</v>
      </c>
      <c r="JZ7">
        <v>0</v>
      </c>
      <c r="KA7" s="4">
        <v>0</v>
      </c>
      <c r="KB7" s="4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 s="1">
        <v>1</v>
      </c>
      <c r="KJ7">
        <v>0</v>
      </c>
      <c r="KK7">
        <v>0</v>
      </c>
      <c r="KL7">
        <v>0</v>
      </c>
      <c r="KM7">
        <v>1</v>
      </c>
      <c r="KN7">
        <v>0</v>
      </c>
      <c r="KO7">
        <v>0</v>
      </c>
      <c r="KP7">
        <v>0</v>
      </c>
      <c r="KQ7">
        <v>1</v>
      </c>
      <c r="KR7">
        <v>0</v>
      </c>
      <c r="KS7">
        <v>0</v>
      </c>
      <c r="KT7">
        <v>0</v>
      </c>
      <c r="KU7">
        <v>0</v>
      </c>
      <c r="KV7" s="4">
        <v>0</v>
      </c>
      <c r="KW7">
        <v>0</v>
      </c>
      <c r="KX7">
        <v>1</v>
      </c>
      <c r="KY7" s="4">
        <v>0</v>
      </c>
      <c r="KZ7">
        <v>0</v>
      </c>
      <c r="LA7">
        <v>1</v>
      </c>
      <c r="LB7">
        <v>0</v>
      </c>
      <c r="LC7" s="4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 s="1">
        <v>1</v>
      </c>
      <c r="LK7">
        <v>0</v>
      </c>
      <c r="LL7">
        <v>0</v>
      </c>
      <c r="LM7" s="4">
        <v>0</v>
      </c>
      <c r="LN7">
        <v>0</v>
      </c>
      <c r="LO7">
        <v>0</v>
      </c>
      <c r="LP7">
        <v>0</v>
      </c>
      <c r="LQ7">
        <v>1</v>
      </c>
      <c r="LR7" s="1">
        <v>1</v>
      </c>
      <c r="LS7">
        <v>0</v>
      </c>
      <c r="LT7">
        <v>0</v>
      </c>
      <c r="LU7" s="1">
        <v>1</v>
      </c>
      <c r="LV7">
        <v>0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1</v>
      </c>
      <c r="MF7">
        <v>0</v>
      </c>
      <c r="MG7">
        <v>1</v>
      </c>
      <c r="MH7">
        <v>0</v>
      </c>
      <c r="MI7">
        <v>0</v>
      </c>
      <c r="MJ7">
        <v>0</v>
      </c>
      <c r="MK7">
        <v>0</v>
      </c>
      <c r="ML7">
        <v>1</v>
      </c>
      <c r="MM7">
        <v>0</v>
      </c>
      <c r="MN7" s="1">
        <v>1</v>
      </c>
      <c r="MO7">
        <v>0</v>
      </c>
      <c r="MP7">
        <v>0</v>
      </c>
      <c r="MQ7">
        <v>0</v>
      </c>
      <c r="MR7">
        <v>0</v>
      </c>
      <c r="MS7">
        <v>0</v>
      </c>
      <c r="MT7" s="4">
        <v>0</v>
      </c>
      <c r="MU7" s="1">
        <v>1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 s="4">
        <v>0</v>
      </c>
      <c r="NC7">
        <v>0</v>
      </c>
      <c r="ND7">
        <v>0</v>
      </c>
      <c r="NE7" s="1">
        <v>2</v>
      </c>
      <c r="NF7">
        <v>0</v>
      </c>
      <c r="NG7">
        <v>0</v>
      </c>
      <c r="NH7">
        <v>0</v>
      </c>
      <c r="NI7">
        <v>0</v>
      </c>
      <c r="NJ7" s="4">
        <v>0</v>
      </c>
      <c r="NK7">
        <v>0</v>
      </c>
      <c r="NL7">
        <v>0</v>
      </c>
      <c r="NM7">
        <v>0</v>
      </c>
      <c r="NN7" s="1">
        <v>1</v>
      </c>
      <c r="NO7">
        <v>1</v>
      </c>
      <c r="NP7">
        <v>0</v>
      </c>
      <c r="NQ7">
        <v>0</v>
      </c>
      <c r="NR7">
        <v>1</v>
      </c>
      <c r="NS7" s="4">
        <v>0</v>
      </c>
      <c r="NT7">
        <v>0</v>
      </c>
      <c r="NU7">
        <v>0</v>
      </c>
      <c r="NV7">
        <v>0</v>
      </c>
      <c r="NW7">
        <v>0</v>
      </c>
      <c r="NX7">
        <v>1</v>
      </c>
      <c r="NY7" s="4">
        <v>0</v>
      </c>
      <c r="NZ7">
        <v>0</v>
      </c>
      <c r="OA7">
        <v>0</v>
      </c>
      <c r="OB7">
        <v>0</v>
      </c>
      <c r="OC7">
        <v>0</v>
      </c>
      <c r="OD7" s="4">
        <v>0</v>
      </c>
      <c r="OE7">
        <v>0</v>
      </c>
      <c r="OF7">
        <v>0</v>
      </c>
      <c r="OG7">
        <v>1</v>
      </c>
      <c r="OH7">
        <v>0</v>
      </c>
      <c r="OI7">
        <v>1</v>
      </c>
      <c r="OJ7">
        <v>0</v>
      </c>
      <c r="OK7">
        <v>1</v>
      </c>
      <c r="OL7">
        <v>1</v>
      </c>
      <c r="OM7">
        <v>0</v>
      </c>
      <c r="ON7">
        <v>1</v>
      </c>
      <c r="OO7">
        <v>0</v>
      </c>
      <c r="OP7" s="4">
        <v>0</v>
      </c>
      <c r="OQ7">
        <v>1</v>
      </c>
      <c r="OS7" s="4">
        <f t="shared" si="0"/>
        <v>86</v>
      </c>
      <c r="OT7" s="4">
        <f t="shared" si="1"/>
        <v>94</v>
      </c>
    </row>
    <row r="8" spans="1:427" x14ac:dyDescent="0.3">
      <c r="A8" s="10" t="s">
        <v>620</v>
      </c>
      <c r="B8">
        <v>1</v>
      </c>
      <c r="C8">
        <v>0</v>
      </c>
      <c r="D8" s="1">
        <v>0</v>
      </c>
      <c r="E8">
        <v>0</v>
      </c>
      <c r="F8" s="1">
        <v>1</v>
      </c>
      <c r="G8" s="1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 s="1">
        <v>1</v>
      </c>
      <c r="R8">
        <v>1</v>
      </c>
      <c r="S8">
        <v>1</v>
      </c>
      <c r="T8">
        <v>0</v>
      </c>
      <c r="U8">
        <v>0</v>
      </c>
      <c r="V8" s="1">
        <v>1</v>
      </c>
      <c r="W8" s="1">
        <v>0</v>
      </c>
      <c r="X8">
        <v>1</v>
      </c>
      <c r="Y8">
        <v>0</v>
      </c>
      <c r="Z8">
        <v>1</v>
      </c>
      <c r="AA8" s="1">
        <v>1</v>
      </c>
      <c r="AB8" s="1">
        <v>1</v>
      </c>
      <c r="AC8">
        <v>1</v>
      </c>
      <c r="AD8" s="1">
        <v>1</v>
      </c>
      <c r="AE8">
        <v>1</v>
      </c>
      <c r="AF8">
        <v>0</v>
      </c>
      <c r="AG8">
        <v>1</v>
      </c>
      <c r="AH8">
        <v>0</v>
      </c>
      <c r="AI8" s="1">
        <v>1</v>
      </c>
      <c r="AJ8" s="1">
        <v>1</v>
      </c>
      <c r="AK8" s="1">
        <v>1</v>
      </c>
      <c r="AL8">
        <v>0</v>
      </c>
      <c r="AM8">
        <v>0</v>
      </c>
      <c r="AN8">
        <v>1</v>
      </c>
      <c r="AO8">
        <v>1</v>
      </c>
      <c r="AP8">
        <v>0</v>
      </c>
      <c r="AQ8">
        <v>1</v>
      </c>
      <c r="AR8">
        <v>1</v>
      </c>
      <c r="AS8">
        <v>0</v>
      </c>
      <c r="AT8">
        <v>0</v>
      </c>
      <c r="AU8" s="1">
        <v>1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s="1">
        <v>1</v>
      </c>
      <c r="BT8">
        <v>0</v>
      </c>
      <c r="BU8" s="4">
        <v>0</v>
      </c>
      <c r="BV8">
        <v>0</v>
      </c>
      <c r="BW8">
        <v>0</v>
      </c>
      <c r="BX8">
        <v>0</v>
      </c>
      <c r="BY8">
        <v>2</v>
      </c>
      <c r="BZ8">
        <v>0</v>
      </c>
      <c r="CA8" s="4">
        <v>0</v>
      </c>
      <c r="CB8">
        <v>0</v>
      </c>
      <c r="CC8">
        <v>1</v>
      </c>
      <c r="CD8">
        <v>0</v>
      </c>
      <c r="CE8">
        <v>0</v>
      </c>
      <c r="CF8">
        <v>0</v>
      </c>
      <c r="CG8" s="4">
        <v>0</v>
      </c>
      <c r="CH8" s="4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 s="1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 s="4">
        <v>0</v>
      </c>
      <c r="DP8">
        <v>0</v>
      </c>
      <c r="DQ8">
        <v>0</v>
      </c>
      <c r="DR8" s="1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 s="4">
        <v>0</v>
      </c>
      <c r="EJ8">
        <v>0</v>
      </c>
      <c r="EK8">
        <v>0</v>
      </c>
      <c r="EL8" s="4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 s="1">
        <v>1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 s="4">
        <v>0</v>
      </c>
      <c r="FS8" s="1">
        <v>1</v>
      </c>
      <c r="FT8">
        <v>0</v>
      </c>
      <c r="FU8">
        <v>0</v>
      </c>
      <c r="FV8">
        <v>1</v>
      </c>
      <c r="FW8">
        <v>0</v>
      </c>
      <c r="FX8" s="4">
        <v>0</v>
      </c>
      <c r="FY8">
        <v>0</v>
      </c>
      <c r="FZ8">
        <v>0</v>
      </c>
      <c r="GA8">
        <v>0</v>
      </c>
      <c r="GB8">
        <v>0</v>
      </c>
      <c r="GC8">
        <v>0</v>
      </c>
      <c r="GD8" s="4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1</v>
      </c>
      <c r="GO8">
        <v>0</v>
      </c>
      <c r="GP8">
        <v>0</v>
      </c>
      <c r="GQ8">
        <v>0</v>
      </c>
      <c r="GR8" s="1">
        <v>1</v>
      </c>
      <c r="GS8">
        <v>0</v>
      </c>
      <c r="GT8">
        <v>0</v>
      </c>
      <c r="GU8">
        <v>0</v>
      </c>
      <c r="GV8">
        <v>1</v>
      </c>
      <c r="GW8">
        <v>0</v>
      </c>
      <c r="GX8" s="1">
        <v>1</v>
      </c>
      <c r="GY8">
        <v>0</v>
      </c>
      <c r="GZ8">
        <v>1</v>
      </c>
      <c r="HA8">
        <v>0</v>
      </c>
      <c r="HB8">
        <v>0</v>
      </c>
      <c r="HC8" s="4">
        <v>0</v>
      </c>
      <c r="HD8">
        <v>0</v>
      </c>
      <c r="HE8">
        <v>0</v>
      </c>
      <c r="HF8">
        <v>0</v>
      </c>
      <c r="HG8">
        <v>0</v>
      </c>
      <c r="HH8" s="4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 s="1">
        <v>1</v>
      </c>
      <c r="HV8">
        <v>1</v>
      </c>
      <c r="HW8">
        <v>1</v>
      </c>
      <c r="HX8">
        <v>0</v>
      </c>
      <c r="HY8">
        <v>1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 s="4">
        <v>0</v>
      </c>
      <c r="IJ8">
        <v>1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1</v>
      </c>
      <c r="IR8" s="4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1</v>
      </c>
      <c r="IY8">
        <v>0</v>
      </c>
      <c r="IZ8">
        <v>0</v>
      </c>
      <c r="JA8">
        <v>0</v>
      </c>
      <c r="JB8">
        <v>1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 s="4">
        <v>0</v>
      </c>
      <c r="JL8">
        <v>0</v>
      </c>
      <c r="JM8" s="4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0</v>
      </c>
      <c r="JU8">
        <v>1</v>
      </c>
      <c r="JV8">
        <v>0</v>
      </c>
      <c r="JW8">
        <v>1</v>
      </c>
      <c r="JX8">
        <v>1</v>
      </c>
      <c r="JY8">
        <v>0</v>
      </c>
      <c r="JZ8">
        <v>0</v>
      </c>
      <c r="KA8" s="4">
        <v>0</v>
      </c>
      <c r="KB8" s="4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 s="1">
        <v>1</v>
      </c>
      <c r="KJ8">
        <v>0</v>
      </c>
      <c r="KK8">
        <v>0</v>
      </c>
      <c r="KL8">
        <v>0</v>
      </c>
      <c r="KM8">
        <v>1</v>
      </c>
      <c r="KN8">
        <v>0</v>
      </c>
      <c r="KO8">
        <v>0</v>
      </c>
      <c r="KP8">
        <v>0</v>
      </c>
      <c r="KQ8">
        <v>1</v>
      </c>
      <c r="KR8">
        <v>0</v>
      </c>
      <c r="KS8">
        <v>0</v>
      </c>
      <c r="KT8">
        <v>1</v>
      </c>
      <c r="KU8">
        <v>0</v>
      </c>
      <c r="KV8" s="4">
        <v>0</v>
      </c>
      <c r="KW8">
        <v>0</v>
      </c>
      <c r="KX8">
        <v>1</v>
      </c>
      <c r="KY8" s="4">
        <v>0</v>
      </c>
      <c r="KZ8">
        <v>0</v>
      </c>
      <c r="LA8">
        <v>0</v>
      </c>
      <c r="LB8">
        <v>0</v>
      </c>
      <c r="LC8" s="4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</v>
      </c>
      <c r="LJ8" s="1">
        <v>1</v>
      </c>
      <c r="LK8">
        <v>0</v>
      </c>
      <c r="LL8">
        <v>0</v>
      </c>
      <c r="LM8" s="4">
        <v>0</v>
      </c>
      <c r="LN8">
        <v>0</v>
      </c>
      <c r="LO8">
        <v>0</v>
      </c>
      <c r="LP8">
        <v>0</v>
      </c>
      <c r="LQ8">
        <v>0</v>
      </c>
      <c r="LR8" s="1">
        <v>1</v>
      </c>
      <c r="LS8">
        <v>0</v>
      </c>
      <c r="LT8">
        <v>0</v>
      </c>
      <c r="LU8" s="1">
        <v>1</v>
      </c>
      <c r="LV8">
        <v>0</v>
      </c>
      <c r="LW8">
        <v>0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</v>
      </c>
      <c r="MF8">
        <v>0</v>
      </c>
      <c r="MG8">
        <v>1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 s="1">
        <v>1</v>
      </c>
      <c r="MO8">
        <v>0</v>
      </c>
      <c r="MP8">
        <v>0</v>
      </c>
      <c r="MQ8">
        <v>0</v>
      </c>
      <c r="MR8">
        <v>1</v>
      </c>
      <c r="MS8">
        <v>0</v>
      </c>
      <c r="MT8" s="4">
        <v>0</v>
      </c>
      <c r="MU8" s="1">
        <v>1</v>
      </c>
      <c r="MV8">
        <v>0</v>
      </c>
      <c r="MW8">
        <v>0</v>
      </c>
      <c r="MX8">
        <v>1</v>
      </c>
      <c r="MY8">
        <v>0</v>
      </c>
      <c r="MZ8">
        <v>0</v>
      </c>
      <c r="NA8">
        <v>0</v>
      </c>
      <c r="NB8" s="4">
        <v>0</v>
      </c>
      <c r="NC8">
        <v>0</v>
      </c>
      <c r="ND8">
        <v>0</v>
      </c>
      <c r="NE8" s="1">
        <v>1</v>
      </c>
      <c r="NF8">
        <v>0</v>
      </c>
      <c r="NG8">
        <v>0</v>
      </c>
      <c r="NH8">
        <v>0</v>
      </c>
      <c r="NI8">
        <v>0</v>
      </c>
      <c r="NJ8" s="4">
        <v>0</v>
      </c>
      <c r="NK8">
        <v>0</v>
      </c>
      <c r="NL8">
        <v>0</v>
      </c>
      <c r="NM8">
        <v>0</v>
      </c>
      <c r="NN8" s="1">
        <v>1</v>
      </c>
      <c r="NO8">
        <v>1</v>
      </c>
      <c r="NP8">
        <v>0</v>
      </c>
      <c r="NQ8">
        <v>0</v>
      </c>
      <c r="NR8">
        <v>0</v>
      </c>
      <c r="NS8" s="4">
        <v>0</v>
      </c>
      <c r="NT8">
        <v>0</v>
      </c>
      <c r="NU8">
        <v>0</v>
      </c>
      <c r="NV8">
        <v>0</v>
      </c>
      <c r="NW8">
        <v>0</v>
      </c>
      <c r="NX8">
        <v>1</v>
      </c>
      <c r="NY8" s="4">
        <v>0</v>
      </c>
      <c r="NZ8">
        <v>0</v>
      </c>
      <c r="OA8">
        <v>0</v>
      </c>
      <c r="OB8">
        <v>0</v>
      </c>
      <c r="OC8">
        <v>0</v>
      </c>
      <c r="OD8" s="4">
        <v>0</v>
      </c>
      <c r="OE8">
        <v>0</v>
      </c>
      <c r="OF8">
        <v>0</v>
      </c>
      <c r="OG8">
        <v>0</v>
      </c>
      <c r="OH8">
        <v>0</v>
      </c>
      <c r="OI8">
        <v>1</v>
      </c>
      <c r="OJ8">
        <v>0</v>
      </c>
      <c r="OK8">
        <v>1</v>
      </c>
      <c r="OL8">
        <v>2</v>
      </c>
      <c r="OM8">
        <v>0</v>
      </c>
      <c r="ON8">
        <v>1</v>
      </c>
      <c r="OO8">
        <v>0</v>
      </c>
      <c r="OP8" s="4">
        <v>0</v>
      </c>
      <c r="OQ8">
        <v>1</v>
      </c>
      <c r="OS8" s="4">
        <f t="shared" si="0"/>
        <v>89</v>
      </c>
      <c r="OT8" s="4">
        <f t="shared" si="1"/>
        <v>92</v>
      </c>
    </row>
    <row r="9" spans="1:427" x14ac:dyDescent="0.3">
      <c r="A9" s="10" t="s">
        <v>621</v>
      </c>
      <c r="B9">
        <v>1</v>
      </c>
      <c r="C9">
        <v>0</v>
      </c>
      <c r="D9" s="1">
        <v>0</v>
      </c>
      <c r="E9">
        <v>1</v>
      </c>
      <c r="F9" s="1">
        <v>1</v>
      </c>
      <c r="G9" s="1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 s="1">
        <v>1</v>
      </c>
      <c r="R9">
        <v>1</v>
      </c>
      <c r="S9">
        <v>0</v>
      </c>
      <c r="T9">
        <v>0</v>
      </c>
      <c r="U9">
        <v>0</v>
      </c>
      <c r="V9" s="1">
        <v>1</v>
      </c>
      <c r="W9" s="1">
        <v>0</v>
      </c>
      <c r="X9">
        <v>1</v>
      </c>
      <c r="Y9">
        <v>1</v>
      </c>
      <c r="Z9">
        <v>0</v>
      </c>
      <c r="AA9" s="1">
        <v>1</v>
      </c>
      <c r="AB9" s="1">
        <v>1</v>
      </c>
      <c r="AC9">
        <v>0</v>
      </c>
      <c r="AD9" s="1">
        <v>1</v>
      </c>
      <c r="AE9">
        <v>1</v>
      </c>
      <c r="AF9">
        <v>1</v>
      </c>
      <c r="AG9">
        <v>0</v>
      </c>
      <c r="AH9">
        <v>1</v>
      </c>
      <c r="AI9" s="1">
        <v>1</v>
      </c>
      <c r="AJ9" s="1">
        <v>1</v>
      </c>
      <c r="AK9" s="1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1</v>
      </c>
      <c r="AR9">
        <v>1</v>
      </c>
      <c r="AS9">
        <v>0</v>
      </c>
      <c r="AT9">
        <v>0</v>
      </c>
      <c r="AU9" s="1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s="1">
        <v>1</v>
      </c>
      <c r="BT9">
        <v>0</v>
      </c>
      <c r="BU9" s="4">
        <v>0</v>
      </c>
      <c r="BV9">
        <v>0</v>
      </c>
      <c r="BW9">
        <v>0</v>
      </c>
      <c r="BX9">
        <v>0</v>
      </c>
      <c r="BY9">
        <v>5</v>
      </c>
      <c r="BZ9">
        <v>0</v>
      </c>
      <c r="CA9" s="4">
        <v>0</v>
      </c>
      <c r="CB9">
        <v>0</v>
      </c>
      <c r="CC9">
        <v>0</v>
      </c>
      <c r="CD9">
        <v>0</v>
      </c>
      <c r="CE9">
        <v>0</v>
      </c>
      <c r="CF9">
        <v>0</v>
      </c>
      <c r="CG9" s="4">
        <v>0</v>
      </c>
      <c r="CH9" s="4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 s="1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 s="4">
        <v>0</v>
      </c>
      <c r="DP9">
        <v>0</v>
      </c>
      <c r="DQ9">
        <v>0</v>
      </c>
      <c r="DR9" s="1">
        <v>1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s="4">
        <v>0</v>
      </c>
      <c r="EJ9">
        <v>0</v>
      </c>
      <c r="EK9">
        <v>0</v>
      </c>
      <c r="EL9" s="4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 s="1">
        <v>1</v>
      </c>
      <c r="FI9">
        <v>1</v>
      </c>
      <c r="FJ9">
        <v>0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 s="4">
        <v>0</v>
      </c>
      <c r="FS9" s="1">
        <v>1</v>
      </c>
      <c r="FT9">
        <v>0</v>
      </c>
      <c r="FU9">
        <v>0</v>
      </c>
      <c r="FV9">
        <v>1</v>
      </c>
      <c r="FW9">
        <v>0</v>
      </c>
      <c r="FX9" s="4">
        <v>0</v>
      </c>
      <c r="FY9">
        <v>0</v>
      </c>
      <c r="FZ9">
        <v>0</v>
      </c>
      <c r="GA9">
        <v>0</v>
      </c>
      <c r="GB9">
        <v>0</v>
      </c>
      <c r="GC9">
        <v>0</v>
      </c>
      <c r="GD9" s="4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0</v>
      </c>
      <c r="GK9">
        <v>0</v>
      </c>
      <c r="GL9">
        <v>0</v>
      </c>
      <c r="GM9">
        <v>1</v>
      </c>
      <c r="GN9">
        <v>1</v>
      </c>
      <c r="GO9">
        <v>0</v>
      </c>
      <c r="GP9">
        <v>0</v>
      </c>
      <c r="GQ9">
        <v>0</v>
      </c>
      <c r="GR9" s="1">
        <v>1</v>
      </c>
      <c r="GS9">
        <v>1</v>
      </c>
      <c r="GT9">
        <v>0</v>
      </c>
      <c r="GU9">
        <v>0</v>
      </c>
      <c r="GV9">
        <v>0</v>
      </c>
      <c r="GW9">
        <v>0</v>
      </c>
      <c r="GX9" s="1">
        <v>1</v>
      </c>
      <c r="GY9">
        <v>0</v>
      </c>
      <c r="GZ9">
        <v>1</v>
      </c>
      <c r="HA9">
        <v>0</v>
      </c>
      <c r="HB9">
        <v>0</v>
      </c>
      <c r="HC9" s="4">
        <v>0</v>
      </c>
      <c r="HD9">
        <v>0</v>
      </c>
      <c r="HE9">
        <v>0</v>
      </c>
      <c r="HF9">
        <v>0</v>
      </c>
      <c r="HG9">
        <v>0</v>
      </c>
      <c r="HH9" s="4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 s="1">
        <v>1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 s="4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 s="4">
        <v>0</v>
      </c>
      <c r="IS9">
        <v>0</v>
      </c>
      <c r="IT9">
        <v>0</v>
      </c>
      <c r="IU9">
        <v>1</v>
      </c>
      <c r="IV9">
        <v>0</v>
      </c>
      <c r="IW9">
        <v>0</v>
      </c>
      <c r="IX9">
        <v>1</v>
      </c>
      <c r="IY9">
        <v>0</v>
      </c>
      <c r="IZ9">
        <v>0</v>
      </c>
      <c r="JA9">
        <v>0</v>
      </c>
      <c r="JB9">
        <v>1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1</v>
      </c>
      <c r="JK9" s="4">
        <v>0</v>
      </c>
      <c r="JL9">
        <v>0</v>
      </c>
      <c r="JM9" s="4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1</v>
      </c>
      <c r="JX9">
        <v>0</v>
      </c>
      <c r="JY9">
        <v>0</v>
      </c>
      <c r="JZ9">
        <v>0</v>
      </c>
      <c r="KA9" s="4">
        <v>0</v>
      </c>
      <c r="KB9" s="4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 s="1">
        <v>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1</v>
      </c>
      <c r="KR9">
        <v>0</v>
      </c>
      <c r="KS9">
        <v>0</v>
      </c>
      <c r="KT9">
        <v>0</v>
      </c>
      <c r="KU9">
        <v>0</v>
      </c>
      <c r="KV9" s="4">
        <v>0</v>
      </c>
      <c r="KW9">
        <v>0</v>
      </c>
      <c r="KX9">
        <v>1</v>
      </c>
      <c r="KY9" s="4">
        <v>0</v>
      </c>
      <c r="KZ9">
        <v>0</v>
      </c>
      <c r="LA9">
        <v>0</v>
      </c>
      <c r="LB9">
        <v>0</v>
      </c>
      <c r="LC9" s="4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</v>
      </c>
      <c r="LJ9" s="1">
        <v>1</v>
      </c>
      <c r="LK9">
        <v>0</v>
      </c>
      <c r="LL9">
        <v>0</v>
      </c>
      <c r="LM9" s="4">
        <v>0</v>
      </c>
      <c r="LN9">
        <v>0</v>
      </c>
      <c r="LO9">
        <v>0</v>
      </c>
      <c r="LP9">
        <v>0</v>
      </c>
      <c r="LQ9">
        <v>1</v>
      </c>
      <c r="LR9" s="1">
        <v>1</v>
      </c>
      <c r="LS9">
        <v>0</v>
      </c>
      <c r="LT9">
        <v>0</v>
      </c>
      <c r="LU9" s="1">
        <v>1</v>
      </c>
      <c r="LV9">
        <v>0</v>
      </c>
      <c r="LW9">
        <v>0</v>
      </c>
      <c r="LX9">
        <v>1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1</v>
      </c>
      <c r="MF9">
        <v>0</v>
      </c>
      <c r="MG9">
        <v>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 s="1">
        <v>1</v>
      </c>
      <c r="MO9">
        <v>0</v>
      </c>
      <c r="MP9">
        <v>0</v>
      </c>
      <c r="MQ9">
        <v>0</v>
      </c>
      <c r="MR9">
        <v>0</v>
      </c>
      <c r="MS9">
        <v>0</v>
      </c>
      <c r="MT9" s="4">
        <v>0</v>
      </c>
      <c r="MU9" s="1">
        <v>1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 s="4">
        <v>0</v>
      </c>
      <c r="NC9">
        <v>0</v>
      </c>
      <c r="ND9">
        <v>0</v>
      </c>
      <c r="NE9" s="1">
        <v>1</v>
      </c>
      <c r="NF9">
        <v>0</v>
      </c>
      <c r="NG9">
        <v>0</v>
      </c>
      <c r="NH9">
        <v>0</v>
      </c>
      <c r="NI9">
        <v>0</v>
      </c>
      <c r="NJ9" s="4">
        <v>0</v>
      </c>
      <c r="NK9">
        <v>0</v>
      </c>
      <c r="NL9">
        <v>1</v>
      </c>
      <c r="NM9">
        <v>0</v>
      </c>
      <c r="NN9" s="1">
        <v>1</v>
      </c>
      <c r="NO9">
        <v>0</v>
      </c>
      <c r="NP9">
        <v>0</v>
      </c>
      <c r="NQ9">
        <v>0</v>
      </c>
      <c r="NR9">
        <v>1</v>
      </c>
      <c r="NS9" s="4">
        <v>0</v>
      </c>
      <c r="NT9">
        <v>0</v>
      </c>
      <c r="NU9">
        <v>0</v>
      </c>
      <c r="NV9">
        <v>0</v>
      </c>
      <c r="NW9">
        <v>0</v>
      </c>
      <c r="NX9">
        <v>0</v>
      </c>
      <c r="NY9" s="4">
        <v>0</v>
      </c>
      <c r="NZ9">
        <v>0</v>
      </c>
      <c r="OA9">
        <v>0</v>
      </c>
      <c r="OB9">
        <v>0</v>
      </c>
      <c r="OC9">
        <v>0</v>
      </c>
      <c r="OD9" s="4">
        <v>0</v>
      </c>
      <c r="OE9">
        <v>0</v>
      </c>
      <c r="OF9">
        <v>0</v>
      </c>
      <c r="OG9">
        <v>0</v>
      </c>
      <c r="OH9">
        <v>0</v>
      </c>
      <c r="OI9">
        <v>1</v>
      </c>
      <c r="OJ9">
        <v>0</v>
      </c>
      <c r="OK9">
        <v>0</v>
      </c>
      <c r="OL9">
        <v>1</v>
      </c>
      <c r="OM9">
        <v>0</v>
      </c>
      <c r="ON9">
        <v>1</v>
      </c>
      <c r="OO9">
        <v>0</v>
      </c>
      <c r="OP9" s="4">
        <v>0</v>
      </c>
      <c r="OQ9">
        <v>0</v>
      </c>
      <c r="OS9" s="4">
        <f t="shared" si="0"/>
        <v>82</v>
      </c>
      <c r="OT9" s="4">
        <f t="shared" si="1"/>
        <v>86</v>
      </c>
    </row>
    <row r="10" spans="1:427" x14ac:dyDescent="0.3">
      <c r="A10" s="10" t="s">
        <v>622</v>
      </c>
      <c r="B10">
        <v>1</v>
      </c>
      <c r="C10">
        <v>0</v>
      </c>
      <c r="D10" s="1">
        <v>0</v>
      </c>
      <c r="E10">
        <v>0</v>
      </c>
      <c r="F10" s="1">
        <v>1</v>
      </c>
      <c r="G10" s="1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 s="1">
        <v>1</v>
      </c>
      <c r="R10">
        <v>1</v>
      </c>
      <c r="S10">
        <v>0</v>
      </c>
      <c r="T10">
        <v>0</v>
      </c>
      <c r="U10">
        <v>0</v>
      </c>
      <c r="V10" s="1">
        <v>1</v>
      </c>
      <c r="W10" s="1">
        <v>0</v>
      </c>
      <c r="X10">
        <v>1</v>
      </c>
      <c r="Y10">
        <v>0</v>
      </c>
      <c r="Z10">
        <v>1</v>
      </c>
      <c r="AA10" s="1">
        <v>1</v>
      </c>
      <c r="AB10" s="1">
        <v>1</v>
      </c>
      <c r="AC10">
        <v>0</v>
      </c>
      <c r="AD10" s="1">
        <v>1</v>
      </c>
      <c r="AE10">
        <v>1</v>
      </c>
      <c r="AF10">
        <v>1</v>
      </c>
      <c r="AG10">
        <v>1</v>
      </c>
      <c r="AH10">
        <v>0</v>
      </c>
      <c r="AI10" s="1">
        <v>1</v>
      </c>
      <c r="AJ10" s="1">
        <v>2</v>
      </c>
      <c r="AK10" s="1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 s="1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 s="1">
        <v>1</v>
      </c>
      <c r="BT10">
        <v>0</v>
      </c>
      <c r="BU10" s="4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 s="4">
        <v>0</v>
      </c>
      <c r="CB10">
        <v>0</v>
      </c>
      <c r="CC10">
        <v>1</v>
      </c>
      <c r="CD10">
        <v>0</v>
      </c>
      <c r="CE10">
        <v>0</v>
      </c>
      <c r="CF10">
        <v>1</v>
      </c>
      <c r="CG10" s="4">
        <v>0</v>
      </c>
      <c r="CH10" s="4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 s="1">
        <v>1</v>
      </c>
      <c r="DI10">
        <v>1</v>
      </c>
      <c r="DJ10">
        <v>0</v>
      </c>
      <c r="DK10">
        <v>1</v>
      </c>
      <c r="DL10">
        <v>0</v>
      </c>
      <c r="DM10">
        <v>0</v>
      </c>
      <c r="DN10">
        <v>0</v>
      </c>
      <c r="DO10" s="4">
        <v>0</v>
      </c>
      <c r="DP10">
        <v>0</v>
      </c>
      <c r="DQ10">
        <v>0</v>
      </c>
      <c r="DR10" s="1">
        <v>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1</v>
      </c>
      <c r="EI10" s="4">
        <v>0</v>
      </c>
      <c r="EJ10">
        <v>0</v>
      </c>
      <c r="EK10">
        <v>1</v>
      </c>
      <c r="EL10" s="4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 s="1">
        <v>1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 s="4">
        <v>0</v>
      </c>
      <c r="FS10" s="1">
        <v>1</v>
      </c>
      <c r="FT10">
        <v>0</v>
      </c>
      <c r="FU10">
        <v>0</v>
      </c>
      <c r="FV10">
        <v>1</v>
      </c>
      <c r="FW10">
        <v>0</v>
      </c>
      <c r="FX10" s="4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 s="4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 s="1">
        <v>1</v>
      </c>
      <c r="GS10">
        <v>0</v>
      </c>
      <c r="GT10">
        <v>0</v>
      </c>
      <c r="GU10">
        <v>0</v>
      </c>
      <c r="GV10">
        <v>1</v>
      </c>
      <c r="GW10">
        <v>0</v>
      </c>
      <c r="GX10" s="1">
        <v>1</v>
      </c>
      <c r="GY10">
        <v>0</v>
      </c>
      <c r="GZ10">
        <v>0</v>
      </c>
      <c r="HA10">
        <v>0</v>
      </c>
      <c r="HB10">
        <v>0</v>
      </c>
      <c r="HC10" s="4">
        <v>0</v>
      </c>
      <c r="HD10">
        <v>0</v>
      </c>
      <c r="HE10">
        <v>0</v>
      </c>
      <c r="HF10">
        <v>1</v>
      </c>
      <c r="HG10">
        <v>0</v>
      </c>
      <c r="HH10" s="4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0</v>
      </c>
      <c r="HS10">
        <v>0</v>
      </c>
      <c r="HT10">
        <v>0</v>
      </c>
      <c r="HU10" s="1">
        <v>1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 s="4">
        <v>0</v>
      </c>
      <c r="IJ10">
        <v>1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 s="4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 s="4">
        <v>0</v>
      </c>
      <c r="JL10">
        <v>0</v>
      </c>
      <c r="JM10" s="4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1</v>
      </c>
      <c r="JT10">
        <v>0</v>
      </c>
      <c r="JU10">
        <v>1</v>
      </c>
      <c r="JV10">
        <v>0</v>
      </c>
      <c r="JW10">
        <v>1</v>
      </c>
      <c r="JX10">
        <v>0</v>
      </c>
      <c r="JY10">
        <v>0</v>
      </c>
      <c r="JZ10">
        <v>0</v>
      </c>
      <c r="KA10" s="4">
        <v>0</v>
      </c>
      <c r="KB10" s="4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 s="1">
        <v>1</v>
      </c>
      <c r="KJ10">
        <v>0</v>
      </c>
      <c r="KK10">
        <v>1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1</v>
      </c>
      <c r="KR10">
        <v>0</v>
      </c>
      <c r="KS10">
        <v>0</v>
      </c>
      <c r="KT10">
        <v>0</v>
      </c>
      <c r="KU10">
        <v>0</v>
      </c>
      <c r="KV10" s="4">
        <v>0</v>
      </c>
      <c r="KW10">
        <v>0</v>
      </c>
      <c r="KX10">
        <v>1</v>
      </c>
      <c r="KY10" s="4">
        <v>0</v>
      </c>
      <c r="KZ10">
        <v>0</v>
      </c>
      <c r="LA10">
        <v>0</v>
      </c>
      <c r="LB10">
        <v>0</v>
      </c>
      <c r="LC10" s="4">
        <v>0</v>
      </c>
      <c r="LD10">
        <v>1</v>
      </c>
      <c r="LE10">
        <v>0</v>
      </c>
      <c r="LF10">
        <v>0</v>
      </c>
      <c r="LG10">
        <v>0</v>
      </c>
      <c r="LH10">
        <v>0</v>
      </c>
      <c r="LI10">
        <v>1</v>
      </c>
      <c r="LJ10" s="1">
        <v>1</v>
      </c>
      <c r="LK10">
        <v>0</v>
      </c>
      <c r="LL10">
        <v>0</v>
      </c>
      <c r="LM10" s="4">
        <v>0</v>
      </c>
      <c r="LN10">
        <v>0</v>
      </c>
      <c r="LO10">
        <v>0</v>
      </c>
      <c r="LP10">
        <v>0</v>
      </c>
      <c r="LQ10">
        <v>1</v>
      </c>
      <c r="LR10" s="1">
        <v>1</v>
      </c>
      <c r="LS10">
        <v>0</v>
      </c>
      <c r="LT10">
        <v>0</v>
      </c>
      <c r="LU10" s="1">
        <v>1</v>
      </c>
      <c r="LV10">
        <v>0</v>
      </c>
      <c r="LW10">
        <v>0</v>
      </c>
      <c r="LX10">
        <v>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1</v>
      </c>
      <c r="MF10">
        <v>0</v>
      </c>
      <c r="MG10">
        <v>1</v>
      </c>
      <c r="MH10">
        <v>0</v>
      </c>
      <c r="MI10">
        <v>1</v>
      </c>
      <c r="MJ10">
        <v>0</v>
      </c>
      <c r="MK10">
        <v>0</v>
      </c>
      <c r="ML10">
        <v>1</v>
      </c>
      <c r="MM10">
        <v>0</v>
      </c>
      <c r="MN10" s="1">
        <v>1</v>
      </c>
      <c r="MO10">
        <v>0</v>
      </c>
      <c r="MP10">
        <v>0</v>
      </c>
      <c r="MQ10">
        <v>0</v>
      </c>
      <c r="MR10">
        <v>0</v>
      </c>
      <c r="MS10">
        <v>0</v>
      </c>
      <c r="MT10" s="4">
        <v>0</v>
      </c>
      <c r="MU10" s="1">
        <v>1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 s="4">
        <v>0</v>
      </c>
      <c r="NC10">
        <v>0</v>
      </c>
      <c r="ND10">
        <v>0</v>
      </c>
      <c r="NE10" s="1">
        <v>1</v>
      </c>
      <c r="NF10">
        <v>0</v>
      </c>
      <c r="NG10">
        <v>0</v>
      </c>
      <c r="NH10">
        <v>0</v>
      </c>
      <c r="NI10">
        <v>0</v>
      </c>
      <c r="NJ10" s="4">
        <v>0</v>
      </c>
      <c r="NK10">
        <v>0</v>
      </c>
      <c r="NL10">
        <v>0</v>
      </c>
      <c r="NM10">
        <v>0</v>
      </c>
      <c r="NN10" s="1">
        <v>1</v>
      </c>
      <c r="NO10">
        <v>1</v>
      </c>
      <c r="NP10">
        <v>0</v>
      </c>
      <c r="NQ10">
        <v>0</v>
      </c>
      <c r="NR10">
        <v>0</v>
      </c>
      <c r="NS10" s="4">
        <v>0</v>
      </c>
      <c r="NT10">
        <v>0</v>
      </c>
      <c r="NU10">
        <v>0</v>
      </c>
      <c r="NV10">
        <v>0</v>
      </c>
      <c r="NW10">
        <v>0</v>
      </c>
      <c r="NX10">
        <v>1</v>
      </c>
      <c r="NY10" s="4">
        <v>0</v>
      </c>
      <c r="NZ10">
        <v>0</v>
      </c>
      <c r="OA10">
        <v>0</v>
      </c>
      <c r="OB10">
        <v>1</v>
      </c>
      <c r="OC10">
        <v>0</v>
      </c>
      <c r="OD10" s="4">
        <v>0</v>
      </c>
      <c r="OE10">
        <v>0</v>
      </c>
      <c r="OF10">
        <v>0</v>
      </c>
      <c r="OG10">
        <v>0</v>
      </c>
      <c r="OH10">
        <v>0</v>
      </c>
      <c r="OI10">
        <v>1</v>
      </c>
      <c r="OJ10">
        <v>0</v>
      </c>
      <c r="OK10">
        <v>0</v>
      </c>
      <c r="OL10">
        <v>1</v>
      </c>
      <c r="OM10">
        <v>0</v>
      </c>
      <c r="ON10">
        <v>1</v>
      </c>
      <c r="OO10">
        <v>0</v>
      </c>
      <c r="OP10" s="4">
        <v>0</v>
      </c>
      <c r="OQ10">
        <v>1</v>
      </c>
      <c r="OS10" s="4">
        <f t="shared" si="0"/>
        <v>98</v>
      </c>
      <c r="OT10" s="4">
        <f t="shared" si="1"/>
        <v>100</v>
      </c>
    </row>
    <row r="11" spans="1:427" x14ac:dyDescent="0.3">
      <c r="A11" s="10" t="s">
        <v>623</v>
      </c>
      <c r="B11">
        <v>1</v>
      </c>
      <c r="C11">
        <v>0</v>
      </c>
      <c r="D11" s="1">
        <v>0</v>
      </c>
      <c r="E11">
        <v>1</v>
      </c>
      <c r="F11" s="1">
        <v>1</v>
      </c>
      <c r="G11" s="1">
        <v>2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 s="1">
        <v>1</v>
      </c>
      <c r="R11">
        <v>1</v>
      </c>
      <c r="S11">
        <v>0</v>
      </c>
      <c r="T11">
        <v>0</v>
      </c>
      <c r="U11">
        <v>0</v>
      </c>
      <c r="V11" s="1">
        <v>1</v>
      </c>
      <c r="W11" s="1">
        <v>0</v>
      </c>
      <c r="X11">
        <v>1</v>
      </c>
      <c r="Y11">
        <v>0</v>
      </c>
      <c r="Z11">
        <v>0</v>
      </c>
      <c r="AA11" s="1">
        <v>1</v>
      </c>
      <c r="AB11" s="1">
        <v>1</v>
      </c>
      <c r="AC11">
        <v>0</v>
      </c>
      <c r="AD11" s="1">
        <v>1</v>
      </c>
      <c r="AE11">
        <v>1</v>
      </c>
      <c r="AF11">
        <v>0</v>
      </c>
      <c r="AG11">
        <v>1</v>
      </c>
      <c r="AH11">
        <v>0</v>
      </c>
      <c r="AI11" s="1">
        <v>1</v>
      </c>
      <c r="AJ11" s="1">
        <v>2</v>
      </c>
      <c r="AK11" s="1">
        <v>1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0</v>
      </c>
      <c r="AU11" s="1">
        <v>1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s="1">
        <v>1</v>
      </c>
      <c r="BT11">
        <v>0</v>
      </c>
      <c r="BU11" s="4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 s="4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 s="4">
        <v>0</v>
      </c>
      <c r="CH11" s="4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 s="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 s="4">
        <v>0</v>
      </c>
      <c r="DP11">
        <v>0</v>
      </c>
      <c r="DQ11">
        <v>0</v>
      </c>
      <c r="DR11" s="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1</v>
      </c>
      <c r="EE11">
        <v>0</v>
      </c>
      <c r="EF11">
        <v>1</v>
      </c>
      <c r="EG11">
        <v>0</v>
      </c>
      <c r="EH11">
        <v>1</v>
      </c>
      <c r="EI11" s="4">
        <v>0</v>
      </c>
      <c r="EJ11">
        <v>0</v>
      </c>
      <c r="EK11">
        <v>0</v>
      </c>
      <c r="EL11" s="4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 s="1">
        <v>1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 s="4">
        <v>0</v>
      </c>
      <c r="FS11" s="1">
        <v>1</v>
      </c>
      <c r="FT11">
        <v>0</v>
      </c>
      <c r="FU11">
        <v>0</v>
      </c>
      <c r="FV11">
        <v>1</v>
      </c>
      <c r="FW11">
        <v>0</v>
      </c>
      <c r="FX11" s="4">
        <v>0</v>
      </c>
      <c r="FY11">
        <v>0</v>
      </c>
      <c r="FZ11">
        <v>0</v>
      </c>
      <c r="GA11">
        <v>1</v>
      </c>
      <c r="GB11">
        <v>0</v>
      </c>
      <c r="GC11">
        <v>0</v>
      </c>
      <c r="GD11" s="4">
        <v>0</v>
      </c>
      <c r="GE11">
        <v>1</v>
      </c>
      <c r="GF11">
        <v>0</v>
      </c>
      <c r="GG11">
        <v>0</v>
      </c>
      <c r="GH11">
        <v>1</v>
      </c>
      <c r="GI11">
        <v>1</v>
      </c>
      <c r="GJ11">
        <v>1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1</v>
      </c>
      <c r="GQ11">
        <v>0</v>
      </c>
      <c r="GR11" s="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 s="1">
        <v>1</v>
      </c>
      <c r="GY11">
        <v>0</v>
      </c>
      <c r="GZ11">
        <v>1</v>
      </c>
      <c r="HA11">
        <v>0</v>
      </c>
      <c r="HB11">
        <v>0</v>
      </c>
      <c r="HC11" s="4">
        <v>0</v>
      </c>
      <c r="HD11">
        <v>0</v>
      </c>
      <c r="HE11">
        <v>0</v>
      </c>
      <c r="HF11">
        <v>1</v>
      </c>
      <c r="HG11">
        <v>0</v>
      </c>
      <c r="HH11" s="4">
        <v>0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1</v>
      </c>
      <c r="HS11">
        <v>0</v>
      </c>
      <c r="HT11">
        <v>0</v>
      </c>
      <c r="HU11" s="1">
        <v>1</v>
      </c>
      <c r="HV11">
        <v>1</v>
      </c>
      <c r="HW11">
        <v>1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</v>
      </c>
      <c r="II11" s="4">
        <v>0</v>
      </c>
      <c r="IJ11">
        <v>1</v>
      </c>
      <c r="IK11">
        <v>0</v>
      </c>
      <c r="IL11">
        <v>0</v>
      </c>
      <c r="IM11">
        <v>1</v>
      </c>
      <c r="IN11">
        <v>0</v>
      </c>
      <c r="IO11">
        <v>0</v>
      </c>
      <c r="IP11">
        <v>1</v>
      </c>
      <c r="IQ11">
        <v>1</v>
      </c>
      <c r="IR11" s="4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G11">
        <v>0</v>
      </c>
      <c r="JH11">
        <v>0</v>
      </c>
      <c r="JI11">
        <v>1</v>
      </c>
      <c r="JJ11">
        <v>1</v>
      </c>
      <c r="JK11" s="4">
        <v>0</v>
      </c>
      <c r="JL11">
        <v>0</v>
      </c>
      <c r="JM11" s="4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1</v>
      </c>
      <c r="JW11">
        <v>1</v>
      </c>
      <c r="JX11">
        <v>0</v>
      </c>
      <c r="JY11">
        <v>0</v>
      </c>
      <c r="JZ11">
        <v>0</v>
      </c>
      <c r="KA11" s="4">
        <v>0</v>
      </c>
      <c r="KB11" s="4">
        <v>0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0</v>
      </c>
      <c r="KI11" s="1">
        <v>1</v>
      </c>
      <c r="KJ11">
        <v>0</v>
      </c>
      <c r="KK11">
        <v>2</v>
      </c>
      <c r="KL11">
        <v>1</v>
      </c>
      <c r="KM11">
        <v>1</v>
      </c>
      <c r="KN11">
        <v>1</v>
      </c>
      <c r="KO11">
        <v>0</v>
      </c>
      <c r="KP11">
        <v>0</v>
      </c>
      <c r="KQ11">
        <v>1</v>
      </c>
      <c r="KR11">
        <v>0</v>
      </c>
      <c r="KS11">
        <v>0</v>
      </c>
      <c r="KT11">
        <v>1</v>
      </c>
      <c r="KU11">
        <v>0</v>
      </c>
      <c r="KV11" s="4">
        <v>0</v>
      </c>
      <c r="KW11">
        <v>0</v>
      </c>
      <c r="KX11">
        <v>1</v>
      </c>
      <c r="KY11" s="4">
        <v>0</v>
      </c>
      <c r="KZ11">
        <v>0</v>
      </c>
      <c r="LA11">
        <v>0</v>
      </c>
      <c r="LB11">
        <v>0</v>
      </c>
      <c r="LC11" s="4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</v>
      </c>
      <c r="LJ11" s="1">
        <v>4</v>
      </c>
      <c r="LK11">
        <v>0</v>
      </c>
      <c r="LL11">
        <v>0</v>
      </c>
      <c r="LM11" s="4">
        <v>0</v>
      </c>
      <c r="LN11">
        <v>1</v>
      </c>
      <c r="LO11">
        <v>0</v>
      </c>
      <c r="LP11">
        <v>0</v>
      </c>
      <c r="LQ11">
        <v>1</v>
      </c>
      <c r="LR11" s="1">
        <v>1</v>
      </c>
      <c r="LS11">
        <v>0</v>
      </c>
      <c r="LT11">
        <v>0</v>
      </c>
      <c r="LU11" s="1">
        <v>1</v>
      </c>
      <c r="LV11">
        <v>1</v>
      </c>
      <c r="LW11">
        <v>0</v>
      </c>
      <c r="LX11">
        <v>1</v>
      </c>
      <c r="LY11">
        <v>0</v>
      </c>
      <c r="LZ11">
        <v>0</v>
      </c>
      <c r="MA11">
        <v>1</v>
      </c>
      <c r="MB11">
        <v>0</v>
      </c>
      <c r="MC11">
        <v>0</v>
      </c>
      <c r="MD11">
        <v>0</v>
      </c>
      <c r="ME11">
        <v>1</v>
      </c>
      <c r="MF11">
        <v>0</v>
      </c>
      <c r="MG11">
        <v>0</v>
      </c>
      <c r="MH11">
        <v>1</v>
      </c>
      <c r="MI11">
        <v>0</v>
      </c>
      <c r="MJ11">
        <v>0</v>
      </c>
      <c r="MK11">
        <v>0</v>
      </c>
      <c r="ML11">
        <v>1</v>
      </c>
      <c r="MM11">
        <v>0</v>
      </c>
      <c r="MN11" s="1">
        <v>1</v>
      </c>
      <c r="MO11">
        <v>1</v>
      </c>
      <c r="MP11">
        <v>0</v>
      </c>
      <c r="MQ11">
        <v>0</v>
      </c>
      <c r="MR11">
        <v>0</v>
      </c>
      <c r="MS11">
        <v>0</v>
      </c>
      <c r="MT11" s="4">
        <v>0</v>
      </c>
      <c r="MU11" s="1">
        <v>1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 s="4">
        <v>0</v>
      </c>
      <c r="NC11">
        <v>0</v>
      </c>
      <c r="ND11">
        <v>0</v>
      </c>
      <c r="NE11" s="1">
        <v>1</v>
      </c>
      <c r="NF11">
        <v>0</v>
      </c>
      <c r="NG11">
        <v>0</v>
      </c>
      <c r="NH11">
        <v>0</v>
      </c>
      <c r="NI11">
        <v>0</v>
      </c>
      <c r="NJ11" s="4">
        <v>0</v>
      </c>
      <c r="NK11">
        <v>0</v>
      </c>
      <c r="NL11">
        <v>0</v>
      </c>
      <c r="NM11">
        <v>0</v>
      </c>
      <c r="NN11" s="1">
        <v>1</v>
      </c>
      <c r="NO11">
        <v>1</v>
      </c>
      <c r="NP11">
        <v>0</v>
      </c>
      <c r="NQ11">
        <v>0</v>
      </c>
      <c r="NR11">
        <v>1</v>
      </c>
      <c r="NS11" s="4">
        <v>0</v>
      </c>
      <c r="NT11">
        <v>1</v>
      </c>
      <c r="NU11">
        <v>0</v>
      </c>
      <c r="NV11">
        <v>0</v>
      </c>
      <c r="NW11">
        <v>0</v>
      </c>
      <c r="NX11">
        <v>0</v>
      </c>
      <c r="NY11" s="4">
        <v>0</v>
      </c>
      <c r="NZ11">
        <v>0</v>
      </c>
      <c r="OA11">
        <v>0</v>
      </c>
      <c r="OB11">
        <v>0</v>
      </c>
      <c r="OC11">
        <v>1</v>
      </c>
      <c r="OD11" s="4">
        <v>0</v>
      </c>
      <c r="OE11">
        <v>0</v>
      </c>
      <c r="OF11">
        <v>0</v>
      </c>
      <c r="OG11">
        <v>0</v>
      </c>
      <c r="OH11">
        <v>0</v>
      </c>
      <c r="OI11">
        <v>1</v>
      </c>
      <c r="OJ11">
        <v>0</v>
      </c>
      <c r="OK11">
        <v>1</v>
      </c>
      <c r="OL11">
        <v>2</v>
      </c>
      <c r="OM11">
        <v>0</v>
      </c>
      <c r="ON11">
        <v>1</v>
      </c>
      <c r="OO11">
        <v>0</v>
      </c>
      <c r="OP11" s="4">
        <v>0</v>
      </c>
      <c r="OQ11">
        <v>1</v>
      </c>
      <c r="OS11" s="4">
        <f t="shared" si="0"/>
        <v>122</v>
      </c>
      <c r="OT11" s="4">
        <f t="shared" si="1"/>
        <v>129</v>
      </c>
    </row>
    <row r="12" spans="1:427" x14ac:dyDescent="0.3">
      <c r="A12" s="10" t="s">
        <v>624</v>
      </c>
      <c r="B12">
        <v>0</v>
      </c>
      <c r="C12">
        <v>0</v>
      </c>
      <c r="D12" s="1">
        <v>0</v>
      </c>
      <c r="E12">
        <v>0</v>
      </c>
      <c r="F12" s="1">
        <v>1</v>
      </c>
      <c r="G12" s="1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 s="1">
        <v>1</v>
      </c>
      <c r="R12">
        <v>1</v>
      </c>
      <c r="S12">
        <v>0</v>
      </c>
      <c r="T12">
        <v>0</v>
      </c>
      <c r="U12">
        <v>0</v>
      </c>
      <c r="V12" s="1">
        <v>1</v>
      </c>
      <c r="W12" s="1">
        <v>0</v>
      </c>
      <c r="X12">
        <v>1</v>
      </c>
      <c r="Y12">
        <v>0</v>
      </c>
      <c r="Z12">
        <v>2</v>
      </c>
      <c r="AA12" s="1">
        <v>1</v>
      </c>
      <c r="AB12" s="1">
        <v>1</v>
      </c>
      <c r="AC12">
        <v>0</v>
      </c>
      <c r="AD12" s="1">
        <v>1</v>
      </c>
      <c r="AE12">
        <v>1</v>
      </c>
      <c r="AF12">
        <v>0</v>
      </c>
      <c r="AG12">
        <v>1</v>
      </c>
      <c r="AH12">
        <v>0</v>
      </c>
      <c r="AI12" s="1">
        <v>1</v>
      </c>
      <c r="AJ12" s="1">
        <v>1</v>
      </c>
      <c r="AK12" s="1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 s="1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0</v>
      </c>
      <c r="BS12" s="1">
        <v>1</v>
      </c>
      <c r="BT12">
        <v>0</v>
      </c>
      <c r="BU12" s="4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s="4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 s="4">
        <v>0</v>
      </c>
      <c r="CH12" s="4">
        <v>0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 s="1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 s="4">
        <v>0</v>
      </c>
      <c r="DP12">
        <v>0</v>
      </c>
      <c r="DQ12">
        <v>0</v>
      </c>
      <c r="DR12" s="1">
        <v>1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1</v>
      </c>
      <c r="EI12" s="4">
        <v>0</v>
      </c>
      <c r="EJ12">
        <v>0</v>
      </c>
      <c r="EK12">
        <v>0</v>
      </c>
      <c r="EL12" s="4">
        <v>0</v>
      </c>
      <c r="EM12">
        <v>1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1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1</v>
      </c>
      <c r="FH12" s="1">
        <v>1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1</v>
      </c>
      <c r="FQ12">
        <v>0</v>
      </c>
      <c r="FR12" s="4">
        <v>0</v>
      </c>
      <c r="FS12" s="1">
        <v>1</v>
      </c>
      <c r="FT12">
        <v>0</v>
      </c>
      <c r="FU12">
        <v>0</v>
      </c>
      <c r="FV12">
        <v>1</v>
      </c>
      <c r="FW12">
        <v>0</v>
      </c>
      <c r="FX12" s="4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 s="4">
        <v>0</v>
      </c>
      <c r="GE12">
        <v>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 s="1">
        <v>1</v>
      </c>
      <c r="GS12">
        <v>0</v>
      </c>
      <c r="GT12">
        <v>1</v>
      </c>
      <c r="GU12">
        <v>1</v>
      </c>
      <c r="GV12">
        <v>1</v>
      </c>
      <c r="GW12">
        <v>1</v>
      </c>
      <c r="GX12" s="1">
        <v>1</v>
      </c>
      <c r="GY12">
        <v>0</v>
      </c>
      <c r="GZ12">
        <v>0</v>
      </c>
      <c r="HA12">
        <v>0</v>
      </c>
      <c r="HB12">
        <v>0</v>
      </c>
      <c r="HC12" s="4">
        <v>0</v>
      </c>
      <c r="HD12">
        <v>0</v>
      </c>
      <c r="HE12">
        <v>0</v>
      </c>
      <c r="HF12">
        <v>1</v>
      </c>
      <c r="HG12">
        <v>1</v>
      </c>
      <c r="HH12" s="4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 s="1">
        <v>1</v>
      </c>
      <c r="HV12">
        <v>0</v>
      </c>
      <c r="HW12">
        <v>1</v>
      </c>
      <c r="HX12">
        <v>0</v>
      </c>
      <c r="HY12">
        <v>0</v>
      </c>
      <c r="HZ12">
        <v>1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0</v>
      </c>
      <c r="IH12">
        <v>0</v>
      </c>
      <c r="II12" s="4">
        <v>0</v>
      </c>
      <c r="IJ12">
        <v>1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1</v>
      </c>
      <c r="IQ12">
        <v>1</v>
      </c>
      <c r="IR12" s="4">
        <v>0</v>
      </c>
      <c r="IS12">
        <v>0</v>
      </c>
      <c r="IT12">
        <v>0</v>
      </c>
      <c r="IU12">
        <v>0</v>
      </c>
      <c r="IV12">
        <v>1</v>
      </c>
      <c r="IW12">
        <v>0</v>
      </c>
      <c r="IX12">
        <v>1</v>
      </c>
      <c r="IY12">
        <v>0</v>
      </c>
      <c r="IZ12">
        <v>0</v>
      </c>
      <c r="JA12">
        <v>1</v>
      </c>
      <c r="JB12">
        <v>1</v>
      </c>
      <c r="JC12">
        <v>0</v>
      </c>
      <c r="JD12">
        <v>1</v>
      </c>
      <c r="JE12">
        <v>0</v>
      </c>
      <c r="JF12">
        <v>0</v>
      </c>
      <c r="JG12">
        <v>0</v>
      </c>
      <c r="JH12">
        <v>0</v>
      </c>
      <c r="JI12">
        <v>1</v>
      </c>
      <c r="JJ12">
        <v>0</v>
      </c>
      <c r="JK12" s="4">
        <v>0</v>
      </c>
      <c r="JL12">
        <v>1</v>
      </c>
      <c r="JM12" s="4">
        <v>0</v>
      </c>
      <c r="JN12">
        <v>0</v>
      </c>
      <c r="JO12">
        <v>0</v>
      </c>
      <c r="JP12">
        <v>2</v>
      </c>
      <c r="JQ12">
        <v>0</v>
      </c>
      <c r="JR12">
        <v>0</v>
      </c>
      <c r="JS12">
        <v>1</v>
      </c>
      <c r="JT12">
        <v>0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 s="4">
        <v>0</v>
      </c>
      <c r="KB12" s="4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</v>
      </c>
      <c r="KI12" s="1">
        <v>1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1</v>
      </c>
      <c r="KR12">
        <v>0</v>
      </c>
      <c r="KS12">
        <v>0</v>
      </c>
      <c r="KT12">
        <v>0</v>
      </c>
      <c r="KU12">
        <v>1</v>
      </c>
      <c r="KV12" s="4">
        <v>0</v>
      </c>
      <c r="KW12">
        <v>0</v>
      </c>
      <c r="KX12">
        <v>0</v>
      </c>
      <c r="KY12" s="4">
        <v>0</v>
      </c>
      <c r="KZ12">
        <v>0</v>
      </c>
      <c r="LA12">
        <v>0</v>
      </c>
      <c r="LB12">
        <v>0</v>
      </c>
      <c r="LC12" s="4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1</v>
      </c>
      <c r="LJ12" s="1">
        <v>1</v>
      </c>
      <c r="LK12">
        <v>0</v>
      </c>
      <c r="LL12">
        <v>0</v>
      </c>
      <c r="LM12" s="4">
        <v>0</v>
      </c>
      <c r="LN12">
        <v>0</v>
      </c>
      <c r="LO12">
        <v>0</v>
      </c>
      <c r="LP12">
        <v>0</v>
      </c>
      <c r="LQ12">
        <v>1</v>
      </c>
      <c r="LR12" s="1">
        <v>1</v>
      </c>
      <c r="LS12">
        <v>0</v>
      </c>
      <c r="LT12">
        <v>0</v>
      </c>
      <c r="LU12" s="1">
        <v>1</v>
      </c>
      <c r="LV12">
        <v>1</v>
      </c>
      <c r="LW12">
        <v>0</v>
      </c>
      <c r="LX12">
        <v>1</v>
      </c>
      <c r="LY12">
        <v>0</v>
      </c>
      <c r="LZ12">
        <v>0</v>
      </c>
      <c r="MA12">
        <v>0</v>
      </c>
      <c r="MB12">
        <v>1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 s="1">
        <v>1</v>
      </c>
      <c r="MO12">
        <v>0</v>
      </c>
      <c r="MP12">
        <v>0</v>
      </c>
      <c r="MQ12">
        <v>0</v>
      </c>
      <c r="MR12">
        <v>1</v>
      </c>
      <c r="MS12">
        <v>0</v>
      </c>
      <c r="MT12" s="4">
        <v>0</v>
      </c>
      <c r="MU12" s="1">
        <v>1</v>
      </c>
      <c r="MV12">
        <v>0</v>
      </c>
      <c r="MW12">
        <v>0</v>
      </c>
      <c r="MX12">
        <v>0</v>
      </c>
      <c r="MY12">
        <v>1</v>
      </c>
      <c r="MZ12">
        <v>0</v>
      </c>
      <c r="NA12">
        <v>0</v>
      </c>
      <c r="NB12" s="4">
        <v>0</v>
      </c>
      <c r="NC12">
        <v>0</v>
      </c>
      <c r="ND12">
        <v>0</v>
      </c>
      <c r="NE12" s="1">
        <v>1</v>
      </c>
      <c r="NF12">
        <v>0</v>
      </c>
      <c r="NG12">
        <v>0</v>
      </c>
      <c r="NH12">
        <v>0</v>
      </c>
      <c r="NI12">
        <v>0</v>
      </c>
      <c r="NJ12" s="4">
        <v>0</v>
      </c>
      <c r="NK12">
        <v>0</v>
      </c>
      <c r="NL12">
        <v>0</v>
      </c>
      <c r="NM12">
        <v>0</v>
      </c>
      <c r="NN12" s="1">
        <v>1</v>
      </c>
      <c r="NO12">
        <v>1</v>
      </c>
      <c r="NP12">
        <v>1</v>
      </c>
      <c r="NQ12">
        <v>0</v>
      </c>
      <c r="NR12">
        <v>0</v>
      </c>
      <c r="NS12" s="4">
        <v>0</v>
      </c>
      <c r="NT12">
        <v>0</v>
      </c>
      <c r="NU12">
        <v>1</v>
      </c>
      <c r="NV12">
        <v>0</v>
      </c>
      <c r="NW12">
        <v>0</v>
      </c>
      <c r="NX12">
        <v>1</v>
      </c>
      <c r="NY12" s="4">
        <v>0</v>
      </c>
      <c r="NZ12">
        <v>0</v>
      </c>
      <c r="OA12">
        <v>0</v>
      </c>
      <c r="OB12">
        <v>1</v>
      </c>
      <c r="OC12">
        <v>1</v>
      </c>
      <c r="OD12" s="4">
        <v>0</v>
      </c>
      <c r="OE12">
        <v>0</v>
      </c>
      <c r="OF12">
        <v>0</v>
      </c>
      <c r="OG12">
        <v>0</v>
      </c>
      <c r="OH12">
        <v>0</v>
      </c>
      <c r="OI12">
        <v>1</v>
      </c>
      <c r="OJ12">
        <v>0</v>
      </c>
      <c r="OK12">
        <v>1</v>
      </c>
      <c r="OL12">
        <v>1</v>
      </c>
      <c r="OM12">
        <v>0</v>
      </c>
      <c r="ON12">
        <v>0</v>
      </c>
      <c r="OO12">
        <v>0</v>
      </c>
      <c r="OP12" s="4">
        <v>0</v>
      </c>
      <c r="OQ12">
        <v>1</v>
      </c>
      <c r="OS12" s="4">
        <f t="shared" si="0"/>
        <v>124</v>
      </c>
      <c r="OT12" s="4">
        <f t="shared" si="1"/>
        <v>126</v>
      </c>
    </row>
    <row r="13" spans="1:427" x14ac:dyDescent="0.3">
      <c r="A13" s="10" t="s">
        <v>625</v>
      </c>
      <c r="B13">
        <v>1</v>
      </c>
      <c r="C13">
        <v>0</v>
      </c>
      <c r="D13" s="1">
        <v>0</v>
      </c>
      <c r="E13">
        <v>0</v>
      </c>
      <c r="F13" s="1">
        <v>1</v>
      </c>
      <c r="G13" s="1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 s="1">
        <v>1</v>
      </c>
      <c r="R13">
        <v>1</v>
      </c>
      <c r="S13">
        <v>0</v>
      </c>
      <c r="T13">
        <v>1</v>
      </c>
      <c r="U13">
        <v>0</v>
      </c>
      <c r="V13" s="1">
        <v>1</v>
      </c>
      <c r="W13" s="1">
        <v>0</v>
      </c>
      <c r="X13">
        <v>1</v>
      </c>
      <c r="Y13">
        <v>0</v>
      </c>
      <c r="Z13">
        <v>0</v>
      </c>
      <c r="AA13" s="1">
        <v>1</v>
      </c>
      <c r="AB13" s="1">
        <v>1</v>
      </c>
      <c r="AC13">
        <v>0</v>
      </c>
      <c r="AD13" s="1">
        <v>1</v>
      </c>
      <c r="AE13">
        <v>1</v>
      </c>
      <c r="AF13">
        <v>1</v>
      </c>
      <c r="AG13">
        <v>1</v>
      </c>
      <c r="AH13">
        <v>0</v>
      </c>
      <c r="AI13" s="1">
        <v>1</v>
      </c>
      <c r="AJ13" s="1">
        <v>1</v>
      </c>
      <c r="AK13" s="1">
        <v>1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 s="1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1">
        <v>1</v>
      </c>
      <c r="BT13">
        <v>0</v>
      </c>
      <c r="BU13" s="4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s="4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 s="4">
        <v>0</v>
      </c>
      <c r="CH13" s="4">
        <v>0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 s="1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 s="4">
        <v>0</v>
      </c>
      <c r="DP13">
        <v>0</v>
      </c>
      <c r="DQ13">
        <v>0</v>
      </c>
      <c r="DR13" s="1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1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1</v>
      </c>
      <c r="EI13" s="4">
        <v>0</v>
      </c>
      <c r="EJ13">
        <v>0</v>
      </c>
      <c r="EK13">
        <v>0</v>
      </c>
      <c r="EL13" s="4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 s="1">
        <v>1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 s="4">
        <v>0</v>
      </c>
      <c r="FS13" s="1">
        <v>1</v>
      </c>
      <c r="FT13">
        <v>0</v>
      </c>
      <c r="FU13">
        <v>0</v>
      </c>
      <c r="FV13">
        <v>1</v>
      </c>
      <c r="FW13">
        <v>0</v>
      </c>
      <c r="FX13" s="4">
        <v>0</v>
      </c>
      <c r="FY13">
        <v>0</v>
      </c>
      <c r="FZ13">
        <v>0</v>
      </c>
      <c r="GA13">
        <v>0</v>
      </c>
      <c r="GB13">
        <v>0</v>
      </c>
      <c r="GC13">
        <v>2</v>
      </c>
      <c r="GD13" s="4">
        <v>0</v>
      </c>
      <c r="GE13">
        <v>0</v>
      </c>
      <c r="GF13">
        <v>0</v>
      </c>
      <c r="GG13">
        <v>0</v>
      </c>
      <c r="GH13">
        <v>1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0</v>
      </c>
      <c r="GP13">
        <v>0</v>
      </c>
      <c r="GQ13">
        <v>0</v>
      </c>
      <c r="GR13" s="1">
        <v>1</v>
      </c>
      <c r="GS13">
        <v>0</v>
      </c>
      <c r="GT13">
        <v>0</v>
      </c>
      <c r="GU13">
        <v>0</v>
      </c>
      <c r="GV13">
        <v>1</v>
      </c>
      <c r="GW13">
        <v>0</v>
      </c>
      <c r="GX13" s="1">
        <v>1</v>
      </c>
      <c r="GY13">
        <v>0</v>
      </c>
      <c r="GZ13">
        <v>1</v>
      </c>
      <c r="HA13">
        <v>0</v>
      </c>
      <c r="HB13">
        <v>0</v>
      </c>
      <c r="HC13" s="4">
        <v>0</v>
      </c>
      <c r="HD13">
        <v>0</v>
      </c>
      <c r="HE13">
        <v>0</v>
      </c>
      <c r="HF13">
        <v>0</v>
      </c>
      <c r="HG13">
        <v>0</v>
      </c>
      <c r="HH13" s="4">
        <v>0</v>
      </c>
      <c r="HI13">
        <v>0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 s="1">
        <v>1</v>
      </c>
      <c r="HV13">
        <v>1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1</v>
      </c>
      <c r="II13" s="4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1</v>
      </c>
      <c r="IQ13">
        <v>1</v>
      </c>
      <c r="IR13" s="4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</v>
      </c>
      <c r="JK13" s="4">
        <v>0</v>
      </c>
      <c r="JL13">
        <v>1</v>
      </c>
      <c r="JM13" s="4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1</v>
      </c>
      <c r="JV13">
        <v>0</v>
      </c>
      <c r="JW13">
        <v>1</v>
      </c>
      <c r="JX13">
        <v>1</v>
      </c>
      <c r="JY13">
        <v>0</v>
      </c>
      <c r="JZ13">
        <v>0</v>
      </c>
      <c r="KA13" s="4">
        <v>0</v>
      </c>
      <c r="KB13" s="4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</v>
      </c>
      <c r="KI13" s="1">
        <v>1</v>
      </c>
      <c r="KJ13">
        <v>0</v>
      </c>
      <c r="KK13">
        <v>1</v>
      </c>
      <c r="KL13">
        <v>1</v>
      </c>
      <c r="KM13">
        <v>1</v>
      </c>
      <c r="KN13">
        <v>1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</v>
      </c>
      <c r="KU13">
        <v>1</v>
      </c>
      <c r="KV13" s="4">
        <v>0</v>
      </c>
      <c r="KW13">
        <v>1</v>
      </c>
      <c r="KX13">
        <v>1</v>
      </c>
      <c r="KY13" s="4">
        <v>0</v>
      </c>
      <c r="KZ13">
        <v>0</v>
      </c>
      <c r="LA13">
        <v>0</v>
      </c>
      <c r="LB13">
        <v>0</v>
      </c>
      <c r="LC13" s="4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</v>
      </c>
      <c r="LJ13" s="1">
        <v>2</v>
      </c>
      <c r="LK13">
        <v>0</v>
      </c>
      <c r="LL13">
        <v>1</v>
      </c>
      <c r="LM13" s="4">
        <v>0</v>
      </c>
      <c r="LN13">
        <v>0</v>
      </c>
      <c r="LO13">
        <v>0</v>
      </c>
      <c r="LP13">
        <v>0</v>
      </c>
      <c r="LQ13">
        <v>1</v>
      </c>
      <c r="LR13" s="1">
        <v>1</v>
      </c>
      <c r="LS13">
        <v>0</v>
      </c>
      <c r="LT13">
        <v>0</v>
      </c>
      <c r="LU13" s="1">
        <v>1</v>
      </c>
      <c r="LV13">
        <v>0</v>
      </c>
      <c r="LW13">
        <v>0</v>
      </c>
      <c r="LX13">
        <v>1</v>
      </c>
      <c r="LY13">
        <v>0</v>
      </c>
      <c r="LZ13">
        <v>0</v>
      </c>
      <c r="MA13">
        <v>1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1</v>
      </c>
      <c r="MH13">
        <v>0</v>
      </c>
      <c r="MI13">
        <v>0</v>
      </c>
      <c r="MJ13">
        <v>0</v>
      </c>
      <c r="MK13">
        <v>0</v>
      </c>
      <c r="ML13">
        <v>3</v>
      </c>
      <c r="MM13">
        <v>0</v>
      </c>
      <c r="MN13" s="1">
        <v>1</v>
      </c>
      <c r="MO13">
        <v>1</v>
      </c>
      <c r="MP13">
        <v>0</v>
      </c>
      <c r="MQ13">
        <v>0</v>
      </c>
      <c r="MR13">
        <v>1</v>
      </c>
      <c r="MS13">
        <v>0</v>
      </c>
      <c r="MT13" s="4">
        <v>0</v>
      </c>
      <c r="MU13" s="1">
        <v>1</v>
      </c>
      <c r="MV13">
        <v>0</v>
      </c>
      <c r="MW13">
        <v>0</v>
      </c>
      <c r="MX13">
        <v>1</v>
      </c>
      <c r="MY13">
        <v>0</v>
      </c>
      <c r="MZ13">
        <v>0</v>
      </c>
      <c r="NA13">
        <v>0</v>
      </c>
      <c r="NB13" s="4">
        <v>0</v>
      </c>
      <c r="NC13">
        <v>0</v>
      </c>
      <c r="ND13">
        <v>0</v>
      </c>
      <c r="NE13" s="1">
        <v>1</v>
      </c>
      <c r="NF13">
        <v>0</v>
      </c>
      <c r="NG13">
        <v>0</v>
      </c>
      <c r="NH13">
        <v>0</v>
      </c>
      <c r="NI13">
        <v>0</v>
      </c>
      <c r="NJ13" s="4">
        <v>0</v>
      </c>
      <c r="NK13">
        <v>0</v>
      </c>
      <c r="NL13">
        <v>0</v>
      </c>
      <c r="NM13">
        <v>0</v>
      </c>
      <c r="NN13" s="1">
        <v>1</v>
      </c>
      <c r="NO13">
        <v>1</v>
      </c>
      <c r="NP13">
        <v>0</v>
      </c>
      <c r="NQ13">
        <v>0</v>
      </c>
      <c r="NR13">
        <v>0</v>
      </c>
      <c r="NS13" s="4">
        <v>0</v>
      </c>
      <c r="NT13">
        <v>0</v>
      </c>
      <c r="NU13">
        <v>0</v>
      </c>
      <c r="NV13">
        <v>0</v>
      </c>
      <c r="NW13">
        <v>0</v>
      </c>
      <c r="NX13">
        <v>1</v>
      </c>
      <c r="NY13" s="4">
        <v>0</v>
      </c>
      <c r="NZ13">
        <v>0</v>
      </c>
      <c r="OA13">
        <v>0</v>
      </c>
      <c r="OB13">
        <v>0</v>
      </c>
      <c r="OC13">
        <v>1</v>
      </c>
      <c r="OD13" s="4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1</v>
      </c>
      <c r="OL13">
        <v>1</v>
      </c>
      <c r="OM13">
        <v>0</v>
      </c>
      <c r="ON13">
        <v>1</v>
      </c>
      <c r="OO13">
        <v>0</v>
      </c>
      <c r="OP13" s="4">
        <v>0</v>
      </c>
      <c r="OQ13">
        <v>0</v>
      </c>
      <c r="OS13" s="4">
        <f t="shared" si="0"/>
        <v>105</v>
      </c>
      <c r="OT13" s="4">
        <f t="shared" si="1"/>
        <v>109</v>
      </c>
    </row>
    <row r="14" spans="1:427" x14ac:dyDescent="0.3">
      <c r="A14" s="10" t="s">
        <v>626</v>
      </c>
      <c r="B14">
        <v>1</v>
      </c>
      <c r="C14">
        <v>1</v>
      </c>
      <c r="D14" s="1">
        <v>0</v>
      </c>
      <c r="E14">
        <v>1</v>
      </c>
      <c r="F14" s="1">
        <v>1</v>
      </c>
      <c r="G14" s="1">
        <v>2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 s="1">
        <v>1</v>
      </c>
      <c r="R14">
        <v>0</v>
      </c>
      <c r="S14">
        <v>0</v>
      </c>
      <c r="T14">
        <v>0</v>
      </c>
      <c r="U14">
        <v>0</v>
      </c>
      <c r="V14" s="1">
        <v>1</v>
      </c>
      <c r="W14" s="1">
        <v>0</v>
      </c>
      <c r="X14">
        <v>0</v>
      </c>
      <c r="Y14">
        <v>0</v>
      </c>
      <c r="Z14">
        <v>0</v>
      </c>
      <c r="AA14" s="1">
        <v>1</v>
      </c>
      <c r="AB14" s="1">
        <v>1</v>
      </c>
      <c r="AC14">
        <v>0</v>
      </c>
      <c r="AD14" s="1">
        <v>1</v>
      </c>
      <c r="AE14" s="1">
        <v>0</v>
      </c>
      <c r="AF14">
        <v>0</v>
      </c>
      <c r="AG14">
        <v>0</v>
      </c>
      <c r="AH14">
        <v>1</v>
      </c>
      <c r="AI14" s="1">
        <v>1</v>
      </c>
      <c r="AJ14" s="1">
        <v>2</v>
      </c>
      <c r="AK14" s="1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 s="1">
        <v>2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s="1">
        <v>1</v>
      </c>
      <c r="BT14">
        <v>0</v>
      </c>
      <c r="BU14" s="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 s="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 s="4">
        <v>0</v>
      </c>
      <c r="CH14" s="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 s="1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 s="4">
        <v>0</v>
      </c>
      <c r="DP14">
        <v>0</v>
      </c>
      <c r="DQ14">
        <v>0</v>
      </c>
      <c r="DR14" s="1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1</v>
      </c>
      <c r="EI14" s="4">
        <v>0</v>
      </c>
      <c r="EJ14">
        <v>0</v>
      </c>
      <c r="EK14">
        <v>0</v>
      </c>
      <c r="EL14" s="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 s="1">
        <v>1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 s="4">
        <v>0</v>
      </c>
      <c r="FS14" s="1">
        <v>1</v>
      </c>
      <c r="FT14">
        <v>0</v>
      </c>
      <c r="FU14">
        <v>0</v>
      </c>
      <c r="FV14">
        <v>1</v>
      </c>
      <c r="FW14">
        <v>0</v>
      </c>
      <c r="FX14" s="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 s="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 s="1">
        <v>1</v>
      </c>
      <c r="GS14">
        <v>0</v>
      </c>
      <c r="GT14">
        <v>0</v>
      </c>
      <c r="GU14">
        <v>0</v>
      </c>
      <c r="GV14">
        <v>1</v>
      </c>
      <c r="GW14">
        <v>0</v>
      </c>
      <c r="GX14" s="1">
        <v>1</v>
      </c>
      <c r="GY14">
        <v>0</v>
      </c>
      <c r="GZ14">
        <v>0</v>
      </c>
      <c r="HA14">
        <v>0</v>
      </c>
      <c r="HB14">
        <v>0</v>
      </c>
      <c r="HC14" s="4">
        <v>0</v>
      </c>
      <c r="HD14">
        <v>1</v>
      </c>
      <c r="HE14">
        <v>0</v>
      </c>
      <c r="HF14">
        <v>1</v>
      </c>
      <c r="HG14">
        <v>0</v>
      </c>
      <c r="HH14" s="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 s="1">
        <v>1</v>
      </c>
      <c r="HV14">
        <v>1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1</v>
      </c>
      <c r="IG14">
        <v>0</v>
      </c>
      <c r="IH14">
        <v>0</v>
      </c>
      <c r="II14" s="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 s="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</v>
      </c>
      <c r="JJ14">
        <v>0</v>
      </c>
      <c r="JK14" s="4">
        <v>0</v>
      </c>
      <c r="JL14">
        <v>1</v>
      </c>
      <c r="JM14" s="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0</v>
      </c>
      <c r="JZ14">
        <v>0</v>
      </c>
      <c r="KA14" s="4">
        <v>0</v>
      </c>
      <c r="KB14" s="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 s="1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0</v>
      </c>
      <c r="KS14">
        <v>0</v>
      </c>
      <c r="KT14">
        <v>0</v>
      </c>
      <c r="KU14">
        <v>1</v>
      </c>
      <c r="KV14" s="4">
        <v>0</v>
      </c>
      <c r="KW14">
        <v>0</v>
      </c>
      <c r="KX14">
        <v>1</v>
      </c>
      <c r="KY14" s="4">
        <v>0</v>
      </c>
      <c r="KZ14">
        <v>0</v>
      </c>
      <c r="LA14">
        <v>0</v>
      </c>
      <c r="LB14">
        <v>0</v>
      </c>
      <c r="LC14" s="4">
        <v>0</v>
      </c>
      <c r="LD14">
        <v>0</v>
      </c>
      <c r="LE14">
        <v>0</v>
      </c>
      <c r="LF14">
        <v>0</v>
      </c>
      <c r="LG14">
        <v>1</v>
      </c>
      <c r="LH14">
        <v>0</v>
      </c>
      <c r="LI14">
        <v>1</v>
      </c>
      <c r="LJ14" s="1">
        <v>1</v>
      </c>
      <c r="LK14">
        <v>1</v>
      </c>
      <c r="LL14">
        <v>0</v>
      </c>
      <c r="LM14" s="4">
        <v>0</v>
      </c>
      <c r="LN14">
        <v>0</v>
      </c>
      <c r="LO14">
        <v>0</v>
      </c>
      <c r="LP14">
        <v>0</v>
      </c>
      <c r="LQ14">
        <v>1</v>
      </c>
      <c r="LR14" s="1">
        <v>1</v>
      </c>
      <c r="LS14">
        <v>0</v>
      </c>
      <c r="LT14">
        <v>0</v>
      </c>
      <c r="LU14" s="1">
        <v>1</v>
      </c>
      <c r="LV14">
        <v>1</v>
      </c>
      <c r="LW14">
        <v>0</v>
      </c>
      <c r="LX14">
        <v>1</v>
      </c>
      <c r="LY14">
        <v>0</v>
      </c>
      <c r="LZ14">
        <v>0</v>
      </c>
      <c r="MA14">
        <v>1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1</v>
      </c>
      <c r="MH14">
        <v>0</v>
      </c>
      <c r="MI14">
        <v>0</v>
      </c>
      <c r="MJ14">
        <v>0</v>
      </c>
      <c r="MK14">
        <v>0</v>
      </c>
      <c r="ML14">
        <v>1</v>
      </c>
      <c r="MM14">
        <v>0</v>
      </c>
      <c r="MN14" s="1">
        <v>1</v>
      </c>
      <c r="MO14">
        <v>0</v>
      </c>
      <c r="MP14">
        <v>0</v>
      </c>
      <c r="MQ14">
        <v>0</v>
      </c>
      <c r="MR14">
        <v>1</v>
      </c>
      <c r="MS14">
        <v>0</v>
      </c>
      <c r="MT14" s="4">
        <v>0</v>
      </c>
      <c r="MU14" s="1">
        <v>1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 s="4">
        <v>0</v>
      </c>
      <c r="NC14">
        <v>0</v>
      </c>
      <c r="ND14">
        <v>0</v>
      </c>
      <c r="NE14" s="1">
        <v>1</v>
      </c>
      <c r="NF14">
        <v>0</v>
      </c>
      <c r="NG14">
        <v>0</v>
      </c>
      <c r="NH14">
        <v>0</v>
      </c>
      <c r="NI14">
        <v>0</v>
      </c>
      <c r="NJ14" s="4">
        <v>0</v>
      </c>
      <c r="NK14">
        <v>0</v>
      </c>
      <c r="NL14">
        <v>0</v>
      </c>
      <c r="NM14">
        <v>0</v>
      </c>
      <c r="NN14" s="1">
        <v>1</v>
      </c>
      <c r="NO14">
        <v>1</v>
      </c>
      <c r="NP14">
        <v>0</v>
      </c>
      <c r="NQ14">
        <v>0</v>
      </c>
      <c r="NR14">
        <v>0</v>
      </c>
      <c r="NS14" s="4">
        <v>0</v>
      </c>
      <c r="NT14">
        <v>0</v>
      </c>
      <c r="NU14">
        <v>0</v>
      </c>
      <c r="NV14">
        <v>0</v>
      </c>
      <c r="NW14">
        <v>0</v>
      </c>
      <c r="NX14">
        <v>1</v>
      </c>
      <c r="NY14" s="4">
        <v>0</v>
      </c>
      <c r="NZ14">
        <v>0</v>
      </c>
      <c r="OA14">
        <v>0</v>
      </c>
      <c r="OB14">
        <v>1</v>
      </c>
      <c r="OC14">
        <v>0</v>
      </c>
      <c r="OD14" s="4">
        <v>0</v>
      </c>
      <c r="OE14">
        <v>0</v>
      </c>
      <c r="OF14">
        <v>0</v>
      </c>
      <c r="OG14">
        <v>0</v>
      </c>
      <c r="OH14">
        <v>0</v>
      </c>
      <c r="OI14">
        <v>1</v>
      </c>
      <c r="OJ14">
        <v>0</v>
      </c>
      <c r="OK14">
        <v>1</v>
      </c>
      <c r="OL14">
        <v>1</v>
      </c>
      <c r="OM14">
        <v>0</v>
      </c>
      <c r="ON14">
        <v>1</v>
      </c>
      <c r="OO14">
        <v>0</v>
      </c>
      <c r="OP14" s="4">
        <v>0</v>
      </c>
      <c r="OQ14">
        <v>1</v>
      </c>
      <c r="OS14" s="4">
        <f t="shared" si="0"/>
        <v>88</v>
      </c>
      <c r="OT14" s="4">
        <f t="shared" si="1"/>
        <v>92</v>
      </c>
    </row>
    <row r="15" spans="1:427" x14ac:dyDescent="0.3">
      <c r="A15" s="10" t="s">
        <v>627</v>
      </c>
      <c r="B15">
        <v>0</v>
      </c>
      <c r="C15">
        <v>0</v>
      </c>
      <c r="D15" s="1">
        <v>0</v>
      </c>
      <c r="E15">
        <v>1</v>
      </c>
      <c r="F15" s="1">
        <v>1</v>
      </c>
      <c r="G15" s="1">
        <v>2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 s="1">
        <v>1</v>
      </c>
      <c r="R15">
        <v>0</v>
      </c>
      <c r="S15">
        <v>0</v>
      </c>
      <c r="T15">
        <v>0</v>
      </c>
      <c r="U15">
        <v>1</v>
      </c>
      <c r="V15" s="1">
        <v>1</v>
      </c>
      <c r="W15" s="1">
        <v>0</v>
      </c>
      <c r="X15">
        <v>1</v>
      </c>
      <c r="Y15">
        <v>0</v>
      </c>
      <c r="Z15">
        <v>0</v>
      </c>
      <c r="AA15" s="1">
        <v>1</v>
      </c>
      <c r="AB15" s="1">
        <v>1</v>
      </c>
      <c r="AC15">
        <v>0</v>
      </c>
      <c r="AD15" s="1">
        <v>1</v>
      </c>
      <c r="AE15">
        <v>1</v>
      </c>
      <c r="AF15">
        <v>0</v>
      </c>
      <c r="AG15">
        <v>0</v>
      </c>
      <c r="AH15">
        <v>1</v>
      </c>
      <c r="AI15" s="1">
        <v>1</v>
      </c>
      <c r="AJ15" s="1">
        <v>1</v>
      </c>
      <c r="AK15" s="1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1</v>
      </c>
      <c r="AU15" s="1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 s="1">
        <v>1</v>
      </c>
      <c r="BT15">
        <v>0</v>
      </c>
      <c r="BU15" s="4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 s="4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 s="4">
        <v>0</v>
      </c>
      <c r="CH15" s="4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0</v>
      </c>
      <c r="DF15">
        <v>0</v>
      </c>
      <c r="DG15">
        <v>0</v>
      </c>
      <c r="DH15" s="1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 s="4">
        <v>0</v>
      </c>
      <c r="DP15">
        <v>0</v>
      </c>
      <c r="DQ15">
        <v>0</v>
      </c>
      <c r="DR15" s="1">
        <v>2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 s="4">
        <v>0</v>
      </c>
      <c r="EJ15">
        <v>0</v>
      </c>
      <c r="EK15">
        <v>0</v>
      </c>
      <c r="EL15" s="4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 s="1">
        <v>1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 s="4">
        <v>0</v>
      </c>
      <c r="FS15" s="1">
        <v>1</v>
      </c>
      <c r="FT15">
        <v>0</v>
      </c>
      <c r="FU15">
        <v>0</v>
      </c>
      <c r="FV15">
        <v>1</v>
      </c>
      <c r="FW15">
        <v>0</v>
      </c>
      <c r="FX15" s="4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 s="4">
        <v>0</v>
      </c>
      <c r="GE15">
        <v>1</v>
      </c>
      <c r="GF15">
        <v>0</v>
      </c>
      <c r="GG15">
        <v>0</v>
      </c>
      <c r="GH15">
        <v>1</v>
      </c>
      <c r="GI15">
        <v>1</v>
      </c>
      <c r="GJ15">
        <v>2</v>
      </c>
      <c r="GK15">
        <v>0</v>
      </c>
      <c r="GL15">
        <v>0</v>
      </c>
      <c r="GM15">
        <v>0</v>
      </c>
      <c r="GN15">
        <v>1</v>
      </c>
      <c r="GO15">
        <v>1</v>
      </c>
      <c r="GP15">
        <v>0</v>
      </c>
      <c r="GQ15">
        <v>0</v>
      </c>
      <c r="GR15" s="1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 s="1">
        <v>1</v>
      </c>
      <c r="GY15">
        <v>0</v>
      </c>
      <c r="GZ15">
        <v>1</v>
      </c>
      <c r="HA15">
        <v>0</v>
      </c>
      <c r="HB15">
        <v>0</v>
      </c>
      <c r="HC15" s="4">
        <v>0</v>
      </c>
      <c r="HD15">
        <v>0</v>
      </c>
      <c r="HE15">
        <v>0</v>
      </c>
      <c r="HF15">
        <v>0</v>
      </c>
      <c r="HG15">
        <v>0</v>
      </c>
      <c r="HH15" s="4">
        <v>0</v>
      </c>
      <c r="HI15">
        <v>1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 s="1">
        <v>1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1</v>
      </c>
      <c r="II15" s="4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1</v>
      </c>
      <c r="IQ15">
        <v>1</v>
      </c>
      <c r="IR15" s="4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1</v>
      </c>
      <c r="IY15">
        <v>0</v>
      </c>
      <c r="IZ15">
        <v>0</v>
      </c>
      <c r="JA15">
        <v>0</v>
      </c>
      <c r="JB15">
        <v>2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</v>
      </c>
      <c r="JJ15">
        <v>1</v>
      </c>
      <c r="JK15" s="4">
        <v>0</v>
      </c>
      <c r="JL15">
        <v>1</v>
      </c>
      <c r="JM15" s="4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1</v>
      </c>
      <c r="JY15">
        <v>0</v>
      </c>
      <c r="JZ15">
        <v>0</v>
      </c>
      <c r="KA15" s="4">
        <v>0</v>
      </c>
      <c r="KB15" s="4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 s="1">
        <v>1</v>
      </c>
      <c r="KJ15">
        <v>0</v>
      </c>
      <c r="KK15">
        <v>1</v>
      </c>
      <c r="KL15">
        <v>1</v>
      </c>
      <c r="KM15">
        <v>0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0</v>
      </c>
      <c r="KT15">
        <v>1</v>
      </c>
      <c r="KU15">
        <v>0</v>
      </c>
      <c r="KV15" s="4">
        <v>0</v>
      </c>
      <c r="KW15">
        <v>0</v>
      </c>
      <c r="KX15">
        <v>1</v>
      </c>
      <c r="KY15" s="4">
        <v>0</v>
      </c>
      <c r="KZ15">
        <v>0</v>
      </c>
      <c r="LA15">
        <v>1</v>
      </c>
      <c r="LB15">
        <v>0</v>
      </c>
      <c r="LC15" s="4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 s="1">
        <v>1</v>
      </c>
      <c r="LK15">
        <v>0</v>
      </c>
      <c r="LL15">
        <v>0</v>
      </c>
      <c r="LM15" s="4">
        <v>0</v>
      </c>
      <c r="LN15">
        <v>0</v>
      </c>
      <c r="LO15">
        <v>0</v>
      </c>
      <c r="LP15">
        <v>0</v>
      </c>
      <c r="LQ15">
        <v>1</v>
      </c>
      <c r="LR15" s="1">
        <v>1</v>
      </c>
      <c r="LS15">
        <v>0</v>
      </c>
      <c r="LT15">
        <v>0</v>
      </c>
      <c r="LU15" s="1">
        <v>1</v>
      </c>
      <c r="LV15">
        <v>0</v>
      </c>
      <c r="LW15">
        <v>0</v>
      </c>
      <c r="LX15">
        <v>1</v>
      </c>
      <c r="LY15">
        <v>0</v>
      </c>
      <c r="LZ15">
        <v>0</v>
      </c>
      <c r="MA15">
        <v>1</v>
      </c>
      <c r="MB15">
        <v>0</v>
      </c>
      <c r="MC15">
        <v>0</v>
      </c>
      <c r="MD15">
        <v>0</v>
      </c>
      <c r="ME15">
        <v>1</v>
      </c>
      <c r="MF15">
        <v>0</v>
      </c>
      <c r="MG15">
        <v>1</v>
      </c>
      <c r="MH15">
        <v>1</v>
      </c>
      <c r="MI15">
        <v>0</v>
      </c>
      <c r="MJ15">
        <v>0</v>
      </c>
      <c r="MK15">
        <v>0</v>
      </c>
      <c r="ML15">
        <v>2</v>
      </c>
      <c r="MM15">
        <v>0</v>
      </c>
      <c r="MN15" s="1">
        <v>1</v>
      </c>
      <c r="MO15">
        <v>1</v>
      </c>
      <c r="MP15">
        <v>0</v>
      </c>
      <c r="MQ15">
        <v>0</v>
      </c>
      <c r="MR15">
        <v>0</v>
      </c>
      <c r="MS15">
        <v>0</v>
      </c>
      <c r="MT15" s="4">
        <v>0</v>
      </c>
      <c r="MU15" s="1">
        <v>1</v>
      </c>
      <c r="MV15">
        <v>0</v>
      </c>
      <c r="MW15">
        <v>1</v>
      </c>
      <c r="MX15">
        <v>0</v>
      </c>
      <c r="MY15">
        <v>0</v>
      </c>
      <c r="MZ15">
        <v>0</v>
      </c>
      <c r="NA15">
        <v>0</v>
      </c>
      <c r="NB15" s="4">
        <v>0</v>
      </c>
      <c r="NC15">
        <v>0</v>
      </c>
      <c r="ND15">
        <v>0</v>
      </c>
      <c r="NE15" s="1">
        <v>1</v>
      </c>
      <c r="NF15">
        <v>0</v>
      </c>
      <c r="NG15">
        <v>0</v>
      </c>
      <c r="NH15">
        <v>0</v>
      </c>
      <c r="NI15">
        <v>0</v>
      </c>
      <c r="NJ15" s="4">
        <v>0</v>
      </c>
      <c r="NK15">
        <v>0</v>
      </c>
      <c r="NL15">
        <v>0</v>
      </c>
      <c r="NM15">
        <v>0</v>
      </c>
      <c r="NN15" s="1">
        <v>1</v>
      </c>
      <c r="NO15">
        <v>1</v>
      </c>
      <c r="NP15">
        <v>0</v>
      </c>
      <c r="NQ15">
        <v>0</v>
      </c>
      <c r="NR15">
        <v>1</v>
      </c>
      <c r="NS15" s="4">
        <v>0</v>
      </c>
      <c r="NT15">
        <v>0</v>
      </c>
      <c r="NU15">
        <v>0</v>
      </c>
      <c r="NV15">
        <v>0</v>
      </c>
      <c r="NW15">
        <v>0</v>
      </c>
      <c r="NX15">
        <v>1</v>
      </c>
      <c r="NY15" s="4">
        <v>0</v>
      </c>
      <c r="NZ15">
        <v>0</v>
      </c>
      <c r="OA15">
        <v>0</v>
      </c>
      <c r="OB15">
        <v>0</v>
      </c>
      <c r="OC15">
        <v>1</v>
      </c>
      <c r="OD15" s="4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1</v>
      </c>
      <c r="OL15">
        <v>1</v>
      </c>
      <c r="OM15">
        <v>0</v>
      </c>
      <c r="ON15">
        <v>1</v>
      </c>
      <c r="OO15">
        <v>0</v>
      </c>
      <c r="OP15" s="4">
        <v>0</v>
      </c>
      <c r="OQ15">
        <v>0</v>
      </c>
      <c r="OS15" s="4">
        <f t="shared" si="0"/>
        <v>105</v>
      </c>
      <c r="OT15" s="4">
        <f t="shared" si="1"/>
        <v>110</v>
      </c>
    </row>
    <row r="16" spans="1:427" x14ac:dyDescent="0.3">
      <c r="A16" s="10" t="s">
        <v>628</v>
      </c>
      <c r="B16">
        <v>0</v>
      </c>
      <c r="C16">
        <v>0</v>
      </c>
      <c r="D16" s="1">
        <v>0</v>
      </c>
      <c r="E16">
        <v>0</v>
      </c>
      <c r="F16" s="1">
        <v>1</v>
      </c>
      <c r="G16" s="1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 s="1">
        <v>1</v>
      </c>
      <c r="R16">
        <v>1</v>
      </c>
      <c r="S16">
        <v>0</v>
      </c>
      <c r="T16">
        <v>0</v>
      </c>
      <c r="U16">
        <v>0</v>
      </c>
      <c r="V16" s="1">
        <v>1</v>
      </c>
      <c r="W16" s="1">
        <v>0</v>
      </c>
      <c r="X16">
        <v>1</v>
      </c>
      <c r="Y16">
        <v>0</v>
      </c>
      <c r="Z16">
        <v>1</v>
      </c>
      <c r="AA16" s="1">
        <v>1</v>
      </c>
      <c r="AB16" s="1">
        <v>1</v>
      </c>
      <c r="AC16">
        <v>0</v>
      </c>
      <c r="AD16" s="1">
        <v>1</v>
      </c>
      <c r="AE16" s="1">
        <v>1</v>
      </c>
      <c r="AF16">
        <v>0</v>
      </c>
      <c r="AG16">
        <v>1</v>
      </c>
      <c r="AH16">
        <v>0</v>
      </c>
      <c r="AI16" s="1">
        <v>1</v>
      </c>
      <c r="AJ16" s="1">
        <v>1</v>
      </c>
      <c r="AK16" s="1">
        <v>1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1</v>
      </c>
      <c r="AU16" s="1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s="1">
        <v>1</v>
      </c>
      <c r="BT16">
        <v>0</v>
      </c>
      <c r="BU16" s="4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s="4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 s="4">
        <v>0</v>
      </c>
      <c r="CH16" s="4">
        <v>0</v>
      </c>
      <c r="CI16">
        <v>0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 s="1">
        <v>1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 s="4">
        <v>0</v>
      </c>
      <c r="DP16">
        <v>0</v>
      </c>
      <c r="DQ16">
        <v>0</v>
      </c>
      <c r="DR16" s="1">
        <v>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 s="4">
        <v>0</v>
      </c>
      <c r="EJ16">
        <v>0</v>
      </c>
      <c r="EK16">
        <v>0</v>
      </c>
      <c r="EL16" s="4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 s="1">
        <v>1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 s="4">
        <v>0</v>
      </c>
      <c r="FS16" s="1">
        <v>1</v>
      </c>
      <c r="FT16">
        <v>0</v>
      </c>
      <c r="FU16">
        <v>0</v>
      </c>
      <c r="FV16">
        <v>0</v>
      </c>
      <c r="FW16">
        <v>0</v>
      </c>
      <c r="FX16" s="4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 s="4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 s="1">
        <v>1</v>
      </c>
      <c r="GS16">
        <v>0</v>
      </c>
      <c r="GT16">
        <v>0</v>
      </c>
      <c r="GU16">
        <v>0</v>
      </c>
      <c r="GV16">
        <v>1</v>
      </c>
      <c r="GW16">
        <v>0</v>
      </c>
      <c r="GX16" s="1">
        <v>1</v>
      </c>
      <c r="GY16">
        <v>0</v>
      </c>
      <c r="GZ16">
        <v>0</v>
      </c>
      <c r="HA16">
        <v>0</v>
      </c>
      <c r="HB16">
        <v>0</v>
      </c>
      <c r="HC16" s="4">
        <v>0</v>
      </c>
      <c r="HD16">
        <v>0</v>
      </c>
      <c r="HE16">
        <v>0</v>
      </c>
      <c r="HF16">
        <v>0</v>
      </c>
      <c r="HG16">
        <v>0</v>
      </c>
      <c r="HH16" s="4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 s="1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</v>
      </c>
      <c r="IG16">
        <v>0</v>
      </c>
      <c r="IH16">
        <v>0</v>
      </c>
      <c r="II16" s="4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 s="4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 s="4">
        <v>0</v>
      </c>
      <c r="JL16">
        <v>0</v>
      </c>
      <c r="JM16" s="4">
        <v>0</v>
      </c>
      <c r="JN16">
        <v>0</v>
      </c>
      <c r="JO16">
        <v>0</v>
      </c>
      <c r="JP16">
        <v>0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 s="4">
        <v>0</v>
      </c>
      <c r="KB16" s="4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 s="1">
        <v>1</v>
      </c>
      <c r="KJ16">
        <v>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 s="4">
        <v>0</v>
      </c>
      <c r="KW16">
        <v>0</v>
      </c>
      <c r="KX16">
        <v>0</v>
      </c>
      <c r="KY16" s="4">
        <v>0</v>
      </c>
      <c r="KZ16">
        <v>0</v>
      </c>
      <c r="LA16">
        <v>0</v>
      </c>
      <c r="LB16">
        <v>1</v>
      </c>
      <c r="LC16" s="4">
        <v>0</v>
      </c>
      <c r="LD16">
        <v>0</v>
      </c>
      <c r="LE16">
        <v>0</v>
      </c>
      <c r="LF16">
        <v>0</v>
      </c>
      <c r="LG16">
        <v>1</v>
      </c>
      <c r="LH16">
        <v>0</v>
      </c>
      <c r="LI16">
        <v>1</v>
      </c>
      <c r="LJ16" s="1">
        <v>1</v>
      </c>
      <c r="LK16">
        <v>0</v>
      </c>
      <c r="LL16">
        <v>0</v>
      </c>
      <c r="LM16" s="4">
        <v>0</v>
      </c>
      <c r="LN16">
        <v>0</v>
      </c>
      <c r="LO16">
        <v>0</v>
      </c>
      <c r="LP16">
        <v>0</v>
      </c>
      <c r="LQ16">
        <v>1</v>
      </c>
      <c r="LR16" s="1">
        <v>1</v>
      </c>
      <c r="LS16">
        <v>0</v>
      </c>
      <c r="LT16">
        <v>0</v>
      </c>
      <c r="LU16" s="1">
        <v>1</v>
      </c>
      <c r="LV16">
        <v>0</v>
      </c>
      <c r="LW16">
        <v>0</v>
      </c>
      <c r="LX16">
        <v>1</v>
      </c>
      <c r="LY16">
        <v>1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 s="1">
        <v>1</v>
      </c>
      <c r="MO16">
        <v>1</v>
      </c>
      <c r="MP16">
        <v>0</v>
      </c>
      <c r="MQ16">
        <v>0</v>
      </c>
      <c r="MR16">
        <v>0</v>
      </c>
      <c r="MS16">
        <v>0</v>
      </c>
      <c r="MT16" s="4">
        <v>0</v>
      </c>
      <c r="MU16" s="1">
        <v>1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 s="4">
        <v>0</v>
      </c>
      <c r="NC16">
        <v>0</v>
      </c>
      <c r="ND16">
        <v>0</v>
      </c>
      <c r="NE16" s="1">
        <v>1</v>
      </c>
      <c r="NF16">
        <v>0</v>
      </c>
      <c r="NG16">
        <v>0</v>
      </c>
      <c r="NH16">
        <v>0</v>
      </c>
      <c r="NI16">
        <v>0</v>
      </c>
      <c r="NJ16" s="4">
        <v>0</v>
      </c>
      <c r="NK16">
        <v>0</v>
      </c>
      <c r="NL16">
        <v>0</v>
      </c>
      <c r="NM16">
        <v>1</v>
      </c>
      <c r="NN16" s="1">
        <v>1</v>
      </c>
      <c r="NO16">
        <v>1</v>
      </c>
      <c r="NP16">
        <v>3</v>
      </c>
      <c r="NQ16">
        <v>0</v>
      </c>
      <c r="NR16">
        <v>0</v>
      </c>
      <c r="NS16" s="4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 s="4">
        <v>0</v>
      </c>
      <c r="NZ16">
        <v>1</v>
      </c>
      <c r="OA16">
        <v>0</v>
      </c>
      <c r="OB16">
        <v>0</v>
      </c>
      <c r="OC16">
        <v>0</v>
      </c>
      <c r="OD16" s="4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 s="4">
        <v>0</v>
      </c>
      <c r="OQ16">
        <v>1</v>
      </c>
      <c r="OS16" s="4">
        <f t="shared" si="0"/>
        <v>67</v>
      </c>
      <c r="OT16" s="4">
        <f t="shared" si="1"/>
        <v>73</v>
      </c>
    </row>
    <row r="17" spans="1:410" x14ac:dyDescent="0.3">
      <c r="A17" s="10" t="s">
        <v>629</v>
      </c>
      <c r="B17">
        <v>0</v>
      </c>
      <c r="C17">
        <v>0</v>
      </c>
      <c r="D17" s="1">
        <v>0</v>
      </c>
      <c r="E17">
        <v>0</v>
      </c>
      <c r="F17" s="1">
        <v>1</v>
      </c>
      <c r="G17" s="1">
        <v>1</v>
      </c>
      <c r="H17">
        <v>1</v>
      </c>
      <c r="I17">
        <v>1</v>
      </c>
      <c r="J17" s="1">
        <v>0</v>
      </c>
      <c r="K17">
        <v>0</v>
      </c>
      <c r="L17">
        <v>1</v>
      </c>
      <c r="M17">
        <v>1</v>
      </c>
      <c r="N17">
        <v>1</v>
      </c>
      <c r="O17" s="1">
        <v>0</v>
      </c>
      <c r="P17">
        <v>1</v>
      </c>
      <c r="Q17" s="1">
        <v>1</v>
      </c>
      <c r="R17">
        <v>1</v>
      </c>
      <c r="S17">
        <v>1</v>
      </c>
      <c r="T17" s="1">
        <v>0</v>
      </c>
      <c r="U17" s="1">
        <v>0</v>
      </c>
      <c r="V17" s="1">
        <v>1</v>
      </c>
      <c r="W17" s="1">
        <v>0</v>
      </c>
      <c r="X17">
        <v>1</v>
      </c>
      <c r="Y17" s="1">
        <v>0</v>
      </c>
      <c r="Z17" s="1">
        <v>0</v>
      </c>
      <c r="AA17" s="1">
        <v>1</v>
      </c>
      <c r="AB17" s="1">
        <v>1</v>
      </c>
      <c r="AC17">
        <v>1</v>
      </c>
      <c r="AD17" s="1">
        <v>1</v>
      </c>
      <c r="AE17" s="2">
        <v>1</v>
      </c>
      <c r="AF17" s="1">
        <v>1</v>
      </c>
      <c r="AG17" s="1">
        <v>1</v>
      </c>
      <c r="AH17" s="1">
        <v>0</v>
      </c>
      <c r="AI17" s="1">
        <v>1</v>
      </c>
      <c r="AJ17" s="1">
        <v>1</v>
      </c>
      <c r="AK17" s="1">
        <v>1</v>
      </c>
      <c r="AL17">
        <v>0</v>
      </c>
      <c r="AM17" s="1">
        <v>1</v>
      </c>
      <c r="AN17" s="1">
        <v>1</v>
      </c>
      <c r="AO17" s="1">
        <v>1</v>
      </c>
      <c r="AP17">
        <v>0</v>
      </c>
      <c r="AQ17" s="1">
        <v>1</v>
      </c>
      <c r="AR17">
        <v>0</v>
      </c>
      <c r="AS17">
        <v>0</v>
      </c>
      <c r="AT17">
        <v>0</v>
      </c>
      <c r="AU17" s="1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s="1">
        <v>1</v>
      </c>
      <c r="BT17">
        <v>0</v>
      </c>
      <c r="BU17" s="4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 s="4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 s="4">
        <v>0</v>
      </c>
      <c r="CH17" s="4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 s="1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 s="4">
        <v>0</v>
      </c>
      <c r="DP17">
        <v>0</v>
      </c>
      <c r="DQ17">
        <v>0</v>
      </c>
      <c r="DR17" s="1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 s="4">
        <v>0</v>
      </c>
      <c r="EJ17">
        <v>0</v>
      </c>
      <c r="EK17">
        <v>0</v>
      </c>
      <c r="EL17" s="4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 s="1">
        <v>1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 s="4">
        <v>0</v>
      </c>
      <c r="FS17" s="1">
        <v>1</v>
      </c>
      <c r="FT17">
        <v>0</v>
      </c>
      <c r="FU17">
        <v>0</v>
      </c>
      <c r="FV17">
        <v>1</v>
      </c>
      <c r="FW17">
        <v>0</v>
      </c>
      <c r="FX17" s="4">
        <v>0</v>
      </c>
      <c r="FY17">
        <v>0</v>
      </c>
      <c r="FZ17">
        <v>0</v>
      </c>
      <c r="GA17">
        <v>0</v>
      </c>
      <c r="GB17">
        <v>0</v>
      </c>
      <c r="GC17">
        <v>1</v>
      </c>
      <c r="GD17" s="4">
        <v>0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 s="1">
        <v>1</v>
      </c>
      <c r="GS17">
        <v>0</v>
      </c>
      <c r="GT17">
        <v>0</v>
      </c>
      <c r="GU17">
        <v>0</v>
      </c>
      <c r="GV17">
        <v>0</v>
      </c>
      <c r="GW17">
        <v>0</v>
      </c>
      <c r="GX17" s="1">
        <v>1</v>
      </c>
      <c r="GY17">
        <v>0</v>
      </c>
      <c r="GZ17">
        <v>1</v>
      </c>
      <c r="HA17">
        <v>0</v>
      </c>
      <c r="HB17">
        <v>0</v>
      </c>
      <c r="HC17" s="4">
        <v>0</v>
      </c>
      <c r="HD17">
        <v>0</v>
      </c>
      <c r="HE17">
        <v>0</v>
      </c>
      <c r="HF17">
        <v>1</v>
      </c>
      <c r="HG17">
        <v>0</v>
      </c>
      <c r="HH17" s="4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 s="1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 s="4">
        <v>0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1</v>
      </c>
      <c r="IQ17">
        <v>1</v>
      </c>
      <c r="IR17" s="4">
        <v>0</v>
      </c>
      <c r="IS17">
        <v>1</v>
      </c>
      <c r="IT17">
        <v>0</v>
      </c>
      <c r="IU17">
        <v>0</v>
      </c>
      <c r="IV17">
        <v>0</v>
      </c>
      <c r="IW17">
        <v>0</v>
      </c>
      <c r="IX17">
        <v>1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1</v>
      </c>
      <c r="JJ17">
        <v>0</v>
      </c>
      <c r="JK17" s="4">
        <v>0</v>
      </c>
      <c r="JL17">
        <v>0</v>
      </c>
      <c r="JM17" s="4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0</v>
      </c>
      <c r="KA17" s="4">
        <v>0</v>
      </c>
      <c r="KB17" s="4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 s="1">
        <v>1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1</v>
      </c>
      <c r="KR17">
        <v>0</v>
      </c>
      <c r="KS17">
        <v>0</v>
      </c>
      <c r="KT17">
        <v>0</v>
      </c>
      <c r="KU17">
        <v>1</v>
      </c>
      <c r="KV17" s="4">
        <v>0</v>
      </c>
      <c r="KW17">
        <v>0</v>
      </c>
      <c r="KX17">
        <v>0</v>
      </c>
      <c r="KY17" s="4">
        <v>0</v>
      </c>
      <c r="KZ17">
        <v>0</v>
      </c>
      <c r="LA17">
        <v>0</v>
      </c>
      <c r="LB17">
        <v>0</v>
      </c>
      <c r="LC17" s="4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 s="1">
        <v>2</v>
      </c>
      <c r="LK17">
        <v>0</v>
      </c>
      <c r="LL17">
        <v>0</v>
      </c>
      <c r="LM17" s="4">
        <v>0</v>
      </c>
      <c r="LN17">
        <v>0</v>
      </c>
      <c r="LO17">
        <v>0</v>
      </c>
      <c r="LP17">
        <v>0</v>
      </c>
      <c r="LQ17">
        <v>1</v>
      </c>
      <c r="LR17" s="1">
        <v>1</v>
      </c>
      <c r="LS17">
        <v>0</v>
      </c>
      <c r="LT17">
        <v>0</v>
      </c>
      <c r="LU17" s="1">
        <v>1</v>
      </c>
      <c r="LV17">
        <v>0</v>
      </c>
      <c r="LW17">
        <v>0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 s="1">
        <v>1</v>
      </c>
      <c r="MO17">
        <v>0</v>
      </c>
      <c r="MP17">
        <v>0</v>
      </c>
      <c r="MQ17">
        <v>0</v>
      </c>
      <c r="MR17">
        <v>0</v>
      </c>
      <c r="MS17">
        <v>0</v>
      </c>
      <c r="MT17" s="4">
        <v>0</v>
      </c>
      <c r="MU17" s="1">
        <v>1</v>
      </c>
      <c r="MV17">
        <v>0</v>
      </c>
      <c r="MW17">
        <v>1</v>
      </c>
      <c r="MX17">
        <v>0</v>
      </c>
      <c r="MY17">
        <v>0</v>
      </c>
      <c r="MZ17">
        <v>0</v>
      </c>
      <c r="NA17">
        <v>0</v>
      </c>
      <c r="NB17" s="4">
        <v>0</v>
      </c>
      <c r="NC17">
        <v>0</v>
      </c>
      <c r="ND17">
        <v>0</v>
      </c>
      <c r="NE17" s="1">
        <v>1</v>
      </c>
      <c r="NF17">
        <v>0</v>
      </c>
      <c r="NG17">
        <v>0</v>
      </c>
      <c r="NH17">
        <v>0</v>
      </c>
      <c r="NI17">
        <v>0</v>
      </c>
      <c r="NJ17" s="4">
        <v>0</v>
      </c>
      <c r="NK17">
        <v>0</v>
      </c>
      <c r="NL17">
        <v>0</v>
      </c>
      <c r="NM17">
        <v>0</v>
      </c>
      <c r="NN17" s="1">
        <v>1</v>
      </c>
      <c r="NO17">
        <v>1</v>
      </c>
      <c r="NP17">
        <v>0</v>
      </c>
      <c r="NQ17">
        <v>0</v>
      </c>
      <c r="NR17">
        <v>1</v>
      </c>
      <c r="NS17" s="4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 s="4">
        <v>0</v>
      </c>
      <c r="NZ17">
        <v>0</v>
      </c>
      <c r="OA17">
        <v>0</v>
      </c>
      <c r="OB17">
        <v>0</v>
      </c>
      <c r="OC17">
        <v>0</v>
      </c>
      <c r="OD17" s="4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1</v>
      </c>
      <c r="OL17">
        <v>1</v>
      </c>
      <c r="OM17">
        <v>0</v>
      </c>
      <c r="ON17">
        <v>0</v>
      </c>
      <c r="OO17">
        <v>0</v>
      </c>
      <c r="OP17" s="4">
        <v>0</v>
      </c>
      <c r="OQ17">
        <v>0</v>
      </c>
      <c r="OS17" s="4">
        <f t="shared" si="0"/>
        <v>79</v>
      </c>
      <c r="OT17" s="4">
        <f t="shared" si="1"/>
        <v>80</v>
      </c>
    </row>
    <row r="18" spans="1:410" x14ac:dyDescent="0.3">
      <c r="A18" s="10" t="s">
        <v>630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>
        <v>0</v>
      </c>
      <c r="L18">
        <v>1</v>
      </c>
      <c r="M18" s="1">
        <v>0</v>
      </c>
      <c r="N18">
        <v>1</v>
      </c>
      <c r="O18" s="1">
        <v>0</v>
      </c>
      <c r="P18">
        <v>1</v>
      </c>
      <c r="Q18" s="1">
        <v>1</v>
      </c>
      <c r="R18">
        <v>1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>
        <v>1</v>
      </c>
      <c r="Y18" s="1">
        <v>0</v>
      </c>
      <c r="Z18">
        <v>1</v>
      </c>
      <c r="AA18" s="1">
        <v>1</v>
      </c>
      <c r="AB18" s="1">
        <v>1</v>
      </c>
      <c r="AC18" s="1">
        <v>0</v>
      </c>
      <c r="AD18" s="1">
        <v>1</v>
      </c>
      <c r="AE18" s="2">
        <v>1</v>
      </c>
      <c r="AF18" s="1">
        <v>0</v>
      </c>
      <c r="AG18" s="1">
        <v>0</v>
      </c>
      <c r="AH18">
        <v>1</v>
      </c>
      <c r="AI18" s="1">
        <v>1</v>
      </c>
      <c r="AJ18" s="1">
        <v>1</v>
      </c>
      <c r="AK18" s="1">
        <v>1</v>
      </c>
      <c r="AL18">
        <v>0</v>
      </c>
      <c r="AM18">
        <v>0</v>
      </c>
      <c r="AN18" s="1">
        <v>1</v>
      </c>
      <c r="AO18" s="1">
        <v>1</v>
      </c>
      <c r="AP18">
        <v>0</v>
      </c>
      <c r="AQ18" s="1">
        <v>1</v>
      </c>
      <c r="AR18">
        <v>0</v>
      </c>
      <c r="AS18">
        <v>0</v>
      </c>
      <c r="AT18">
        <v>0</v>
      </c>
      <c r="AU18" s="1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s="1">
        <v>1</v>
      </c>
      <c r="BT18">
        <v>0</v>
      </c>
      <c r="BU18" s="4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s="4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 s="4">
        <v>0</v>
      </c>
      <c r="CH18" s="4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 s="1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 s="4">
        <v>0</v>
      </c>
      <c r="DP18">
        <v>0</v>
      </c>
      <c r="DQ18">
        <v>0</v>
      </c>
      <c r="DR18" s="1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 s="4">
        <v>0</v>
      </c>
      <c r="EJ18">
        <v>0</v>
      </c>
      <c r="EK18">
        <v>0</v>
      </c>
      <c r="EL18" s="4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 s="1">
        <v>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0</v>
      </c>
      <c r="FQ18">
        <v>1</v>
      </c>
      <c r="FR18" s="4">
        <v>0</v>
      </c>
      <c r="FS18" s="1">
        <v>1</v>
      </c>
      <c r="FT18">
        <v>0</v>
      </c>
      <c r="FU18">
        <v>2</v>
      </c>
      <c r="FV18">
        <v>1</v>
      </c>
      <c r="FW18">
        <v>0</v>
      </c>
      <c r="FX18" s="4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 s="4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2</v>
      </c>
      <c r="GO18">
        <v>0</v>
      </c>
      <c r="GP18">
        <v>0</v>
      </c>
      <c r="GQ18">
        <v>0</v>
      </c>
      <c r="GR18" s="1">
        <v>1</v>
      </c>
      <c r="GS18">
        <v>0</v>
      </c>
      <c r="GT18">
        <v>0</v>
      </c>
      <c r="GU18">
        <v>0</v>
      </c>
      <c r="GV18">
        <v>0</v>
      </c>
      <c r="GW18">
        <v>0</v>
      </c>
      <c r="GX18" s="1">
        <v>1</v>
      </c>
      <c r="GY18">
        <v>0</v>
      </c>
      <c r="GZ18">
        <v>0</v>
      </c>
      <c r="HA18">
        <v>0</v>
      </c>
      <c r="HB18">
        <v>0</v>
      </c>
      <c r="HC18" s="4">
        <v>0</v>
      </c>
      <c r="HD18">
        <v>0</v>
      </c>
      <c r="HE18">
        <v>0</v>
      </c>
      <c r="HF18">
        <v>0</v>
      </c>
      <c r="HG18">
        <v>0</v>
      </c>
      <c r="HH18" s="4">
        <v>0</v>
      </c>
      <c r="HI18">
        <v>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 s="1">
        <v>1</v>
      </c>
      <c r="HV18">
        <v>1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s="4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 s="4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</v>
      </c>
      <c r="IY18">
        <v>0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</v>
      </c>
      <c r="JJ18">
        <v>1</v>
      </c>
      <c r="JK18" s="4">
        <v>0</v>
      </c>
      <c r="JL18">
        <v>1</v>
      </c>
      <c r="JM18" s="4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1</v>
      </c>
      <c r="JY18">
        <v>0</v>
      </c>
      <c r="JZ18">
        <v>0</v>
      </c>
      <c r="KA18" s="4">
        <v>0</v>
      </c>
      <c r="KB18" s="4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 s="1">
        <v>1</v>
      </c>
      <c r="KJ18">
        <v>0</v>
      </c>
      <c r="KK18">
        <v>0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1</v>
      </c>
      <c r="KS18">
        <v>0</v>
      </c>
      <c r="KT18">
        <v>0</v>
      </c>
      <c r="KU18">
        <v>0</v>
      </c>
      <c r="KV18" s="4">
        <v>0</v>
      </c>
      <c r="KW18">
        <v>0</v>
      </c>
      <c r="KX18">
        <v>0</v>
      </c>
      <c r="KY18" s="4">
        <v>0</v>
      </c>
      <c r="KZ18">
        <v>0</v>
      </c>
      <c r="LA18">
        <v>0</v>
      </c>
      <c r="LB18">
        <v>0</v>
      </c>
      <c r="LC18" s="4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1</v>
      </c>
      <c r="LJ18" s="1">
        <v>1</v>
      </c>
      <c r="LK18">
        <v>0</v>
      </c>
      <c r="LL18">
        <v>0</v>
      </c>
      <c r="LM18" s="4">
        <v>0</v>
      </c>
      <c r="LN18">
        <v>0</v>
      </c>
      <c r="LO18">
        <v>0</v>
      </c>
      <c r="LP18">
        <v>0</v>
      </c>
      <c r="LQ18">
        <v>0</v>
      </c>
      <c r="LR18" s="1">
        <v>1</v>
      </c>
      <c r="LS18">
        <v>0</v>
      </c>
      <c r="LT18">
        <v>0</v>
      </c>
      <c r="LU18" s="1">
        <v>1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1</v>
      </c>
      <c r="MB18">
        <v>0</v>
      </c>
      <c r="MC18">
        <v>0</v>
      </c>
      <c r="MD18">
        <v>0</v>
      </c>
      <c r="ME18">
        <v>1</v>
      </c>
      <c r="MF18">
        <v>0</v>
      </c>
      <c r="MG18">
        <v>0</v>
      </c>
      <c r="MH18">
        <v>1</v>
      </c>
      <c r="MI18">
        <v>0</v>
      </c>
      <c r="MJ18">
        <v>0</v>
      </c>
      <c r="MK18">
        <v>0</v>
      </c>
      <c r="ML18">
        <v>0</v>
      </c>
      <c r="MM18">
        <v>0</v>
      </c>
      <c r="MN18" s="1">
        <v>1</v>
      </c>
      <c r="MO18">
        <v>1</v>
      </c>
      <c r="MP18">
        <v>0</v>
      </c>
      <c r="MQ18">
        <v>0</v>
      </c>
      <c r="MR18">
        <v>0</v>
      </c>
      <c r="MS18">
        <v>0</v>
      </c>
      <c r="MT18" s="4">
        <v>0</v>
      </c>
      <c r="MU18" s="1">
        <v>1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 s="4">
        <v>0</v>
      </c>
      <c r="NC18">
        <v>0</v>
      </c>
      <c r="ND18">
        <v>0</v>
      </c>
      <c r="NE18" s="1">
        <v>1</v>
      </c>
      <c r="NF18">
        <v>0</v>
      </c>
      <c r="NG18">
        <v>0</v>
      </c>
      <c r="NH18">
        <v>1</v>
      </c>
      <c r="NI18">
        <v>0</v>
      </c>
      <c r="NJ18" s="4">
        <v>0</v>
      </c>
      <c r="NK18">
        <v>0</v>
      </c>
      <c r="NL18">
        <v>0</v>
      </c>
      <c r="NM18">
        <v>0</v>
      </c>
      <c r="NN18" s="1">
        <v>1</v>
      </c>
      <c r="NO18">
        <v>0</v>
      </c>
      <c r="NP18">
        <v>0</v>
      </c>
      <c r="NQ18">
        <v>0</v>
      </c>
      <c r="NR18">
        <v>1</v>
      </c>
      <c r="NS18" s="4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 s="4">
        <v>0</v>
      </c>
      <c r="NZ18">
        <v>0</v>
      </c>
      <c r="OA18">
        <v>0</v>
      </c>
      <c r="OB18">
        <v>0</v>
      </c>
      <c r="OC18">
        <v>1</v>
      </c>
      <c r="OD18" s="4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1</v>
      </c>
      <c r="OM18">
        <v>1</v>
      </c>
      <c r="ON18">
        <v>0</v>
      </c>
      <c r="OO18">
        <v>0</v>
      </c>
      <c r="OP18" s="4">
        <v>0</v>
      </c>
      <c r="OQ18">
        <v>0</v>
      </c>
      <c r="OS18" s="4">
        <f t="shared" si="0"/>
        <v>74</v>
      </c>
      <c r="OT18" s="4">
        <f t="shared" si="1"/>
        <v>76</v>
      </c>
    </row>
    <row r="19" spans="1:410" x14ac:dyDescent="0.3">
      <c r="A19" s="10" t="s">
        <v>631</v>
      </c>
      <c r="B19">
        <v>1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  <c r="H19">
        <v>1</v>
      </c>
      <c r="I19" s="1">
        <v>0</v>
      </c>
      <c r="J19" s="1">
        <v>0</v>
      </c>
      <c r="K19">
        <v>0</v>
      </c>
      <c r="L19">
        <v>1</v>
      </c>
      <c r="M19">
        <v>1</v>
      </c>
      <c r="N19" s="1">
        <v>0</v>
      </c>
      <c r="O19" s="1">
        <v>0</v>
      </c>
      <c r="P19">
        <v>1</v>
      </c>
      <c r="Q19" s="1">
        <v>1</v>
      </c>
      <c r="R19">
        <v>1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</v>
      </c>
      <c r="AC19" s="1">
        <v>0</v>
      </c>
      <c r="AD19" s="1">
        <v>1</v>
      </c>
      <c r="AE19" s="2">
        <v>1</v>
      </c>
      <c r="AF19" s="1">
        <v>0</v>
      </c>
      <c r="AG19" s="1">
        <v>0</v>
      </c>
      <c r="AH19">
        <v>0</v>
      </c>
      <c r="AI19" s="1">
        <v>2</v>
      </c>
      <c r="AJ19" s="1">
        <v>2</v>
      </c>
      <c r="AK19" s="1">
        <v>1</v>
      </c>
      <c r="AL19">
        <v>0</v>
      </c>
      <c r="AM19">
        <v>0</v>
      </c>
      <c r="AN19" s="1">
        <v>1</v>
      </c>
      <c r="AO19" s="1">
        <v>1</v>
      </c>
      <c r="AP19">
        <v>0</v>
      </c>
      <c r="AQ19" s="1">
        <v>1</v>
      </c>
      <c r="AR19">
        <v>0</v>
      </c>
      <c r="AS19">
        <v>0</v>
      </c>
      <c r="AT19">
        <v>0</v>
      </c>
      <c r="AU19" s="1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1">
        <v>1</v>
      </c>
      <c r="BT19">
        <v>0</v>
      </c>
      <c r="BU19" s="4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 s="4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 s="4">
        <v>0</v>
      </c>
      <c r="CH19" s="4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 s="1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 s="4">
        <v>0</v>
      </c>
      <c r="DP19">
        <v>0</v>
      </c>
      <c r="DQ19">
        <v>0</v>
      </c>
      <c r="DR19" s="1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0</v>
      </c>
      <c r="EF19">
        <v>1</v>
      </c>
      <c r="EG19">
        <v>0</v>
      </c>
      <c r="EH19">
        <v>0</v>
      </c>
      <c r="EI19" s="4">
        <v>0</v>
      </c>
      <c r="EJ19">
        <v>0</v>
      </c>
      <c r="EK19">
        <v>0</v>
      </c>
      <c r="EL19" s="4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 s="1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 s="4">
        <v>0</v>
      </c>
      <c r="FS19" s="1">
        <v>1</v>
      </c>
      <c r="FT19">
        <v>0</v>
      </c>
      <c r="FU19">
        <v>1</v>
      </c>
      <c r="FV19">
        <v>1</v>
      </c>
      <c r="FW19">
        <v>0</v>
      </c>
      <c r="FX19" s="4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 s="4">
        <v>0</v>
      </c>
      <c r="GE19">
        <v>1</v>
      </c>
      <c r="GF19">
        <v>0</v>
      </c>
      <c r="GG19">
        <v>0</v>
      </c>
      <c r="GH19">
        <v>0</v>
      </c>
      <c r="GI19">
        <v>1</v>
      </c>
      <c r="GJ19">
        <v>1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1</v>
      </c>
      <c r="GQ19">
        <v>0</v>
      </c>
      <c r="GR19" s="1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 s="1">
        <v>1</v>
      </c>
      <c r="GY19">
        <v>0</v>
      </c>
      <c r="GZ19">
        <v>0</v>
      </c>
      <c r="HA19">
        <v>0</v>
      </c>
      <c r="HB19">
        <v>0</v>
      </c>
      <c r="HC19" s="4">
        <v>0</v>
      </c>
      <c r="HD19">
        <v>0</v>
      </c>
      <c r="HE19">
        <v>0</v>
      </c>
      <c r="HF19">
        <v>0</v>
      </c>
      <c r="HG19">
        <v>0</v>
      </c>
      <c r="HH19" s="4">
        <v>0</v>
      </c>
      <c r="HI19">
        <v>1</v>
      </c>
      <c r="HJ19">
        <v>0</v>
      </c>
      <c r="HK19">
        <v>0</v>
      </c>
      <c r="HL19">
        <v>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 s="1">
        <v>1</v>
      </c>
      <c r="HV19">
        <v>1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1</v>
      </c>
      <c r="II19" s="4">
        <v>0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0</v>
      </c>
      <c r="IP19">
        <v>0</v>
      </c>
      <c r="IQ19">
        <v>1</v>
      </c>
      <c r="IR19" s="4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</v>
      </c>
      <c r="IY19">
        <v>0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1</v>
      </c>
      <c r="JK19" s="4">
        <v>0</v>
      </c>
      <c r="JL19">
        <v>1</v>
      </c>
      <c r="JM19" s="4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1</v>
      </c>
      <c r="JX19">
        <v>0</v>
      </c>
      <c r="JY19">
        <v>0</v>
      </c>
      <c r="JZ19">
        <v>0</v>
      </c>
      <c r="KA19" s="4">
        <v>0</v>
      </c>
      <c r="KB19" s="4">
        <v>0</v>
      </c>
      <c r="KC19">
        <v>0</v>
      </c>
      <c r="KD19">
        <v>1</v>
      </c>
      <c r="KE19">
        <v>0</v>
      </c>
      <c r="KF19">
        <v>0</v>
      </c>
      <c r="KG19">
        <v>0</v>
      </c>
      <c r="KH19">
        <v>0</v>
      </c>
      <c r="KI19" s="1">
        <v>1</v>
      </c>
      <c r="KJ19">
        <v>0</v>
      </c>
      <c r="KK19">
        <v>1</v>
      </c>
      <c r="KL19">
        <v>1</v>
      </c>
      <c r="KM19">
        <v>1</v>
      </c>
      <c r="KN19">
        <v>0</v>
      </c>
      <c r="KO19">
        <v>0</v>
      </c>
      <c r="KP19">
        <v>0</v>
      </c>
      <c r="KQ19">
        <v>1</v>
      </c>
      <c r="KR19">
        <v>0</v>
      </c>
      <c r="KS19">
        <v>0</v>
      </c>
      <c r="KT19">
        <v>0</v>
      </c>
      <c r="KU19">
        <v>0</v>
      </c>
      <c r="KV19" s="4">
        <v>0</v>
      </c>
      <c r="KW19">
        <v>0</v>
      </c>
      <c r="KX19">
        <v>1</v>
      </c>
      <c r="KY19" s="4">
        <v>0</v>
      </c>
      <c r="KZ19">
        <v>0</v>
      </c>
      <c r="LA19">
        <v>0</v>
      </c>
      <c r="LB19">
        <v>0</v>
      </c>
      <c r="LC19" s="4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</v>
      </c>
      <c r="LJ19" s="1">
        <v>2</v>
      </c>
      <c r="LK19">
        <v>0</v>
      </c>
      <c r="LL19">
        <v>0</v>
      </c>
      <c r="LM19" s="4">
        <v>0</v>
      </c>
      <c r="LN19">
        <v>0</v>
      </c>
      <c r="LO19">
        <v>0</v>
      </c>
      <c r="LP19">
        <v>0</v>
      </c>
      <c r="LQ19">
        <v>1</v>
      </c>
      <c r="LR19" s="1">
        <v>1</v>
      </c>
      <c r="LS19">
        <v>0</v>
      </c>
      <c r="LT19">
        <v>0</v>
      </c>
      <c r="LU19" s="1">
        <v>1</v>
      </c>
      <c r="LV19">
        <v>0</v>
      </c>
      <c r="LW19">
        <v>0</v>
      </c>
      <c r="LX19">
        <v>1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1</v>
      </c>
      <c r="MF19">
        <v>0</v>
      </c>
      <c r="MG19">
        <v>0</v>
      </c>
      <c r="MH19">
        <v>1</v>
      </c>
      <c r="MI19">
        <v>0</v>
      </c>
      <c r="MJ19">
        <v>0</v>
      </c>
      <c r="MK19">
        <v>0</v>
      </c>
      <c r="ML19">
        <v>1</v>
      </c>
      <c r="MM19">
        <v>0</v>
      </c>
      <c r="MN19" s="1">
        <v>1</v>
      </c>
      <c r="MO19">
        <v>0</v>
      </c>
      <c r="MP19">
        <v>0</v>
      </c>
      <c r="MQ19">
        <v>0</v>
      </c>
      <c r="MR19">
        <v>0</v>
      </c>
      <c r="MS19">
        <v>0</v>
      </c>
      <c r="MT19" s="4">
        <v>0</v>
      </c>
      <c r="MU19" s="1">
        <v>1</v>
      </c>
      <c r="MV19">
        <v>0</v>
      </c>
      <c r="MW19">
        <v>1</v>
      </c>
      <c r="MX19">
        <v>0</v>
      </c>
      <c r="MY19">
        <v>0</v>
      </c>
      <c r="MZ19">
        <v>0</v>
      </c>
      <c r="NA19">
        <v>0</v>
      </c>
      <c r="NB19" s="4">
        <v>0</v>
      </c>
      <c r="NC19">
        <v>0</v>
      </c>
      <c r="ND19">
        <v>0</v>
      </c>
      <c r="NE19" s="1">
        <v>1</v>
      </c>
      <c r="NF19">
        <v>0</v>
      </c>
      <c r="NG19">
        <v>0</v>
      </c>
      <c r="NH19">
        <v>0</v>
      </c>
      <c r="NI19">
        <v>0</v>
      </c>
      <c r="NJ19" s="4">
        <v>0</v>
      </c>
      <c r="NK19">
        <v>0</v>
      </c>
      <c r="NL19">
        <v>0</v>
      </c>
      <c r="NM19">
        <v>0</v>
      </c>
      <c r="NN19" s="1">
        <v>1</v>
      </c>
      <c r="NO19">
        <v>0</v>
      </c>
      <c r="NP19">
        <v>0</v>
      </c>
      <c r="NQ19">
        <v>0</v>
      </c>
      <c r="NR19">
        <v>0</v>
      </c>
      <c r="NS19" s="4">
        <v>0</v>
      </c>
      <c r="NT19">
        <v>0</v>
      </c>
      <c r="NU19">
        <v>0</v>
      </c>
      <c r="NV19">
        <v>0</v>
      </c>
      <c r="NW19">
        <v>0</v>
      </c>
      <c r="NX19">
        <v>1</v>
      </c>
      <c r="NY19" s="4">
        <v>0</v>
      </c>
      <c r="NZ19">
        <v>0</v>
      </c>
      <c r="OA19">
        <v>0</v>
      </c>
      <c r="OB19">
        <v>0</v>
      </c>
      <c r="OC19">
        <v>0</v>
      </c>
      <c r="OD19" s="4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0</v>
      </c>
      <c r="ON19">
        <v>1</v>
      </c>
      <c r="OO19">
        <v>0</v>
      </c>
      <c r="OP19" s="4">
        <v>0</v>
      </c>
      <c r="OQ19">
        <v>1</v>
      </c>
      <c r="OS19" s="4">
        <f t="shared" si="0"/>
        <v>87</v>
      </c>
      <c r="OT19" s="4">
        <f t="shared" si="1"/>
        <v>92</v>
      </c>
    </row>
    <row r="20" spans="1:410" x14ac:dyDescent="0.3">
      <c r="A20" s="10" t="s">
        <v>632</v>
      </c>
      <c r="B20">
        <v>1</v>
      </c>
      <c r="C20" s="1">
        <v>0</v>
      </c>
      <c r="D20" s="1">
        <v>0</v>
      </c>
      <c r="E20">
        <v>1</v>
      </c>
      <c r="F20" s="1">
        <v>1</v>
      </c>
      <c r="G20" s="1">
        <v>1</v>
      </c>
      <c r="H20">
        <v>1</v>
      </c>
      <c r="I20">
        <v>1</v>
      </c>
      <c r="J20" s="1">
        <v>0</v>
      </c>
      <c r="K20">
        <v>0</v>
      </c>
      <c r="L20">
        <v>1</v>
      </c>
      <c r="M20" s="1">
        <v>0</v>
      </c>
      <c r="N20" s="1">
        <v>0</v>
      </c>
      <c r="O20" s="1">
        <v>0</v>
      </c>
      <c r="P20">
        <v>1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>
        <v>1</v>
      </c>
      <c r="Y20" s="1">
        <v>0</v>
      </c>
      <c r="Z20" s="1">
        <v>0</v>
      </c>
      <c r="AA20" s="1">
        <v>1</v>
      </c>
      <c r="AB20" s="1">
        <v>1</v>
      </c>
      <c r="AC20" s="1">
        <v>0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  <c r="AI20" s="1">
        <v>1</v>
      </c>
      <c r="AJ20" s="1">
        <v>2</v>
      </c>
      <c r="AK20" s="1">
        <v>1</v>
      </c>
      <c r="AL20">
        <v>0</v>
      </c>
      <c r="AM20" s="1">
        <v>1</v>
      </c>
      <c r="AN20" s="1">
        <v>1</v>
      </c>
      <c r="AO20" s="1">
        <v>1</v>
      </c>
      <c r="AP20">
        <v>0</v>
      </c>
      <c r="AQ20" s="1">
        <v>1</v>
      </c>
      <c r="AR20">
        <v>0</v>
      </c>
      <c r="AS20">
        <v>0</v>
      </c>
      <c r="AT20">
        <v>0</v>
      </c>
      <c r="AU20" s="1">
        <v>1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 s="1">
        <v>1</v>
      </c>
      <c r="BT20">
        <v>0</v>
      </c>
      <c r="BU20" s="4">
        <v>0</v>
      </c>
      <c r="BV20">
        <v>0</v>
      </c>
      <c r="BW20">
        <v>0</v>
      </c>
      <c r="BX20">
        <v>0</v>
      </c>
      <c r="BY20">
        <v>2</v>
      </c>
      <c r="BZ20">
        <v>0</v>
      </c>
      <c r="CA20" s="4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 s="4">
        <v>0</v>
      </c>
      <c r="CH20" s="4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 s="1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 s="4">
        <v>0</v>
      </c>
      <c r="DP20">
        <v>0</v>
      </c>
      <c r="DQ20">
        <v>0</v>
      </c>
      <c r="DR20" s="1">
        <v>3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 s="4">
        <v>0</v>
      </c>
      <c r="EJ20">
        <v>0</v>
      </c>
      <c r="EK20">
        <v>0</v>
      </c>
      <c r="EL20" s="4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 s="1">
        <v>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0</v>
      </c>
      <c r="FR20" s="4">
        <v>0</v>
      </c>
      <c r="FS20" s="1">
        <v>1</v>
      </c>
      <c r="FT20">
        <v>0</v>
      </c>
      <c r="FU20">
        <v>0</v>
      </c>
      <c r="FV20">
        <v>1</v>
      </c>
      <c r="FW20">
        <v>0</v>
      </c>
      <c r="FX20" s="4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 s="4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 s="1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 s="1">
        <v>1</v>
      </c>
      <c r="GY20">
        <v>0</v>
      </c>
      <c r="GZ20">
        <v>0</v>
      </c>
      <c r="HA20">
        <v>0</v>
      </c>
      <c r="HB20">
        <v>0</v>
      </c>
      <c r="HC20" s="4">
        <v>0</v>
      </c>
      <c r="HD20">
        <v>0</v>
      </c>
      <c r="HE20">
        <v>0</v>
      </c>
      <c r="HF20">
        <v>1</v>
      </c>
      <c r="HG20">
        <v>0</v>
      </c>
      <c r="HH20" s="4">
        <v>0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 s="1">
        <v>0</v>
      </c>
      <c r="HV20">
        <v>1</v>
      </c>
      <c r="HW20">
        <v>0</v>
      </c>
      <c r="HX20">
        <v>0</v>
      </c>
      <c r="HY20">
        <v>1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s="4">
        <v>0</v>
      </c>
      <c r="IJ20">
        <v>0</v>
      </c>
      <c r="IK20">
        <v>1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1</v>
      </c>
      <c r="IR20" s="4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1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1</v>
      </c>
      <c r="JK20" s="4">
        <v>0</v>
      </c>
      <c r="JL20">
        <v>0</v>
      </c>
      <c r="JM20" s="4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 s="4">
        <v>0</v>
      </c>
      <c r="KB20" s="4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 s="1">
        <v>1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 s="4">
        <v>0</v>
      </c>
      <c r="KW20">
        <v>0</v>
      </c>
      <c r="KX20">
        <v>1</v>
      </c>
      <c r="KY20" s="4">
        <v>0</v>
      </c>
      <c r="KZ20">
        <v>0</v>
      </c>
      <c r="LA20">
        <v>0</v>
      </c>
      <c r="LB20">
        <v>0</v>
      </c>
      <c r="LC20" s="4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1</v>
      </c>
      <c r="LJ20" s="1">
        <v>1</v>
      </c>
      <c r="LK20">
        <v>0</v>
      </c>
      <c r="LL20">
        <v>0</v>
      </c>
      <c r="LM20" s="4">
        <v>0</v>
      </c>
      <c r="LN20">
        <v>0</v>
      </c>
      <c r="LO20">
        <v>0</v>
      </c>
      <c r="LP20">
        <v>0</v>
      </c>
      <c r="LQ20">
        <v>0</v>
      </c>
      <c r="LR20" s="1">
        <v>1</v>
      </c>
      <c r="LS20">
        <v>0</v>
      </c>
      <c r="LT20">
        <v>0</v>
      </c>
      <c r="LU20" s="1">
        <v>1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1</v>
      </c>
      <c r="MF20">
        <v>0</v>
      </c>
      <c r="MG20">
        <v>1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0</v>
      </c>
      <c r="MN20" s="1">
        <v>1</v>
      </c>
      <c r="MO20">
        <v>0</v>
      </c>
      <c r="MP20">
        <v>0</v>
      </c>
      <c r="MQ20">
        <v>0</v>
      </c>
      <c r="MR20">
        <v>0</v>
      </c>
      <c r="MS20">
        <v>0</v>
      </c>
      <c r="MT20" s="4">
        <v>0</v>
      </c>
      <c r="MU20" s="1">
        <v>1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 s="4">
        <v>0</v>
      </c>
      <c r="NC20">
        <v>0</v>
      </c>
      <c r="ND20">
        <v>0</v>
      </c>
      <c r="NE20" s="1">
        <v>1</v>
      </c>
      <c r="NF20">
        <v>0</v>
      </c>
      <c r="NG20">
        <v>0</v>
      </c>
      <c r="NH20">
        <v>0</v>
      </c>
      <c r="NI20">
        <v>0</v>
      </c>
      <c r="NJ20" s="4">
        <v>0</v>
      </c>
      <c r="NK20">
        <v>1</v>
      </c>
      <c r="NL20">
        <v>0</v>
      </c>
      <c r="NM20">
        <v>0</v>
      </c>
      <c r="NN20" s="1">
        <v>1</v>
      </c>
      <c r="NO20">
        <v>1</v>
      </c>
      <c r="NP20">
        <v>0</v>
      </c>
      <c r="NQ20">
        <v>0</v>
      </c>
      <c r="NR20">
        <v>0</v>
      </c>
      <c r="NS20" s="4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 s="4">
        <v>0</v>
      </c>
      <c r="NZ20">
        <v>0</v>
      </c>
      <c r="OA20">
        <v>0</v>
      </c>
      <c r="OB20">
        <v>0</v>
      </c>
      <c r="OC20">
        <v>0</v>
      </c>
      <c r="OD20" s="4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</v>
      </c>
      <c r="OL20">
        <v>1</v>
      </c>
      <c r="OM20">
        <v>0</v>
      </c>
      <c r="ON20">
        <v>1</v>
      </c>
      <c r="OO20">
        <v>0</v>
      </c>
      <c r="OP20" s="4">
        <v>0</v>
      </c>
      <c r="OQ20">
        <v>1</v>
      </c>
      <c r="OS20" s="4">
        <f t="shared" si="0"/>
        <v>76</v>
      </c>
      <c r="OT20" s="4">
        <f t="shared" si="1"/>
        <v>80</v>
      </c>
    </row>
    <row r="21" spans="1:410" x14ac:dyDescent="0.3">
      <c r="A21" s="10" t="s">
        <v>633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1</v>
      </c>
      <c r="H21">
        <v>1</v>
      </c>
      <c r="I21">
        <v>1</v>
      </c>
      <c r="J21" s="1">
        <v>0</v>
      </c>
      <c r="K21">
        <v>0</v>
      </c>
      <c r="L21">
        <v>1</v>
      </c>
      <c r="M21" s="1">
        <v>0</v>
      </c>
      <c r="N21">
        <v>2</v>
      </c>
      <c r="O21" s="1">
        <v>0</v>
      </c>
      <c r="P21">
        <v>1</v>
      </c>
      <c r="Q21" s="1">
        <v>1</v>
      </c>
      <c r="R21">
        <v>1</v>
      </c>
      <c r="S21" s="1">
        <v>0</v>
      </c>
      <c r="T21">
        <v>1</v>
      </c>
      <c r="U21" s="1">
        <v>0</v>
      </c>
      <c r="V21" s="1">
        <v>1</v>
      </c>
      <c r="W21" s="1">
        <v>0</v>
      </c>
      <c r="X21">
        <v>1</v>
      </c>
      <c r="Y21" s="1">
        <v>0</v>
      </c>
      <c r="Z21" s="1">
        <v>0</v>
      </c>
      <c r="AA21" s="1">
        <v>1</v>
      </c>
      <c r="AB21" s="1">
        <v>1</v>
      </c>
      <c r="AC21">
        <v>1</v>
      </c>
      <c r="AD21" s="1">
        <v>1</v>
      </c>
      <c r="AE21" s="1">
        <v>0</v>
      </c>
      <c r="AF21" s="1">
        <v>0</v>
      </c>
      <c r="AG21" s="1">
        <v>0</v>
      </c>
      <c r="AH21">
        <v>0</v>
      </c>
      <c r="AI21" s="1">
        <v>1</v>
      </c>
      <c r="AJ21" s="1">
        <v>2</v>
      </c>
      <c r="AK21" s="1">
        <v>1</v>
      </c>
      <c r="AL21">
        <v>0</v>
      </c>
      <c r="AM21" s="1">
        <v>1</v>
      </c>
      <c r="AN21" s="1">
        <v>1</v>
      </c>
      <c r="AO21" s="1">
        <v>1</v>
      </c>
      <c r="AP21">
        <v>0</v>
      </c>
      <c r="AQ21" s="1">
        <v>1</v>
      </c>
      <c r="AR21" s="1">
        <v>1</v>
      </c>
      <c r="AS21">
        <v>0</v>
      </c>
      <c r="AT21">
        <v>0</v>
      </c>
      <c r="AU21" s="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s="1">
        <v>1</v>
      </c>
      <c r="BT21">
        <v>0</v>
      </c>
      <c r="BU21" s="4">
        <v>0</v>
      </c>
      <c r="BV21">
        <v>0</v>
      </c>
      <c r="BW21">
        <v>0</v>
      </c>
      <c r="BX21">
        <v>0</v>
      </c>
      <c r="BY21">
        <v>3</v>
      </c>
      <c r="BZ21">
        <v>0</v>
      </c>
      <c r="CA21" s="4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 s="4">
        <v>0</v>
      </c>
      <c r="CH21" s="4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 s="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 s="4">
        <v>0</v>
      </c>
      <c r="DP21">
        <v>0</v>
      </c>
      <c r="DQ21">
        <v>0</v>
      </c>
      <c r="DR21" s="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s="4">
        <v>0</v>
      </c>
      <c r="EJ21">
        <v>0</v>
      </c>
      <c r="EK21">
        <v>0</v>
      </c>
      <c r="EL21" s="4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 s="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 s="4">
        <v>0</v>
      </c>
      <c r="FS21" s="1">
        <v>1</v>
      </c>
      <c r="FT21">
        <v>0</v>
      </c>
      <c r="FU21">
        <v>0</v>
      </c>
      <c r="FV21">
        <v>1</v>
      </c>
      <c r="FW21">
        <v>1</v>
      </c>
      <c r="FX21" s="4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 s="4">
        <v>0</v>
      </c>
      <c r="GE21">
        <v>0</v>
      </c>
      <c r="GF21">
        <v>0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0</v>
      </c>
      <c r="GQ21">
        <v>1</v>
      </c>
      <c r="GR21" s="1">
        <v>1</v>
      </c>
      <c r="GS21">
        <v>0</v>
      </c>
      <c r="GT21">
        <v>0</v>
      </c>
      <c r="GU21">
        <v>0</v>
      </c>
      <c r="GV21">
        <v>0</v>
      </c>
      <c r="GW21">
        <v>0</v>
      </c>
      <c r="GX21" s="1">
        <v>1</v>
      </c>
      <c r="GY21">
        <v>0</v>
      </c>
      <c r="GZ21">
        <v>0</v>
      </c>
      <c r="HA21">
        <v>0</v>
      </c>
      <c r="HB21">
        <v>0</v>
      </c>
      <c r="HC21" s="4">
        <v>0</v>
      </c>
      <c r="HD21">
        <v>0</v>
      </c>
      <c r="HE21">
        <v>0</v>
      </c>
      <c r="HF21">
        <v>0</v>
      </c>
      <c r="HG21">
        <v>0</v>
      </c>
      <c r="HH21" s="4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 s="1">
        <v>1</v>
      </c>
      <c r="HV21">
        <v>1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 s="4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 s="4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1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</v>
      </c>
      <c r="JJ21">
        <v>1</v>
      </c>
      <c r="JK21" s="4">
        <v>0</v>
      </c>
      <c r="JL21">
        <v>1</v>
      </c>
      <c r="JM21" s="4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0</v>
      </c>
      <c r="JZ21">
        <v>0</v>
      </c>
      <c r="KA21" s="4">
        <v>0</v>
      </c>
      <c r="KB21" s="4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 s="1">
        <v>1</v>
      </c>
      <c r="KJ21">
        <v>0</v>
      </c>
      <c r="KK21">
        <v>1</v>
      </c>
      <c r="KL21">
        <v>1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1</v>
      </c>
      <c r="KU21">
        <v>0</v>
      </c>
      <c r="KV21" s="4">
        <v>0</v>
      </c>
      <c r="KW21">
        <v>0</v>
      </c>
      <c r="KX21">
        <v>0</v>
      </c>
      <c r="KY21" s="4">
        <v>0</v>
      </c>
      <c r="KZ21">
        <v>0</v>
      </c>
      <c r="LA21">
        <v>0</v>
      </c>
      <c r="LB21">
        <v>0</v>
      </c>
      <c r="LC21" s="4">
        <v>0</v>
      </c>
      <c r="LD21">
        <v>0</v>
      </c>
      <c r="LE21">
        <v>1</v>
      </c>
      <c r="LF21">
        <v>0</v>
      </c>
      <c r="LG21">
        <v>0</v>
      </c>
      <c r="LH21">
        <v>0</v>
      </c>
      <c r="LI21">
        <v>1</v>
      </c>
      <c r="LJ21" s="1">
        <v>2</v>
      </c>
      <c r="LK21">
        <v>0</v>
      </c>
      <c r="LL21">
        <v>0</v>
      </c>
      <c r="LM21" s="4">
        <v>0</v>
      </c>
      <c r="LN21">
        <v>0</v>
      </c>
      <c r="LO21">
        <v>0</v>
      </c>
      <c r="LP21">
        <v>0</v>
      </c>
      <c r="LQ21">
        <v>0</v>
      </c>
      <c r="LR21" s="1">
        <v>1</v>
      </c>
      <c r="LS21">
        <v>0</v>
      </c>
      <c r="LT21">
        <v>0</v>
      </c>
      <c r="LU21" s="1">
        <v>1</v>
      </c>
      <c r="LV21">
        <v>0</v>
      </c>
      <c r="LW21">
        <v>0</v>
      </c>
      <c r="LX21">
        <v>0</v>
      </c>
      <c r="LY21">
        <v>1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1</v>
      </c>
      <c r="MF21">
        <v>0</v>
      </c>
      <c r="MG21">
        <v>1</v>
      </c>
      <c r="MH21">
        <v>0</v>
      </c>
      <c r="MI21">
        <v>0</v>
      </c>
      <c r="MJ21">
        <v>0</v>
      </c>
      <c r="MK21">
        <v>0</v>
      </c>
      <c r="ML21">
        <v>1</v>
      </c>
      <c r="MM21">
        <v>0</v>
      </c>
      <c r="MN21" s="1">
        <v>1</v>
      </c>
      <c r="MO21">
        <v>0</v>
      </c>
      <c r="MP21">
        <v>0</v>
      </c>
      <c r="MQ21">
        <v>0</v>
      </c>
      <c r="MR21">
        <v>0</v>
      </c>
      <c r="MS21">
        <v>0</v>
      </c>
      <c r="MT21" s="4">
        <v>0</v>
      </c>
      <c r="MU21" s="1">
        <v>1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 s="4">
        <v>0</v>
      </c>
      <c r="NC21">
        <v>0</v>
      </c>
      <c r="ND21">
        <v>0</v>
      </c>
      <c r="NE21" s="1">
        <v>1</v>
      </c>
      <c r="NF21">
        <v>0</v>
      </c>
      <c r="NG21">
        <v>0</v>
      </c>
      <c r="NH21">
        <v>0</v>
      </c>
      <c r="NI21">
        <v>0</v>
      </c>
      <c r="NJ21" s="4">
        <v>0</v>
      </c>
      <c r="NK21">
        <v>0</v>
      </c>
      <c r="NL21">
        <v>0</v>
      </c>
      <c r="NM21">
        <v>0</v>
      </c>
      <c r="NN21" s="1">
        <v>2</v>
      </c>
      <c r="NO21">
        <v>0</v>
      </c>
      <c r="NP21">
        <v>0</v>
      </c>
      <c r="NQ21">
        <v>0</v>
      </c>
      <c r="NR21">
        <v>2</v>
      </c>
      <c r="NS21" s="4">
        <v>0</v>
      </c>
      <c r="NT21">
        <v>0</v>
      </c>
      <c r="NU21">
        <v>0</v>
      </c>
      <c r="NV21">
        <v>0</v>
      </c>
      <c r="NW21">
        <v>0</v>
      </c>
      <c r="NX21">
        <v>1</v>
      </c>
      <c r="NY21" s="4">
        <v>0</v>
      </c>
      <c r="NZ21">
        <v>0</v>
      </c>
      <c r="OA21">
        <v>1</v>
      </c>
      <c r="OB21">
        <v>0</v>
      </c>
      <c r="OC21">
        <v>0</v>
      </c>
      <c r="OD21" s="4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1</v>
      </c>
      <c r="OO21">
        <v>0</v>
      </c>
      <c r="OP21" s="4">
        <v>0</v>
      </c>
      <c r="OQ21">
        <v>1</v>
      </c>
      <c r="OS21" s="4">
        <f t="shared" si="0"/>
        <v>79</v>
      </c>
      <c r="OT21" s="4">
        <f t="shared" si="1"/>
        <v>87</v>
      </c>
    </row>
    <row r="22" spans="1:410" x14ac:dyDescent="0.3">
      <c r="A22" s="10" t="s">
        <v>634</v>
      </c>
      <c r="B22">
        <v>1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  <c r="H22">
        <v>1</v>
      </c>
      <c r="I22">
        <v>1</v>
      </c>
      <c r="J22" s="1">
        <v>0</v>
      </c>
      <c r="K22">
        <v>0</v>
      </c>
      <c r="L22">
        <v>1</v>
      </c>
      <c r="M22">
        <v>1</v>
      </c>
      <c r="N22" s="1">
        <v>0</v>
      </c>
      <c r="O22" s="1">
        <v>0</v>
      </c>
      <c r="P22">
        <v>1</v>
      </c>
      <c r="Q22" s="1">
        <v>1</v>
      </c>
      <c r="R22">
        <v>1</v>
      </c>
      <c r="S22">
        <v>1</v>
      </c>
      <c r="T22" s="1">
        <v>0</v>
      </c>
      <c r="U22" s="1">
        <v>0</v>
      </c>
      <c r="V22" s="1">
        <v>1</v>
      </c>
      <c r="W22" s="1">
        <v>0</v>
      </c>
      <c r="X22">
        <v>1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>
        <v>0</v>
      </c>
      <c r="AI22" s="1">
        <v>1</v>
      </c>
      <c r="AJ22" s="1">
        <v>2</v>
      </c>
      <c r="AK22" s="1">
        <v>1</v>
      </c>
      <c r="AL22">
        <v>0</v>
      </c>
      <c r="AM22">
        <v>0</v>
      </c>
      <c r="AN22" s="1">
        <v>1</v>
      </c>
      <c r="AO22" s="1">
        <v>1</v>
      </c>
      <c r="AP22">
        <v>0</v>
      </c>
      <c r="AQ22" s="1">
        <v>1</v>
      </c>
      <c r="AR22">
        <v>0</v>
      </c>
      <c r="AS22">
        <v>0</v>
      </c>
      <c r="AT22">
        <v>0</v>
      </c>
      <c r="AU22" s="1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 s="1">
        <v>1</v>
      </c>
      <c r="BT22">
        <v>0</v>
      </c>
      <c r="BU22" s="4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 s="4">
        <v>0</v>
      </c>
      <c r="CB22">
        <v>0</v>
      </c>
      <c r="CC22">
        <v>1</v>
      </c>
      <c r="CD22">
        <v>0</v>
      </c>
      <c r="CE22">
        <v>1</v>
      </c>
      <c r="CF22">
        <v>0</v>
      </c>
      <c r="CG22" s="4">
        <v>0</v>
      </c>
      <c r="CH22" s="4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 s="1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 s="4">
        <v>0</v>
      </c>
      <c r="DP22">
        <v>0</v>
      </c>
      <c r="DQ22">
        <v>0</v>
      </c>
      <c r="DR22" s="1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 s="4">
        <v>0</v>
      </c>
      <c r="EJ22">
        <v>0</v>
      </c>
      <c r="EK22">
        <v>0</v>
      </c>
      <c r="EL22" s="4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 s="1">
        <v>1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 s="4">
        <v>0</v>
      </c>
      <c r="FS22" s="1">
        <v>1</v>
      </c>
      <c r="FT22">
        <v>0</v>
      </c>
      <c r="FU22">
        <v>0</v>
      </c>
      <c r="FV22">
        <v>0</v>
      </c>
      <c r="FW22">
        <v>0</v>
      </c>
      <c r="FX22" s="4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 s="4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 s="1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 s="1">
        <v>1</v>
      </c>
      <c r="GY22">
        <v>0</v>
      </c>
      <c r="GZ22">
        <v>0</v>
      </c>
      <c r="HA22">
        <v>0</v>
      </c>
      <c r="HB22">
        <v>0</v>
      </c>
      <c r="HC22" s="4">
        <v>0</v>
      </c>
      <c r="HD22">
        <v>0</v>
      </c>
      <c r="HE22">
        <v>0</v>
      </c>
      <c r="HF22">
        <v>0</v>
      </c>
      <c r="HG22">
        <v>0</v>
      </c>
      <c r="HH22" s="4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</v>
      </c>
      <c r="HS22">
        <v>0</v>
      </c>
      <c r="HT22">
        <v>0</v>
      </c>
      <c r="HU22" s="1">
        <v>1</v>
      </c>
      <c r="HV22">
        <v>1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1</v>
      </c>
      <c r="II22" s="4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 s="4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1</v>
      </c>
      <c r="JK22" s="4">
        <v>0</v>
      </c>
      <c r="JL22">
        <v>1</v>
      </c>
      <c r="JM22" s="4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</v>
      </c>
      <c r="JV22">
        <v>0</v>
      </c>
      <c r="JW22">
        <v>0</v>
      </c>
      <c r="JX22">
        <v>1</v>
      </c>
      <c r="JY22">
        <v>0</v>
      </c>
      <c r="JZ22">
        <v>0</v>
      </c>
      <c r="KA22" s="4">
        <v>0</v>
      </c>
      <c r="KB22" s="4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 s="1">
        <v>1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 s="4">
        <v>0</v>
      </c>
      <c r="KW22">
        <v>0</v>
      </c>
      <c r="KX22">
        <v>1</v>
      </c>
      <c r="KY22" s="4">
        <v>0</v>
      </c>
      <c r="KZ22">
        <v>0</v>
      </c>
      <c r="LA22">
        <v>0</v>
      </c>
      <c r="LB22">
        <v>0</v>
      </c>
      <c r="LC22" s="4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1</v>
      </c>
      <c r="LJ22" s="1">
        <v>1</v>
      </c>
      <c r="LK22">
        <v>0</v>
      </c>
      <c r="LL22">
        <v>0</v>
      </c>
      <c r="LM22" s="4">
        <v>0</v>
      </c>
      <c r="LN22">
        <v>0</v>
      </c>
      <c r="LO22">
        <v>0</v>
      </c>
      <c r="LP22">
        <v>0</v>
      </c>
      <c r="LQ22">
        <v>0</v>
      </c>
      <c r="LR22" s="1">
        <v>1</v>
      </c>
      <c r="LS22">
        <v>0</v>
      </c>
      <c r="LT22">
        <v>0</v>
      </c>
      <c r="LU22" s="1">
        <v>1</v>
      </c>
      <c r="LV22">
        <v>0</v>
      </c>
      <c r="LW22">
        <v>0</v>
      </c>
      <c r="LX22">
        <v>1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1</v>
      </c>
      <c r="MM22">
        <v>0</v>
      </c>
      <c r="MN22" s="1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 s="4">
        <v>0</v>
      </c>
      <c r="MU22" s="1">
        <v>1</v>
      </c>
      <c r="MV22">
        <v>0</v>
      </c>
      <c r="MW22">
        <v>0</v>
      </c>
      <c r="MX22">
        <v>1</v>
      </c>
      <c r="MY22">
        <v>0</v>
      </c>
      <c r="MZ22">
        <v>0</v>
      </c>
      <c r="NA22">
        <v>0</v>
      </c>
      <c r="NB22" s="4">
        <v>0</v>
      </c>
      <c r="NC22">
        <v>0</v>
      </c>
      <c r="ND22">
        <v>0</v>
      </c>
      <c r="NE22" s="1">
        <v>1</v>
      </c>
      <c r="NF22">
        <v>0</v>
      </c>
      <c r="NG22">
        <v>0</v>
      </c>
      <c r="NH22">
        <v>0</v>
      </c>
      <c r="NI22">
        <v>0</v>
      </c>
      <c r="NJ22" s="4">
        <v>0</v>
      </c>
      <c r="NK22">
        <v>0</v>
      </c>
      <c r="NL22">
        <v>0</v>
      </c>
      <c r="NM22">
        <v>3</v>
      </c>
      <c r="NN22" s="1">
        <v>1</v>
      </c>
      <c r="NO22">
        <v>0</v>
      </c>
      <c r="NP22">
        <v>0</v>
      </c>
      <c r="NQ22">
        <v>0</v>
      </c>
      <c r="NR22">
        <v>0</v>
      </c>
      <c r="NS22" s="4">
        <v>0</v>
      </c>
      <c r="NT22">
        <v>0</v>
      </c>
      <c r="NU22">
        <v>0</v>
      </c>
      <c r="NV22">
        <v>0</v>
      </c>
      <c r="NW22">
        <v>0</v>
      </c>
      <c r="NX22">
        <v>1</v>
      </c>
      <c r="NY22" s="4">
        <v>0</v>
      </c>
      <c r="NZ22">
        <v>0</v>
      </c>
      <c r="OA22">
        <v>0</v>
      </c>
      <c r="OB22">
        <v>0</v>
      </c>
      <c r="OC22">
        <v>0</v>
      </c>
      <c r="OD22" s="4">
        <v>0</v>
      </c>
      <c r="OE22">
        <v>0</v>
      </c>
      <c r="OF22">
        <v>0</v>
      </c>
      <c r="OG22">
        <v>0</v>
      </c>
      <c r="OH22">
        <v>0</v>
      </c>
      <c r="OI22">
        <v>1</v>
      </c>
      <c r="OJ22">
        <v>0</v>
      </c>
      <c r="OK22">
        <v>0</v>
      </c>
      <c r="OL22">
        <v>0</v>
      </c>
      <c r="OM22">
        <v>0</v>
      </c>
      <c r="ON22">
        <v>1</v>
      </c>
      <c r="OO22">
        <v>0</v>
      </c>
      <c r="OP22" s="4">
        <v>0</v>
      </c>
      <c r="OQ22">
        <v>1</v>
      </c>
      <c r="OS22" s="4">
        <f t="shared" si="0"/>
        <v>67</v>
      </c>
      <c r="OT22" s="4">
        <f t="shared" si="1"/>
        <v>70</v>
      </c>
    </row>
    <row r="23" spans="1:410" x14ac:dyDescent="0.3">
      <c r="A23" s="10" t="s">
        <v>635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>
        <v>1</v>
      </c>
      <c r="K23">
        <v>0</v>
      </c>
      <c r="L23">
        <v>1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>
        <v>1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>
        <v>1</v>
      </c>
      <c r="AI23" s="1">
        <v>1</v>
      </c>
      <c r="AJ23" s="1">
        <v>1</v>
      </c>
      <c r="AK23" s="1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 s="1">
        <v>1</v>
      </c>
      <c r="AR23">
        <v>0</v>
      </c>
      <c r="AS23">
        <v>0</v>
      </c>
      <c r="AT23">
        <v>0</v>
      </c>
      <c r="AU23" s="1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s="1">
        <v>1</v>
      </c>
      <c r="BT23">
        <v>0</v>
      </c>
      <c r="BU23" s="4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s="4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 s="4">
        <v>0</v>
      </c>
      <c r="CH23" s="4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 s="1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 s="4">
        <v>0</v>
      </c>
      <c r="DP23">
        <v>0</v>
      </c>
      <c r="DQ23">
        <v>0</v>
      </c>
      <c r="DR23" s="1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 s="4">
        <v>0</v>
      </c>
      <c r="EJ23">
        <v>0</v>
      </c>
      <c r="EK23">
        <v>0</v>
      </c>
      <c r="EL23" s="4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1</v>
      </c>
      <c r="FA23">
        <v>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 s="1">
        <v>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 s="4">
        <v>0</v>
      </c>
      <c r="FS23" s="1">
        <v>1</v>
      </c>
      <c r="FT23">
        <v>0</v>
      </c>
      <c r="FU23">
        <v>1</v>
      </c>
      <c r="FV23">
        <v>1</v>
      </c>
      <c r="FW23">
        <v>0</v>
      </c>
      <c r="FX23" s="4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 s="4">
        <v>0</v>
      </c>
      <c r="GE23">
        <v>1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0</v>
      </c>
      <c r="GQ23">
        <v>0</v>
      </c>
      <c r="GR23" s="1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 s="1">
        <v>1</v>
      </c>
      <c r="GY23">
        <v>0</v>
      </c>
      <c r="GZ23">
        <v>0</v>
      </c>
      <c r="HA23">
        <v>0</v>
      </c>
      <c r="HB23">
        <v>0</v>
      </c>
      <c r="HC23" s="4">
        <v>0</v>
      </c>
      <c r="HD23">
        <v>0</v>
      </c>
      <c r="HE23">
        <v>1</v>
      </c>
      <c r="HF23">
        <v>0</v>
      </c>
      <c r="HG23">
        <v>0</v>
      </c>
      <c r="HH23" s="4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 s="1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s="4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1</v>
      </c>
      <c r="IR23" s="4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 s="4">
        <v>0</v>
      </c>
      <c r="JL23">
        <v>0</v>
      </c>
      <c r="JM23" s="4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1</v>
      </c>
      <c r="JZ23">
        <v>0</v>
      </c>
      <c r="KA23" s="4">
        <v>0</v>
      </c>
      <c r="KB23" s="4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 s="1">
        <v>1</v>
      </c>
      <c r="KJ23">
        <v>0</v>
      </c>
      <c r="KK23">
        <v>0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</v>
      </c>
      <c r="KU23">
        <v>0</v>
      </c>
      <c r="KV23" s="4">
        <v>0</v>
      </c>
      <c r="KW23">
        <v>0</v>
      </c>
      <c r="KX23">
        <v>0</v>
      </c>
      <c r="KY23" s="4">
        <v>0</v>
      </c>
      <c r="KZ23">
        <v>0</v>
      </c>
      <c r="LA23">
        <v>0</v>
      </c>
      <c r="LB23">
        <v>0</v>
      </c>
      <c r="LC23" s="4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1</v>
      </c>
      <c r="LJ23" s="1">
        <v>1</v>
      </c>
      <c r="LK23">
        <v>0</v>
      </c>
      <c r="LL23">
        <v>0</v>
      </c>
      <c r="LM23" s="4">
        <v>0</v>
      </c>
      <c r="LN23">
        <v>0</v>
      </c>
      <c r="LO23">
        <v>0</v>
      </c>
      <c r="LP23">
        <v>0</v>
      </c>
      <c r="LQ23">
        <v>0</v>
      </c>
      <c r="LR23" s="1">
        <v>1</v>
      </c>
      <c r="LS23">
        <v>0</v>
      </c>
      <c r="LT23">
        <v>0</v>
      </c>
      <c r="LU23" s="1">
        <v>1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 s="1">
        <v>1</v>
      </c>
      <c r="MO23">
        <v>0</v>
      </c>
      <c r="MP23">
        <v>0</v>
      </c>
      <c r="MQ23">
        <v>0</v>
      </c>
      <c r="MR23">
        <v>0</v>
      </c>
      <c r="MS23">
        <v>0</v>
      </c>
      <c r="MT23" s="4">
        <v>0</v>
      </c>
      <c r="MU23" s="1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 s="4">
        <v>0</v>
      </c>
      <c r="NC23">
        <v>0</v>
      </c>
      <c r="ND23">
        <v>0</v>
      </c>
      <c r="NE23" s="1">
        <v>1</v>
      </c>
      <c r="NF23">
        <v>0</v>
      </c>
      <c r="NG23">
        <v>0</v>
      </c>
      <c r="NH23">
        <v>0</v>
      </c>
      <c r="NI23">
        <v>0</v>
      </c>
      <c r="NJ23" s="4">
        <v>0</v>
      </c>
      <c r="NK23">
        <v>0</v>
      </c>
      <c r="NL23">
        <v>0</v>
      </c>
      <c r="NM23">
        <v>0</v>
      </c>
      <c r="NN23" s="1">
        <v>1</v>
      </c>
      <c r="NO23">
        <v>0</v>
      </c>
      <c r="NP23">
        <v>0</v>
      </c>
      <c r="NQ23">
        <v>1</v>
      </c>
      <c r="NR23">
        <v>1</v>
      </c>
      <c r="NS23" s="4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 s="4">
        <v>0</v>
      </c>
      <c r="NZ23">
        <v>0</v>
      </c>
      <c r="OA23">
        <v>0</v>
      </c>
      <c r="OB23">
        <v>0</v>
      </c>
      <c r="OC23">
        <v>0</v>
      </c>
      <c r="OD23" s="4">
        <v>0</v>
      </c>
      <c r="OE23">
        <v>0</v>
      </c>
      <c r="OF23">
        <v>0</v>
      </c>
      <c r="OG23">
        <v>1</v>
      </c>
      <c r="OH23">
        <v>0</v>
      </c>
      <c r="OI23">
        <v>0</v>
      </c>
      <c r="OJ23">
        <v>0</v>
      </c>
      <c r="OK23">
        <v>0</v>
      </c>
      <c r="OL23">
        <v>1</v>
      </c>
      <c r="OM23">
        <v>0</v>
      </c>
      <c r="ON23">
        <v>1</v>
      </c>
      <c r="OO23">
        <v>0</v>
      </c>
      <c r="OP23" s="4">
        <v>0</v>
      </c>
      <c r="OQ23">
        <v>1</v>
      </c>
      <c r="OS23" s="4">
        <f t="shared" si="0"/>
        <v>56</v>
      </c>
      <c r="OT23" s="4">
        <f t="shared" si="1"/>
        <v>57</v>
      </c>
    </row>
    <row r="24" spans="1:410" x14ac:dyDescent="0.3">
      <c r="A24" s="10" t="s">
        <v>636</v>
      </c>
      <c r="B24">
        <v>1</v>
      </c>
      <c r="C24" s="1">
        <v>0</v>
      </c>
      <c r="D24" s="1">
        <v>0</v>
      </c>
      <c r="E24" s="1">
        <v>0</v>
      </c>
      <c r="F24" s="1">
        <v>2</v>
      </c>
      <c r="G24" s="1">
        <v>2</v>
      </c>
      <c r="H24">
        <v>1</v>
      </c>
      <c r="I24" s="1">
        <v>0</v>
      </c>
      <c r="J24" s="1">
        <v>0</v>
      </c>
      <c r="K24">
        <v>0</v>
      </c>
      <c r="L24">
        <v>1</v>
      </c>
      <c r="M24" s="1">
        <v>0</v>
      </c>
      <c r="N24" s="1">
        <v>0</v>
      </c>
      <c r="O24" s="1">
        <v>0</v>
      </c>
      <c r="P24">
        <v>1</v>
      </c>
      <c r="Q24" s="1">
        <v>1</v>
      </c>
      <c r="R24">
        <v>1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>
        <v>1</v>
      </c>
      <c r="Y24" s="1">
        <v>0</v>
      </c>
      <c r="Z24" s="1">
        <v>0</v>
      </c>
      <c r="AA24" s="1">
        <v>1</v>
      </c>
      <c r="AB24" s="1">
        <v>1</v>
      </c>
      <c r="AC24" s="1">
        <v>0</v>
      </c>
      <c r="AD24" s="1">
        <v>1</v>
      </c>
      <c r="AE24" s="1">
        <v>0</v>
      </c>
      <c r="AF24" s="1">
        <v>0</v>
      </c>
      <c r="AG24">
        <v>1</v>
      </c>
      <c r="AH24" s="1">
        <v>0</v>
      </c>
      <c r="AI24" s="1">
        <v>1</v>
      </c>
      <c r="AJ24" s="1">
        <v>2</v>
      </c>
      <c r="AK24" s="1">
        <v>1</v>
      </c>
      <c r="AL24">
        <v>0</v>
      </c>
      <c r="AM24">
        <v>0</v>
      </c>
      <c r="AN24" s="1">
        <v>1</v>
      </c>
      <c r="AO24" s="1">
        <v>1</v>
      </c>
      <c r="AP24">
        <v>0</v>
      </c>
      <c r="AQ24" s="1">
        <v>1</v>
      </c>
      <c r="AR24" s="1">
        <v>1</v>
      </c>
      <c r="AS24">
        <v>0</v>
      </c>
      <c r="AT24">
        <v>0</v>
      </c>
      <c r="AU24" s="1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1">
        <v>1</v>
      </c>
      <c r="BT24">
        <v>0</v>
      </c>
      <c r="BU24" s="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 s="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 s="4">
        <v>0</v>
      </c>
      <c r="CH24" s="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 s="1">
        <v>1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 s="4">
        <v>0</v>
      </c>
      <c r="DP24">
        <v>0</v>
      </c>
      <c r="DQ24">
        <v>0</v>
      </c>
      <c r="DR24" s="1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1</v>
      </c>
      <c r="EE24">
        <v>0</v>
      </c>
      <c r="EF24">
        <v>1</v>
      </c>
      <c r="EG24">
        <v>0</v>
      </c>
      <c r="EH24">
        <v>1</v>
      </c>
      <c r="EI24" s="4">
        <v>0</v>
      </c>
      <c r="EJ24">
        <v>0</v>
      </c>
      <c r="EK24">
        <v>0</v>
      </c>
      <c r="EL24" s="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 s="1">
        <v>1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 s="4">
        <v>0</v>
      </c>
      <c r="FS24" s="1">
        <v>1</v>
      </c>
      <c r="FT24">
        <v>0</v>
      </c>
      <c r="FU24">
        <v>0</v>
      </c>
      <c r="FV24">
        <v>1</v>
      </c>
      <c r="FW24">
        <v>1</v>
      </c>
      <c r="FX24" s="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 s="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1</v>
      </c>
      <c r="GQ24">
        <v>1</v>
      </c>
      <c r="GR24" s="1">
        <v>1</v>
      </c>
      <c r="GS24">
        <v>0</v>
      </c>
      <c r="GT24">
        <v>0</v>
      </c>
      <c r="GU24">
        <v>0</v>
      </c>
      <c r="GV24">
        <v>1</v>
      </c>
      <c r="GW24">
        <v>0</v>
      </c>
      <c r="GX24" s="1">
        <v>1</v>
      </c>
      <c r="GY24">
        <v>0</v>
      </c>
      <c r="GZ24">
        <v>1</v>
      </c>
      <c r="HA24">
        <v>0</v>
      </c>
      <c r="HB24">
        <v>0</v>
      </c>
      <c r="HC24" s="4">
        <v>0</v>
      </c>
      <c r="HD24">
        <v>0</v>
      </c>
      <c r="HE24">
        <v>0</v>
      </c>
      <c r="HF24">
        <v>1</v>
      </c>
      <c r="HG24">
        <v>0</v>
      </c>
      <c r="HH24" s="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 s="1">
        <v>1</v>
      </c>
      <c r="HV24">
        <v>1</v>
      </c>
      <c r="HW24">
        <v>1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1</v>
      </c>
      <c r="II24" s="4">
        <v>0</v>
      </c>
      <c r="IJ24">
        <v>1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1</v>
      </c>
      <c r="IQ24">
        <v>1</v>
      </c>
      <c r="IR24" s="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1</v>
      </c>
      <c r="JK24" s="4">
        <v>0</v>
      </c>
      <c r="JL24">
        <v>0</v>
      </c>
      <c r="JM24" s="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 s="4">
        <v>0</v>
      </c>
      <c r="KB24" s="4">
        <v>0</v>
      </c>
      <c r="KC24">
        <v>0</v>
      </c>
      <c r="KD24">
        <v>1</v>
      </c>
      <c r="KE24">
        <v>0</v>
      </c>
      <c r="KF24">
        <v>0</v>
      </c>
      <c r="KG24">
        <v>0</v>
      </c>
      <c r="KH24">
        <v>1</v>
      </c>
      <c r="KI24" s="1">
        <v>1</v>
      </c>
      <c r="KJ24">
        <v>0</v>
      </c>
      <c r="KK24">
        <v>1</v>
      </c>
      <c r="KL24">
        <v>1</v>
      </c>
      <c r="KM24">
        <v>0</v>
      </c>
      <c r="KN24">
        <v>0</v>
      </c>
      <c r="KO24">
        <v>0</v>
      </c>
      <c r="KP24">
        <v>0</v>
      </c>
      <c r="KQ24">
        <v>1</v>
      </c>
      <c r="KR24">
        <v>0</v>
      </c>
      <c r="KS24">
        <v>0</v>
      </c>
      <c r="KT24">
        <v>1</v>
      </c>
      <c r="KU24">
        <v>0</v>
      </c>
      <c r="KV24" s="4">
        <v>0</v>
      </c>
      <c r="KW24">
        <v>1</v>
      </c>
      <c r="KX24">
        <v>1</v>
      </c>
      <c r="KY24" s="4">
        <v>0</v>
      </c>
      <c r="KZ24">
        <v>0</v>
      </c>
      <c r="LA24">
        <v>0</v>
      </c>
      <c r="LB24">
        <v>0</v>
      </c>
      <c r="LC24" s="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</v>
      </c>
      <c r="LJ24" s="1">
        <v>1</v>
      </c>
      <c r="LK24">
        <v>1</v>
      </c>
      <c r="LL24">
        <v>0</v>
      </c>
      <c r="LM24" s="4">
        <v>0</v>
      </c>
      <c r="LN24">
        <v>0</v>
      </c>
      <c r="LO24">
        <v>0</v>
      </c>
      <c r="LP24">
        <v>0</v>
      </c>
      <c r="LQ24">
        <v>1</v>
      </c>
      <c r="LR24" s="1">
        <v>1</v>
      </c>
      <c r="LS24">
        <v>0</v>
      </c>
      <c r="LT24">
        <v>0</v>
      </c>
      <c r="LU24" s="1">
        <v>1</v>
      </c>
      <c r="LV24">
        <v>0</v>
      </c>
      <c r="LW24">
        <v>0</v>
      </c>
      <c r="LX24">
        <v>1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1</v>
      </c>
      <c r="MF24">
        <v>0</v>
      </c>
      <c r="MG24">
        <v>1</v>
      </c>
      <c r="MH24">
        <v>0</v>
      </c>
      <c r="MI24">
        <v>0</v>
      </c>
      <c r="MJ24">
        <v>0</v>
      </c>
      <c r="MK24">
        <v>0</v>
      </c>
      <c r="ML24">
        <v>1</v>
      </c>
      <c r="MM24">
        <v>1</v>
      </c>
      <c r="MN24" s="1">
        <v>1</v>
      </c>
      <c r="MO24">
        <v>0</v>
      </c>
      <c r="MP24">
        <v>0</v>
      </c>
      <c r="MQ24">
        <v>0</v>
      </c>
      <c r="MR24">
        <v>1</v>
      </c>
      <c r="MS24">
        <v>1</v>
      </c>
      <c r="MT24" s="4">
        <v>0</v>
      </c>
      <c r="MU24" s="1">
        <v>1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 s="4">
        <v>0</v>
      </c>
      <c r="NC24">
        <v>0</v>
      </c>
      <c r="ND24">
        <v>0</v>
      </c>
      <c r="NE24" s="1">
        <v>1</v>
      </c>
      <c r="NF24">
        <v>0</v>
      </c>
      <c r="NG24">
        <v>0</v>
      </c>
      <c r="NH24">
        <v>0</v>
      </c>
      <c r="NI24">
        <v>0</v>
      </c>
      <c r="NJ24" s="4">
        <v>0</v>
      </c>
      <c r="NK24">
        <v>0</v>
      </c>
      <c r="NL24">
        <v>0</v>
      </c>
      <c r="NM24">
        <v>0</v>
      </c>
      <c r="NN24" s="1">
        <v>1</v>
      </c>
      <c r="NO24">
        <v>1</v>
      </c>
      <c r="NP24">
        <v>0</v>
      </c>
      <c r="NQ24">
        <v>0</v>
      </c>
      <c r="NR24">
        <v>0</v>
      </c>
      <c r="NS24" s="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 s="4">
        <v>0</v>
      </c>
      <c r="NZ24">
        <v>0</v>
      </c>
      <c r="OA24">
        <v>0</v>
      </c>
      <c r="OB24">
        <v>1</v>
      </c>
      <c r="OC24">
        <v>1</v>
      </c>
      <c r="OD24" s="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0</v>
      </c>
      <c r="OK24">
        <v>0</v>
      </c>
      <c r="OL24">
        <v>2</v>
      </c>
      <c r="OM24">
        <v>0</v>
      </c>
      <c r="ON24">
        <v>1</v>
      </c>
      <c r="OO24">
        <v>0</v>
      </c>
      <c r="OP24" s="4">
        <v>0</v>
      </c>
      <c r="OQ24">
        <v>1</v>
      </c>
      <c r="OS24" s="4">
        <f t="shared" si="0"/>
        <v>105</v>
      </c>
      <c r="OT24" s="4">
        <f t="shared" si="1"/>
        <v>109</v>
      </c>
    </row>
    <row r="25" spans="1:410" x14ac:dyDescent="0.3">
      <c r="A25" s="10" t="s">
        <v>637</v>
      </c>
      <c r="B25">
        <v>1</v>
      </c>
      <c r="C25" s="1">
        <v>0</v>
      </c>
      <c r="D25" s="1">
        <v>0</v>
      </c>
      <c r="E25" s="1">
        <v>0</v>
      </c>
      <c r="F25" s="1">
        <v>1</v>
      </c>
      <c r="G25" s="1">
        <v>1</v>
      </c>
      <c r="H25">
        <v>1</v>
      </c>
      <c r="I25">
        <v>1</v>
      </c>
      <c r="J25" s="1">
        <v>0</v>
      </c>
      <c r="K25">
        <v>0</v>
      </c>
      <c r="L25">
        <v>1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>
        <v>1</v>
      </c>
      <c r="S25" s="1">
        <v>0</v>
      </c>
      <c r="T25">
        <v>1</v>
      </c>
      <c r="U25" s="1">
        <v>0</v>
      </c>
      <c r="V25" s="1">
        <v>1</v>
      </c>
      <c r="W25" s="1">
        <v>0</v>
      </c>
      <c r="X25">
        <v>1</v>
      </c>
      <c r="Y25" s="1">
        <v>0</v>
      </c>
      <c r="Z25" s="1">
        <v>0</v>
      </c>
      <c r="AA25" s="1">
        <v>1</v>
      </c>
      <c r="AB25" s="1">
        <v>1</v>
      </c>
      <c r="AC25" s="1">
        <v>0</v>
      </c>
      <c r="AD25" s="1">
        <v>1</v>
      </c>
      <c r="AE25" s="1">
        <v>1</v>
      </c>
      <c r="AF25" s="1">
        <v>0</v>
      </c>
      <c r="AG25" s="1">
        <v>0</v>
      </c>
      <c r="AH25">
        <v>0</v>
      </c>
      <c r="AI25" s="1">
        <v>1</v>
      </c>
      <c r="AJ25" s="1">
        <v>2</v>
      </c>
      <c r="AK25" s="1">
        <v>0</v>
      </c>
      <c r="AL25">
        <v>0</v>
      </c>
      <c r="AM25">
        <v>0</v>
      </c>
      <c r="AN25" s="1">
        <v>1</v>
      </c>
      <c r="AO25" s="1">
        <v>1</v>
      </c>
      <c r="AP25" s="1">
        <v>1</v>
      </c>
      <c r="AQ25" s="1">
        <v>1</v>
      </c>
      <c r="AR25">
        <v>0</v>
      </c>
      <c r="AS25">
        <v>0</v>
      </c>
      <c r="AT25">
        <v>0</v>
      </c>
      <c r="AU25" s="1">
        <v>1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1">
        <v>1</v>
      </c>
      <c r="BT25">
        <v>0</v>
      </c>
      <c r="BU25" s="4">
        <v>0</v>
      </c>
      <c r="BV25">
        <v>0</v>
      </c>
      <c r="BW25">
        <v>0</v>
      </c>
      <c r="BX25">
        <v>0</v>
      </c>
      <c r="BY25">
        <v>3</v>
      </c>
      <c r="BZ25">
        <v>0</v>
      </c>
      <c r="CA25" s="4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 s="4">
        <v>0</v>
      </c>
      <c r="CH25" s="4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 s="1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 s="4">
        <v>0</v>
      </c>
      <c r="DP25">
        <v>0</v>
      </c>
      <c r="DQ25">
        <v>0</v>
      </c>
      <c r="DR25" s="1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 s="4">
        <v>0</v>
      </c>
      <c r="EJ25">
        <v>0</v>
      </c>
      <c r="EK25">
        <v>0</v>
      </c>
      <c r="EL25" s="4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 s="1">
        <v>1</v>
      </c>
      <c r="FI25">
        <v>1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 s="4">
        <v>0</v>
      </c>
      <c r="FS25" s="1">
        <v>1</v>
      </c>
      <c r="FT25">
        <v>0</v>
      </c>
      <c r="FU25">
        <v>1</v>
      </c>
      <c r="FV25">
        <v>1</v>
      </c>
      <c r="FW25">
        <v>0</v>
      </c>
      <c r="FX25" s="4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 s="4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 s="1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 s="1">
        <v>1</v>
      </c>
      <c r="GY25">
        <v>0</v>
      </c>
      <c r="GZ25">
        <v>0</v>
      </c>
      <c r="HA25">
        <v>0</v>
      </c>
      <c r="HB25">
        <v>1</v>
      </c>
      <c r="HC25" s="4">
        <v>0</v>
      </c>
      <c r="HD25">
        <v>0</v>
      </c>
      <c r="HE25">
        <v>0</v>
      </c>
      <c r="HF25">
        <v>0</v>
      </c>
      <c r="HG25">
        <v>0</v>
      </c>
      <c r="HH25" s="4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 s="1">
        <v>1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0</v>
      </c>
      <c r="IE25">
        <v>0</v>
      </c>
      <c r="IF25">
        <v>0</v>
      </c>
      <c r="IG25">
        <v>0</v>
      </c>
      <c r="IH25">
        <v>1</v>
      </c>
      <c r="II25" s="4">
        <v>0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1</v>
      </c>
      <c r="IQ25">
        <v>1</v>
      </c>
      <c r="IR25" s="4">
        <v>0</v>
      </c>
      <c r="IS25">
        <v>1</v>
      </c>
      <c r="IT25">
        <v>0</v>
      </c>
      <c r="IU25">
        <v>0</v>
      </c>
      <c r="IV25">
        <v>0</v>
      </c>
      <c r="IW25">
        <v>0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1</v>
      </c>
      <c r="JJ25">
        <v>1</v>
      </c>
      <c r="JK25" s="4">
        <v>0</v>
      </c>
      <c r="JL25">
        <v>1</v>
      </c>
      <c r="JM25" s="4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0</v>
      </c>
      <c r="JW25">
        <v>1</v>
      </c>
      <c r="JX25">
        <v>1</v>
      </c>
      <c r="JY25">
        <v>0</v>
      </c>
      <c r="JZ25">
        <v>0</v>
      </c>
      <c r="KA25" s="4">
        <v>0</v>
      </c>
      <c r="KB25" s="4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 s="1">
        <v>1</v>
      </c>
      <c r="KJ25">
        <v>0</v>
      </c>
      <c r="KK25">
        <v>1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1</v>
      </c>
      <c r="KS25">
        <v>0</v>
      </c>
      <c r="KT25">
        <v>0</v>
      </c>
      <c r="KU25">
        <v>0</v>
      </c>
      <c r="KV25" s="4">
        <v>0</v>
      </c>
      <c r="KW25">
        <v>0</v>
      </c>
      <c r="KX25">
        <v>1</v>
      </c>
      <c r="KY25" s="4">
        <v>0</v>
      </c>
      <c r="KZ25">
        <v>0</v>
      </c>
      <c r="LA25">
        <v>0</v>
      </c>
      <c r="LB25">
        <v>0</v>
      </c>
      <c r="LC25" s="4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 s="1">
        <v>1</v>
      </c>
      <c r="LK25">
        <v>0</v>
      </c>
      <c r="LL25">
        <v>0</v>
      </c>
      <c r="LM25" s="4">
        <v>0</v>
      </c>
      <c r="LN25">
        <v>0</v>
      </c>
      <c r="LO25">
        <v>0</v>
      </c>
      <c r="LP25">
        <v>0</v>
      </c>
      <c r="LQ25">
        <v>1</v>
      </c>
      <c r="LR25" s="1">
        <v>1</v>
      </c>
      <c r="LS25">
        <v>0</v>
      </c>
      <c r="LT25">
        <v>0</v>
      </c>
      <c r="LU25" s="1">
        <v>1</v>
      </c>
      <c r="LV25">
        <v>0</v>
      </c>
      <c r="LW25">
        <v>0</v>
      </c>
      <c r="LX25">
        <v>1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1</v>
      </c>
      <c r="MM25">
        <v>0</v>
      </c>
      <c r="MN25" s="1">
        <v>1</v>
      </c>
      <c r="MO25">
        <v>0</v>
      </c>
      <c r="MP25">
        <v>0</v>
      </c>
      <c r="MQ25">
        <v>0</v>
      </c>
      <c r="MR25">
        <v>0</v>
      </c>
      <c r="MS25">
        <v>0</v>
      </c>
      <c r="MT25" s="4">
        <v>0</v>
      </c>
      <c r="MU25" s="1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 s="4">
        <v>0</v>
      </c>
      <c r="NC25">
        <v>0</v>
      </c>
      <c r="ND25">
        <v>0</v>
      </c>
      <c r="NE25" s="1">
        <v>1</v>
      </c>
      <c r="NF25">
        <v>0</v>
      </c>
      <c r="NG25">
        <v>0</v>
      </c>
      <c r="NH25">
        <v>0</v>
      </c>
      <c r="NI25">
        <v>0</v>
      </c>
      <c r="NJ25" s="4">
        <v>0</v>
      </c>
      <c r="NK25">
        <v>0</v>
      </c>
      <c r="NL25">
        <v>0</v>
      </c>
      <c r="NM25">
        <v>0</v>
      </c>
      <c r="NN25" s="1">
        <v>1</v>
      </c>
      <c r="NO25">
        <v>0</v>
      </c>
      <c r="NP25">
        <v>0</v>
      </c>
      <c r="NQ25">
        <v>0</v>
      </c>
      <c r="NR25">
        <v>0</v>
      </c>
      <c r="NS25" s="4">
        <v>0</v>
      </c>
      <c r="NT25">
        <v>0</v>
      </c>
      <c r="NU25">
        <v>0</v>
      </c>
      <c r="NV25">
        <v>0</v>
      </c>
      <c r="NW25">
        <v>0</v>
      </c>
      <c r="NX25">
        <v>1</v>
      </c>
      <c r="NY25" s="4">
        <v>0</v>
      </c>
      <c r="NZ25">
        <v>0</v>
      </c>
      <c r="OA25">
        <v>0</v>
      </c>
      <c r="OB25">
        <v>0</v>
      </c>
      <c r="OC25">
        <v>0</v>
      </c>
      <c r="OD25" s="4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1</v>
      </c>
      <c r="OL25">
        <v>1</v>
      </c>
      <c r="OM25">
        <v>0</v>
      </c>
      <c r="ON25">
        <v>1</v>
      </c>
      <c r="OO25">
        <v>0</v>
      </c>
      <c r="OP25" s="4">
        <v>0</v>
      </c>
      <c r="OQ25">
        <v>0</v>
      </c>
      <c r="OS25" s="4">
        <f t="shared" si="0"/>
        <v>82</v>
      </c>
      <c r="OT25" s="4">
        <f t="shared" si="1"/>
        <v>85</v>
      </c>
    </row>
    <row r="26" spans="1:410" x14ac:dyDescent="0.3">
      <c r="A26" s="10" t="s">
        <v>638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>
        <v>1</v>
      </c>
      <c r="I26">
        <v>1</v>
      </c>
      <c r="J26" s="1">
        <v>0</v>
      </c>
      <c r="K26">
        <v>0</v>
      </c>
      <c r="L26">
        <v>1</v>
      </c>
      <c r="M26" s="1">
        <v>0</v>
      </c>
      <c r="N26">
        <v>1</v>
      </c>
      <c r="O26" s="1">
        <v>0</v>
      </c>
      <c r="P26" s="1">
        <v>0</v>
      </c>
      <c r="Q26" s="1">
        <v>1</v>
      </c>
      <c r="R26">
        <v>1</v>
      </c>
      <c r="S26" s="1">
        <v>0</v>
      </c>
      <c r="T26">
        <v>1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1</v>
      </c>
      <c r="AC26" s="1">
        <v>0</v>
      </c>
      <c r="AD26" s="1">
        <v>1</v>
      </c>
      <c r="AE26" s="1">
        <v>1</v>
      </c>
      <c r="AF26" s="1">
        <v>0</v>
      </c>
      <c r="AG26" s="1">
        <v>0</v>
      </c>
      <c r="AH26" s="1">
        <v>0</v>
      </c>
      <c r="AI26" s="1">
        <v>1</v>
      </c>
      <c r="AJ26" s="1">
        <v>1</v>
      </c>
      <c r="AK26" s="1">
        <v>1</v>
      </c>
      <c r="AL26">
        <v>0</v>
      </c>
      <c r="AM26">
        <v>0</v>
      </c>
      <c r="AN26" s="1">
        <v>1</v>
      </c>
      <c r="AO26" s="1">
        <v>1</v>
      </c>
      <c r="AP26">
        <v>0</v>
      </c>
      <c r="AQ26" s="1">
        <v>1</v>
      </c>
      <c r="AR26">
        <v>0</v>
      </c>
      <c r="AS26">
        <v>0</v>
      </c>
      <c r="AT26">
        <v>0</v>
      </c>
      <c r="AU26" s="1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s="1">
        <v>1</v>
      </c>
      <c r="BT26">
        <v>0</v>
      </c>
      <c r="BU26" s="4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s="4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s="4">
        <v>0</v>
      </c>
      <c r="CH26" s="4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2</v>
      </c>
      <c r="DF26">
        <v>0</v>
      </c>
      <c r="DG26">
        <v>0</v>
      </c>
      <c r="DH26" s="1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 s="4">
        <v>0</v>
      </c>
      <c r="DP26">
        <v>0</v>
      </c>
      <c r="DQ26">
        <v>0</v>
      </c>
      <c r="DR26" s="1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 s="4">
        <v>0</v>
      </c>
      <c r="EJ26">
        <v>0</v>
      </c>
      <c r="EK26">
        <v>0</v>
      </c>
      <c r="EL26" s="4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 s="1">
        <v>1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 s="4">
        <v>0</v>
      </c>
      <c r="FS26" s="1">
        <v>1</v>
      </c>
      <c r="FT26">
        <v>0</v>
      </c>
      <c r="FU26">
        <v>0</v>
      </c>
      <c r="FV26">
        <v>1</v>
      </c>
      <c r="FW26">
        <v>0</v>
      </c>
      <c r="FX26" s="4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 s="4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 s="1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 s="1">
        <v>1</v>
      </c>
      <c r="GY26">
        <v>0</v>
      </c>
      <c r="GZ26">
        <v>0</v>
      </c>
      <c r="HA26">
        <v>0</v>
      </c>
      <c r="HB26">
        <v>0</v>
      </c>
      <c r="HC26" s="4">
        <v>0</v>
      </c>
      <c r="HD26">
        <v>0</v>
      </c>
      <c r="HE26">
        <v>0</v>
      </c>
      <c r="HF26">
        <v>0</v>
      </c>
      <c r="HG26">
        <v>0</v>
      </c>
      <c r="HH26" s="4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 s="1">
        <v>1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 s="4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 s="4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0</v>
      </c>
      <c r="JK26" s="4">
        <v>0</v>
      </c>
      <c r="JL26">
        <v>0</v>
      </c>
      <c r="JM26" s="4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 s="4">
        <v>0</v>
      </c>
      <c r="KB26" s="4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 s="1">
        <v>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 s="4">
        <v>0</v>
      </c>
      <c r="KW26">
        <v>0</v>
      </c>
      <c r="KX26">
        <v>0</v>
      </c>
      <c r="KY26" s="4">
        <v>0</v>
      </c>
      <c r="KZ26">
        <v>0</v>
      </c>
      <c r="LA26">
        <v>0</v>
      </c>
      <c r="LB26">
        <v>0</v>
      </c>
      <c r="LC26" s="4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</v>
      </c>
      <c r="LJ26" s="1">
        <v>1</v>
      </c>
      <c r="LK26">
        <v>0</v>
      </c>
      <c r="LL26">
        <v>0</v>
      </c>
      <c r="LM26" s="4">
        <v>0</v>
      </c>
      <c r="LN26">
        <v>0</v>
      </c>
      <c r="LO26">
        <v>0</v>
      </c>
      <c r="LP26">
        <v>0</v>
      </c>
      <c r="LQ26">
        <v>0</v>
      </c>
      <c r="LR26" s="1">
        <v>1</v>
      </c>
      <c r="LS26">
        <v>0</v>
      </c>
      <c r="LT26">
        <v>0</v>
      </c>
      <c r="LU26" s="1">
        <v>1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</v>
      </c>
      <c r="MH26">
        <v>0</v>
      </c>
      <c r="MI26">
        <v>0</v>
      </c>
      <c r="MJ26">
        <v>0</v>
      </c>
      <c r="MK26">
        <v>0</v>
      </c>
      <c r="ML26">
        <v>1</v>
      </c>
      <c r="MM26">
        <v>0</v>
      </c>
      <c r="MN26" s="1">
        <v>1</v>
      </c>
      <c r="MO26">
        <v>0</v>
      </c>
      <c r="MP26">
        <v>0</v>
      </c>
      <c r="MQ26">
        <v>0</v>
      </c>
      <c r="MR26">
        <v>0</v>
      </c>
      <c r="MS26">
        <v>0</v>
      </c>
      <c r="MT26" s="4">
        <v>0</v>
      </c>
      <c r="MU26" s="1">
        <v>1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 s="4">
        <v>0</v>
      </c>
      <c r="NC26">
        <v>0</v>
      </c>
      <c r="ND26">
        <v>0</v>
      </c>
      <c r="NE26" s="1">
        <v>1</v>
      </c>
      <c r="NF26">
        <v>0</v>
      </c>
      <c r="NG26">
        <v>0</v>
      </c>
      <c r="NH26">
        <v>0</v>
      </c>
      <c r="NI26">
        <v>0</v>
      </c>
      <c r="NJ26" s="4">
        <v>0</v>
      </c>
      <c r="NK26">
        <v>0</v>
      </c>
      <c r="NL26">
        <v>0</v>
      </c>
      <c r="NM26">
        <v>0</v>
      </c>
      <c r="NN26" s="1">
        <v>1</v>
      </c>
      <c r="NO26">
        <v>1</v>
      </c>
      <c r="NP26">
        <v>0</v>
      </c>
      <c r="NQ26">
        <v>0</v>
      </c>
      <c r="NR26">
        <v>1</v>
      </c>
      <c r="NS26" s="4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 s="4">
        <v>0</v>
      </c>
      <c r="NZ26">
        <v>0</v>
      </c>
      <c r="OA26">
        <v>0</v>
      </c>
      <c r="OB26">
        <v>0</v>
      </c>
      <c r="OC26">
        <v>0</v>
      </c>
      <c r="OD26" s="4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1</v>
      </c>
      <c r="OL26">
        <v>1</v>
      </c>
      <c r="OM26">
        <v>0</v>
      </c>
      <c r="ON26">
        <v>0</v>
      </c>
      <c r="OO26">
        <v>0</v>
      </c>
      <c r="OP26" s="4">
        <v>0</v>
      </c>
      <c r="OQ26">
        <v>1</v>
      </c>
      <c r="OS26" s="4">
        <f t="shared" si="0"/>
        <v>59</v>
      </c>
      <c r="OT26" s="4">
        <f t="shared" si="1"/>
        <v>61</v>
      </c>
    </row>
    <row r="27" spans="1:410" x14ac:dyDescent="0.3">
      <c r="A27" s="10" t="s">
        <v>639</v>
      </c>
      <c r="B27" s="1">
        <v>0</v>
      </c>
      <c r="C27" s="1">
        <v>0</v>
      </c>
      <c r="D27" s="1">
        <v>0</v>
      </c>
      <c r="E27">
        <v>1</v>
      </c>
      <c r="F27" s="1">
        <v>2</v>
      </c>
      <c r="G27" s="1">
        <v>1</v>
      </c>
      <c r="H27" s="1">
        <v>0</v>
      </c>
      <c r="I27" s="1">
        <v>0</v>
      </c>
      <c r="J27" s="1">
        <v>0</v>
      </c>
      <c r="K27">
        <v>0</v>
      </c>
      <c r="L27">
        <v>1</v>
      </c>
      <c r="M27">
        <v>1</v>
      </c>
      <c r="N27" s="1">
        <v>0</v>
      </c>
      <c r="O27" s="1">
        <v>0</v>
      </c>
      <c r="P27">
        <v>1</v>
      </c>
      <c r="Q27" s="1">
        <v>1</v>
      </c>
      <c r="R27">
        <v>1</v>
      </c>
      <c r="S27" s="1">
        <v>0</v>
      </c>
      <c r="T27" s="1">
        <v>0</v>
      </c>
      <c r="U27" s="1">
        <v>0</v>
      </c>
      <c r="V27" s="1">
        <v>2</v>
      </c>
      <c r="W27" s="1">
        <v>0</v>
      </c>
      <c r="X27">
        <v>1</v>
      </c>
      <c r="Y27" s="1">
        <v>0</v>
      </c>
      <c r="Z27" s="1">
        <v>0</v>
      </c>
      <c r="AA27" s="1">
        <v>1</v>
      </c>
      <c r="AB27" s="1">
        <v>1</v>
      </c>
      <c r="AC27">
        <v>1</v>
      </c>
      <c r="AD27" s="1">
        <v>1</v>
      </c>
      <c r="AE27" s="1">
        <v>1</v>
      </c>
      <c r="AF27" s="1">
        <v>1</v>
      </c>
      <c r="AG27" s="1">
        <v>0</v>
      </c>
      <c r="AH27" s="1">
        <v>0</v>
      </c>
      <c r="AI27" s="1">
        <v>2</v>
      </c>
      <c r="AJ27" s="1">
        <v>2</v>
      </c>
      <c r="AK27" s="1">
        <v>1</v>
      </c>
      <c r="AL27">
        <v>0</v>
      </c>
      <c r="AM27">
        <v>0</v>
      </c>
      <c r="AN27" s="1">
        <v>1</v>
      </c>
      <c r="AO27" s="1">
        <v>1</v>
      </c>
      <c r="AP27" s="1">
        <v>1</v>
      </c>
      <c r="AQ27" s="1">
        <v>1</v>
      </c>
      <c r="AR27">
        <v>0</v>
      </c>
      <c r="AS27">
        <v>0</v>
      </c>
      <c r="AT27">
        <v>0</v>
      </c>
      <c r="AU27" s="1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1">
        <v>1</v>
      </c>
      <c r="BT27">
        <v>0</v>
      </c>
      <c r="BU27" s="4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 s="4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 s="4">
        <v>0</v>
      </c>
      <c r="CH27" s="4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 s="1">
        <v>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 s="4">
        <v>0</v>
      </c>
      <c r="DP27">
        <v>0</v>
      </c>
      <c r="DQ27">
        <v>0</v>
      </c>
      <c r="DR27" s="1">
        <v>2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 s="4">
        <v>0</v>
      </c>
      <c r="EJ27">
        <v>0</v>
      </c>
      <c r="EK27">
        <v>0</v>
      </c>
      <c r="EL27" s="4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 s="1">
        <v>1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0</v>
      </c>
      <c r="FR27" s="4">
        <v>0</v>
      </c>
      <c r="FS27" s="1">
        <v>1</v>
      </c>
      <c r="FT27">
        <v>0</v>
      </c>
      <c r="FU27">
        <v>1</v>
      </c>
      <c r="FV27">
        <v>1</v>
      </c>
      <c r="FW27">
        <v>0</v>
      </c>
      <c r="FX27" s="4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 s="4">
        <v>0</v>
      </c>
      <c r="GE27">
        <v>0</v>
      </c>
      <c r="GF27">
        <v>0</v>
      </c>
      <c r="GG27">
        <v>0</v>
      </c>
      <c r="GH27">
        <v>1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 s="1">
        <v>1</v>
      </c>
      <c r="GS27">
        <v>0</v>
      </c>
      <c r="GT27">
        <v>0</v>
      </c>
      <c r="GU27">
        <v>0</v>
      </c>
      <c r="GV27">
        <v>0</v>
      </c>
      <c r="GW27">
        <v>0</v>
      </c>
      <c r="GX27" s="1">
        <v>1</v>
      </c>
      <c r="GY27">
        <v>0</v>
      </c>
      <c r="GZ27">
        <v>0</v>
      </c>
      <c r="HA27">
        <v>1</v>
      </c>
      <c r="HB27">
        <v>0</v>
      </c>
      <c r="HC27" s="4">
        <v>0</v>
      </c>
      <c r="HD27">
        <v>0</v>
      </c>
      <c r="HE27">
        <v>0</v>
      </c>
      <c r="HF27">
        <v>0</v>
      </c>
      <c r="HG27">
        <v>0</v>
      </c>
      <c r="HH27" s="4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 s="1">
        <v>1</v>
      </c>
      <c r="HV27">
        <v>1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 s="4">
        <v>0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 s="4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1</v>
      </c>
      <c r="IY27">
        <v>0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1</v>
      </c>
      <c r="JK27" s="4">
        <v>0</v>
      </c>
      <c r="JL27">
        <v>0</v>
      </c>
      <c r="JM27" s="4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 s="4">
        <v>0</v>
      </c>
      <c r="KB27" s="4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 s="1">
        <v>1</v>
      </c>
      <c r="KJ27">
        <v>0</v>
      </c>
      <c r="KK27">
        <v>0</v>
      </c>
      <c r="KL27">
        <v>0</v>
      </c>
      <c r="KM27">
        <v>1</v>
      </c>
      <c r="KN27">
        <v>0</v>
      </c>
      <c r="KO27">
        <v>0</v>
      </c>
      <c r="KP27">
        <v>0</v>
      </c>
      <c r="KQ27">
        <v>1</v>
      </c>
      <c r="KR27">
        <v>0</v>
      </c>
      <c r="KS27">
        <v>0</v>
      </c>
      <c r="KT27">
        <v>0</v>
      </c>
      <c r="KU27">
        <v>0</v>
      </c>
      <c r="KV27" s="4">
        <v>0</v>
      </c>
      <c r="KW27">
        <v>0</v>
      </c>
      <c r="KX27">
        <v>0</v>
      </c>
      <c r="KY27" s="4">
        <v>0</v>
      </c>
      <c r="KZ27">
        <v>0</v>
      </c>
      <c r="LA27">
        <v>0</v>
      </c>
      <c r="LB27">
        <v>0</v>
      </c>
      <c r="LC27" s="4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 s="1">
        <v>1</v>
      </c>
      <c r="LK27">
        <v>0</v>
      </c>
      <c r="LL27">
        <v>0</v>
      </c>
      <c r="LM27" s="4">
        <v>0</v>
      </c>
      <c r="LN27">
        <v>0</v>
      </c>
      <c r="LO27">
        <v>0</v>
      </c>
      <c r="LP27">
        <v>0</v>
      </c>
      <c r="LQ27">
        <v>0</v>
      </c>
      <c r="LR27" s="1">
        <v>1</v>
      </c>
      <c r="LS27">
        <v>0</v>
      </c>
      <c r="LT27">
        <v>0</v>
      </c>
      <c r="LU27" s="1">
        <v>1</v>
      </c>
      <c r="LV27">
        <v>0</v>
      </c>
      <c r="LW27">
        <v>0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1</v>
      </c>
      <c r="MF27">
        <v>0</v>
      </c>
      <c r="MG27">
        <v>1</v>
      </c>
      <c r="MH27">
        <v>0</v>
      </c>
      <c r="MI27">
        <v>0</v>
      </c>
      <c r="MJ27">
        <v>0</v>
      </c>
      <c r="MK27">
        <v>0</v>
      </c>
      <c r="ML27">
        <v>1</v>
      </c>
      <c r="MM27">
        <v>0</v>
      </c>
      <c r="MN27" s="1">
        <v>1</v>
      </c>
      <c r="MO27">
        <v>0</v>
      </c>
      <c r="MP27">
        <v>0</v>
      </c>
      <c r="MQ27">
        <v>0</v>
      </c>
      <c r="MR27">
        <v>0</v>
      </c>
      <c r="MS27">
        <v>0</v>
      </c>
      <c r="MT27" s="4">
        <v>0</v>
      </c>
      <c r="MU27" s="1">
        <v>1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 s="4">
        <v>0</v>
      </c>
      <c r="NC27">
        <v>0</v>
      </c>
      <c r="ND27">
        <v>0</v>
      </c>
      <c r="NE27" s="1">
        <v>1</v>
      </c>
      <c r="NF27">
        <v>0</v>
      </c>
      <c r="NG27">
        <v>0</v>
      </c>
      <c r="NH27">
        <v>0</v>
      </c>
      <c r="NI27">
        <v>0</v>
      </c>
      <c r="NJ27" s="4">
        <v>0</v>
      </c>
      <c r="NK27">
        <v>0</v>
      </c>
      <c r="NL27">
        <v>0</v>
      </c>
      <c r="NM27">
        <v>0</v>
      </c>
      <c r="NN27" s="1">
        <v>1</v>
      </c>
      <c r="NO27">
        <v>0</v>
      </c>
      <c r="NP27">
        <v>0</v>
      </c>
      <c r="NQ27">
        <v>0</v>
      </c>
      <c r="NR27">
        <v>0</v>
      </c>
      <c r="NS27" s="4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 s="4">
        <v>0</v>
      </c>
      <c r="NZ27">
        <v>0</v>
      </c>
      <c r="OA27">
        <v>0</v>
      </c>
      <c r="OB27">
        <v>0</v>
      </c>
      <c r="OC27">
        <v>0</v>
      </c>
      <c r="OD27" s="4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1</v>
      </c>
      <c r="OL27">
        <v>1</v>
      </c>
      <c r="OM27">
        <v>0</v>
      </c>
      <c r="ON27">
        <v>0</v>
      </c>
      <c r="OO27">
        <v>0</v>
      </c>
      <c r="OP27" s="4">
        <v>0</v>
      </c>
      <c r="OQ27">
        <v>1</v>
      </c>
      <c r="OS27" s="4">
        <f t="shared" si="0"/>
        <v>68</v>
      </c>
      <c r="OT27" s="4">
        <f t="shared" si="1"/>
        <v>74</v>
      </c>
    </row>
    <row r="28" spans="1:410" x14ac:dyDescent="0.3">
      <c r="A28" s="10" t="s">
        <v>640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2</v>
      </c>
      <c r="H28" s="1">
        <v>0</v>
      </c>
      <c r="I28" s="1">
        <v>0</v>
      </c>
      <c r="J28" s="1">
        <v>0</v>
      </c>
      <c r="K28">
        <v>0</v>
      </c>
      <c r="L28" s="1">
        <v>0</v>
      </c>
      <c r="M28" s="1">
        <v>0</v>
      </c>
      <c r="N28" s="1">
        <v>0</v>
      </c>
      <c r="O28" s="1">
        <v>0</v>
      </c>
      <c r="P28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2</v>
      </c>
      <c r="AK28" s="1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 s="1">
        <v>1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 s="1">
        <v>1</v>
      </c>
      <c r="BT28">
        <v>0</v>
      </c>
      <c r="BU28" s="4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s="4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 s="4">
        <v>0</v>
      </c>
      <c r="CH28" s="4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 s="1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 s="4">
        <v>0</v>
      </c>
      <c r="DP28">
        <v>0</v>
      </c>
      <c r="DQ28">
        <v>0</v>
      </c>
      <c r="DR28" s="1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 s="4">
        <v>0</v>
      </c>
      <c r="EJ28">
        <v>0</v>
      </c>
      <c r="EK28">
        <v>0</v>
      </c>
      <c r="EL28" s="4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 s="1">
        <v>1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 s="4">
        <v>0</v>
      </c>
      <c r="FS28" s="1">
        <v>1</v>
      </c>
      <c r="FT28">
        <v>0</v>
      </c>
      <c r="FU28">
        <v>0</v>
      </c>
      <c r="FV28">
        <v>0</v>
      </c>
      <c r="FW28">
        <v>0</v>
      </c>
      <c r="FX28" s="4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 s="4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 s="1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 s="1">
        <v>1</v>
      </c>
      <c r="GY28">
        <v>0</v>
      </c>
      <c r="GZ28">
        <v>1</v>
      </c>
      <c r="HA28">
        <v>0</v>
      </c>
      <c r="HB28">
        <v>0</v>
      </c>
      <c r="HC28" s="4">
        <v>0</v>
      </c>
      <c r="HD28">
        <v>0</v>
      </c>
      <c r="HE28">
        <v>0</v>
      </c>
      <c r="HF28">
        <v>0</v>
      </c>
      <c r="HG28">
        <v>0</v>
      </c>
      <c r="HH28" s="4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 s="1">
        <v>1</v>
      </c>
      <c r="HV28">
        <v>1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 s="4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 s="4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1</v>
      </c>
      <c r="JJ28">
        <v>0</v>
      </c>
      <c r="JK28" s="4">
        <v>0</v>
      </c>
      <c r="JL28">
        <v>0</v>
      </c>
      <c r="JM28" s="4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 s="4">
        <v>0</v>
      </c>
      <c r="KB28" s="4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 s="1">
        <v>1</v>
      </c>
      <c r="KJ28">
        <v>0</v>
      </c>
      <c r="KK28">
        <v>0</v>
      </c>
      <c r="KL28">
        <v>0</v>
      </c>
      <c r="KM28">
        <v>1</v>
      </c>
      <c r="KN28">
        <v>0</v>
      </c>
      <c r="KO28">
        <v>0</v>
      </c>
      <c r="KP28">
        <v>0</v>
      </c>
      <c r="KQ28">
        <v>3</v>
      </c>
      <c r="KR28">
        <v>0</v>
      </c>
      <c r="KS28">
        <v>0</v>
      </c>
      <c r="KT28">
        <v>0</v>
      </c>
      <c r="KU28">
        <v>0</v>
      </c>
      <c r="KV28" s="4">
        <v>0</v>
      </c>
      <c r="KW28">
        <v>0</v>
      </c>
      <c r="KX28">
        <v>0</v>
      </c>
      <c r="KY28" s="4">
        <v>0</v>
      </c>
      <c r="KZ28">
        <v>0</v>
      </c>
      <c r="LA28">
        <v>1</v>
      </c>
      <c r="LB28">
        <v>0</v>
      </c>
      <c r="LC28" s="4">
        <v>0</v>
      </c>
      <c r="LD28">
        <v>0</v>
      </c>
      <c r="LE28">
        <v>1</v>
      </c>
      <c r="LF28">
        <v>0</v>
      </c>
      <c r="LG28">
        <v>0</v>
      </c>
      <c r="LH28">
        <v>0</v>
      </c>
      <c r="LI28">
        <v>1</v>
      </c>
      <c r="LJ28" s="1">
        <v>1</v>
      </c>
      <c r="LK28">
        <v>0</v>
      </c>
      <c r="LL28">
        <v>0</v>
      </c>
      <c r="LM28" s="4">
        <v>0</v>
      </c>
      <c r="LN28">
        <v>0</v>
      </c>
      <c r="LO28">
        <v>0</v>
      </c>
      <c r="LP28">
        <v>0</v>
      </c>
      <c r="LQ28">
        <v>0</v>
      </c>
      <c r="LR28" s="1">
        <v>1</v>
      </c>
      <c r="LS28">
        <v>0</v>
      </c>
      <c r="LT28">
        <v>0</v>
      </c>
      <c r="LU28" s="1">
        <v>1</v>
      </c>
      <c r="LV28">
        <v>0</v>
      </c>
      <c r="LW28">
        <v>0</v>
      </c>
      <c r="LX28">
        <v>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1</v>
      </c>
      <c r="MF28">
        <v>0</v>
      </c>
      <c r="MG28">
        <v>1</v>
      </c>
      <c r="MH28">
        <v>0</v>
      </c>
      <c r="MI28">
        <v>0</v>
      </c>
      <c r="MJ28">
        <v>0</v>
      </c>
      <c r="MK28">
        <v>0</v>
      </c>
      <c r="ML28">
        <v>1</v>
      </c>
      <c r="MM28">
        <v>0</v>
      </c>
      <c r="MN28" s="1">
        <v>1</v>
      </c>
      <c r="MO28">
        <v>1</v>
      </c>
      <c r="MP28">
        <v>0</v>
      </c>
      <c r="MQ28">
        <v>0</v>
      </c>
      <c r="MR28">
        <v>0</v>
      </c>
      <c r="MS28">
        <v>0</v>
      </c>
      <c r="MT28" s="4">
        <v>0</v>
      </c>
      <c r="MU28" s="1">
        <v>1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 s="4">
        <v>0</v>
      </c>
      <c r="NC28">
        <v>0</v>
      </c>
      <c r="ND28">
        <v>0</v>
      </c>
      <c r="NE28" s="1">
        <v>1</v>
      </c>
      <c r="NF28">
        <v>0</v>
      </c>
      <c r="NG28">
        <v>0</v>
      </c>
      <c r="NH28">
        <v>0</v>
      </c>
      <c r="NI28">
        <v>0</v>
      </c>
      <c r="NJ28" s="4">
        <v>0</v>
      </c>
      <c r="NK28">
        <v>0</v>
      </c>
      <c r="NL28">
        <v>0</v>
      </c>
      <c r="NM28">
        <v>0</v>
      </c>
      <c r="NN28" s="1">
        <v>1</v>
      </c>
      <c r="NO28">
        <v>0</v>
      </c>
      <c r="NP28">
        <v>0</v>
      </c>
      <c r="NQ28">
        <v>0</v>
      </c>
      <c r="NR28">
        <v>0</v>
      </c>
      <c r="NS28" s="4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 s="4">
        <v>0</v>
      </c>
      <c r="NZ28">
        <v>0</v>
      </c>
      <c r="OA28">
        <v>0</v>
      </c>
      <c r="OB28">
        <v>0</v>
      </c>
      <c r="OC28">
        <v>0</v>
      </c>
      <c r="OD28" s="4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</v>
      </c>
      <c r="OL28">
        <v>1</v>
      </c>
      <c r="OM28">
        <v>0</v>
      </c>
      <c r="ON28">
        <v>0</v>
      </c>
      <c r="OO28">
        <v>0</v>
      </c>
      <c r="OP28" s="4">
        <v>0</v>
      </c>
      <c r="OQ28">
        <v>0</v>
      </c>
      <c r="OS28" s="4">
        <f t="shared" si="0"/>
        <v>49</v>
      </c>
      <c r="OT28" s="4">
        <f t="shared" si="1"/>
        <v>53</v>
      </c>
    </row>
    <row r="29" spans="1:410" x14ac:dyDescent="0.3">
      <c r="A29" s="10" t="s">
        <v>641</v>
      </c>
      <c r="B29">
        <v>1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>
        <v>1</v>
      </c>
      <c r="I29">
        <v>1</v>
      </c>
      <c r="J29" s="1">
        <v>0</v>
      </c>
      <c r="K29">
        <v>0</v>
      </c>
      <c r="L29">
        <v>1</v>
      </c>
      <c r="M29">
        <v>1</v>
      </c>
      <c r="N29">
        <v>1</v>
      </c>
      <c r="O29" s="1">
        <v>0</v>
      </c>
      <c r="P29">
        <v>1</v>
      </c>
      <c r="Q29" s="1">
        <v>1</v>
      </c>
      <c r="R29">
        <v>1</v>
      </c>
      <c r="S29" s="1">
        <v>0</v>
      </c>
      <c r="T29" s="1">
        <v>0</v>
      </c>
      <c r="U29" s="1">
        <v>0</v>
      </c>
      <c r="V29" s="1">
        <v>2</v>
      </c>
      <c r="W29" s="1">
        <v>0</v>
      </c>
      <c r="X29">
        <v>1</v>
      </c>
      <c r="Y29" s="1">
        <v>0</v>
      </c>
      <c r="Z29" s="1">
        <v>0</v>
      </c>
      <c r="AA29" s="1">
        <v>1</v>
      </c>
      <c r="AB29" s="1">
        <v>1</v>
      </c>
      <c r="AC29">
        <v>1</v>
      </c>
      <c r="AD29" s="1">
        <v>1</v>
      </c>
      <c r="AE29" s="1">
        <v>1</v>
      </c>
      <c r="AF29" s="1">
        <v>1</v>
      </c>
      <c r="AG29" s="1">
        <v>1</v>
      </c>
      <c r="AH29" s="1">
        <v>0</v>
      </c>
      <c r="AI29" s="1">
        <v>1</v>
      </c>
      <c r="AJ29" s="1">
        <v>1</v>
      </c>
      <c r="AK29" s="1">
        <v>1</v>
      </c>
      <c r="AL29">
        <v>0</v>
      </c>
      <c r="AM29">
        <v>0</v>
      </c>
      <c r="AN29" s="1">
        <v>1</v>
      </c>
      <c r="AO29" s="1">
        <v>1</v>
      </c>
      <c r="AP29" s="1">
        <v>1</v>
      </c>
      <c r="AQ29" s="1">
        <v>1</v>
      </c>
      <c r="AR29">
        <v>0</v>
      </c>
      <c r="AS29">
        <v>1</v>
      </c>
      <c r="AT29">
        <v>1</v>
      </c>
      <c r="AU29" s="1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 s="1">
        <v>1</v>
      </c>
      <c r="BT29">
        <v>0</v>
      </c>
      <c r="BU29" s="4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 s="4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 s="4">
        <v>0</v>
      </c>
      <c r="CH29" s="4">
        <v>0</v>
      </c>
      <c r="CI29">
        <v>0</v>
      </c>
      <c r="CJ29">
        <v>0</v>
      </c>
      <c r="CK29">
        <v>0</v>
      </c>
      <c r="CL29">
        <v>1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 s="1">
        <v>1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 s="4">
        <v>0</v>
      </c>
      <c r="DP29">
        <v>0</v>
      </c>
      <c r="DQ29">
        <v>0</v>
      </c>
      <c r="DR29" s="1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 s="4">
        <v>0</v>
      </c>
      <c r="EJ29">
        <v>0</v>
      </c>
      <c r="EK29">
        <v>0</v>
      </c>
      <c r="EL29" s="4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 s="1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 s="4">
        <v>0</v>
      </c>
      <c r="FS29" s="1">
        <v>1</v>
      </c>
      <c r="FT29">
        <v>0</v>
      </c>
      <c r="FU29">
        <v>0</v>
      </c>
      <c r="FV29">
        <v>1</v>
      </c>
      <c r="FW29">
        <v>0</v>
      </c>
      <c r="FX29" s="4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 s="4">
        <v>0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 s="1">
        <v>0</v>
      </c>
      <c r="GS29">
        <v>1</v>
      </c>
      <c r="GT29">
        <v>0</v>
      </c>
      <c r="GU29">
        <v>0</v>
      </c>
      <c r="GV29">
        <v>1</v>
      </c>
      <c r="GW29">
        <v>0</v>
      </c>
      <c r="GX29" s="1">
        <v>1</v>
      </c>
      <c r="GY29">
        <v>0</v>
      </c>
      <c r="GZ29">
        <v>0</v>
      </c>
      <c r="HA29">
        <v>0</v>
      </c>
      <c r="HB29">
        <v>0</v>
      </c>
      <c r="HC29" s="4">
        <v>0</v>
      </c>
      <c r="HD29">
        <v>0</v>
      </c>
      <c r="HE29">
        <v>0</v>
      </c>
      <c r="HF29">
        <v>1</v>
      </c>
      <c r="HG29">
        <v>0</v>
      </c>
      <c r="HH29" s="4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0</v>
      </c>
      <c r="HR29">
        <v>0</v>
      </c>
      <c r="HS29">
        <v>0</v>
      </c>
      <c r="HT29">
        <v>0</v>
      </c>
      <c r="HU29" s="1">
        <v>1</v>
      </c>
      <c r="HV29">
        <v>1</v>
      </c>
      <c r="HW29">
        <v>1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0</v>
      </c>
      <c r="IG29">
        <v>0</v>
      </c>
      <c r="IH29">
        <v>0</v>
      </c>
      <c r="II29" s="4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1</v>
      </c>
      <c r="IR29" s="4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 s="4">
        <v>0</v>
      </c>
      <c r="JL29">
        <v>0</v>
      </c>
      <c r="JM29" s="4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 s="4">
        <v>0</v>
      </c>
      <c r="KB29" s="4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</v>
      </c>
      <c r="KI29" s="1">
        <v>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 s="4">
        <v>0</v>
      </c>
      <c r="KW29">
        <v>0</v>
      </c>
      <c r="KX29">
        <v>1</v>
      </c>
      <c r="KY29" s="4">
        <v>0</v>
      </c>
      <c r="KZ29">
        <v>0</v>
      </c>
      <c r="LA29">
        <v>0</v>
      </c>
      <c r="LB29">
        <v>0</v>
      </c>
      <c r="LC29" s="4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</v>
      </c>
      <c r="LJ29" s="1">
        <v>2</v>
      </c>
      <c r="LK29">
        <v>0</v>
      </c>
      <c r="LL29">
        <v>0</v>
      </c>
      <c r="LM29" s="4">
        <v>0</v>
      </c>
      <c r="LN29">
        <v>0</v>
      </c>
      <c r="LO29">
        <v>0</v>
      </c>
      <c r="LP29">
        <v>0</v>
      </c>
      <c r="LQ29">
        <v>0</v>
      </c>
      <c r="LR29" s="1">
        <v>2</v>
      </c>
      <c r="LS29">
        <v>0</v>
      </c>
      <c r="LT29">
        <v>0</v>
      </c>
      <c r="LU29" s="1">
        <v>1</v>
      </c>
      <c r="LV29">
        <v>0</v>
      </c>
      <c r="LW29">
        <v>0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1</v>
      </c>
      <c r="MF29">
        <v>0</v>
      </c>
      <c r="MG29">
        <v>1</v>
      </c>
      <c r="MH29">
        <v>0</v>
      </c>
      <c r="MI29">
        <v>0</v>
      </c>
      <c r="MJ29">
        <v>0</v>
      </c>
      <c r="MK29">
        <v>0</v>
      </c>
      <c r="ML29">
        <v>1</v>
      </c>
      <c r="MM29">
        <v>0</v>
      </c>
      <c r="MN29" s="1">
        <v>1</v>
      </c>
      <c r="MO29">
        <v>0</v>
      </c>
      <c r="MP29">
        <v>0</v>
      </c>
      <c r="MQ29">
        <v>0</v>
      </c>
      <c r="MR29">
        <v>0</v>
      </c>
      <c r="MS29">
        <v>0</v>
      </c>
      <c r="MT29" s="4">
        <v>0</v>
      </c>
      <c r="MU29" s="1">
        <v>1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 s="4">
        <v>0</v>
      </c>
      <c r="NC29">
        <v>0</v>
      </c>
      <c r="ND29">
        <v>0</v>
      </c>
      <c r="NE29" s="1">
        <v>1</v>
      </c>
      <c r="NF29">
        <v>0</v>
      </c>
      <c r="NG29">
        <v>0</v>
      </c>
      <c r="NH29">
        <v>0</v>
      </c>
      <c r="NI29">
        <v>0</v>
      </c>
      <c r="NJ29" s="4">
        <v>0</v>
      </c>
      <c r="NK29">
        <v>0</v>
      </c>
      <c r="NL29">
        <v>0</v>
      </c>
      <c r="NM29">
        <v>0</v>
      </c>
      <c r="NN29" s="1">
        <v>1</v>
      </c>
      <c r="NO29">
        <v>1</v>
      </c>
      <c r="NP29">
        <v>0</v>
      </c>
      <c r="NQ29">
        <v>0</v>
      </c>
      <c r="NR29">
        <v>0</v>
      </c>
      <c r="NS29" s="4">
        <v>0</v>
      </c>
      <c r="NT29">
        <v>0</v>
      </c>
      <c r="NU29">
        <v>0</v>
      </c>
      <c r="NV29">
        <v>0</v>
      </c>
      <c r="NW29">
        <v>0</v>
      </c>
      <c r="NX29">
        <v>1</v>
      </c>
      <c r="NY29" s="4">
        <v>0</v>
      </c>
      <c r="NZ29">
        <v>0</v>
      </c>
      <c r="OA29">
        <v>0</v>
      </c>
      <c r="OB29">
        <v>0</v>
      </c>
      <c r="OC29">
        <v>0</v>
      </c>
      <c r="OD29" s="4">
        <v>0</v>
      </c>
      <c r="OE29">
        <v>0</v>
      </c>
      <c r="OF29">
        <v>0</v>
      </c>
      <c r="OG29">
        <v>0</v>
      </c>
      <c r="OH29">
        <v>0</v>
      </c>
      <c r="OI29">
        <v>1</v>
      </c>
      <c r="OJ29">
        <v>0</v>
      </c>
      <c r="OK29">
        <v>0</v>
      </c>
      <c r="OL29">
        <v>1</v>
      </c>
      <c r="OM29">
        <v>0</v>
      </c>
      <c r="ON29">
        <v>1</v>
      </c>
      <c r="OO29">
        <v>0</v>
      </c>
      <c r="OP29" s="4">
        <v>0</v>
      </c>
      <c r="OQ29">
        <v>1</v>
      </c>
      <c r="OS29" s="4">
        <f t="shared" si="0"/>
        <v>93</v>
      </c>
      <c r="OT29" s="4">
        <f t="shared" si="1"/>
        <v>96</v>
      </c>
    </row>
    <row r="30" spans="1:410" x14ac:dyDescent="0.3">
      <c r="A30" s="10" t="s">
        <v>642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>
        <v>1</v>
      </c>
      <c r="I30" s="1">
        <v>0</v>
      </c>
      <c r="J30" s="1">
        <v>0</v>
      </c>
      <c r="K30">
        <v>0</v>
      </c>
      <c r="L30">
        <v>1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>
        <v>1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>
        <v>1</v>
      </c>
      <c r="AD30" s="1">
        <v>1</v>
      </c>
      <c r="AE30" s="1">
        <v>1</v>
      </c>
      <c r="AF30" s="1">
        <v>1</v>
      </c>
      <c r="AG30" s="1">
        <v>0</v>
      </c>
      <c r="AH30">
        <v>1</v>
      </c>
      <c r="AI30" s="1">
        <v>1</v>
      </c>
      <c r="AJ30" s="1">
        <v>2</v>
      </c>
      <c r="AK30" s="1">
        <v>1</v>
      </c>
      <c r="AL30">
        <v>0</v>
      </c>
      <c r="AM30">
        <v>0</v>
      </c>
      <c r="AN30" s="1">
        <v>1</v>
      </c>
      <c r="AO30" s="1">
        <v>1</v>
      </c>
      <c r="AP30">
        <v>0</v>
      </c>
      <c r="AQ30" s="1">
        <v>1</v>
      </c>
      <c r="AR30">
        <v>0</v>
      </c>
      <c r="AS30">
        <v>0</v>
      </c>
      <c r="AT30">
        <v>0</v>
      </c>
      <c r="AU30" s="1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s="1">
        <v>1</v>
      </c>
      <c r="BT30">
        <v>0</v>
      </c>
      <c r="BU30" s="4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s="4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 s="4">
        <v>0</v>
      </c>
      <c r="CH30" s="4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 s="1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 s="4">
        <v>0</v>
      </c>
      <c r="DP30">
        <v>0</v>
      </c>
      <c r="DQ30">
        <v>0</v>
      </c>
      <c r="DR30" s="1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s="4">
        <v>0</v>
      </c>
      <c r="EJ30">
        <v>0</v>
      </c>
      <c r="EK30">
        <v>0</v>
      </c>
      <c r="EL30" s="4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 s="1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 s="4">
        <v>0</v>
      </c>
      <c r="FS30" s="1">
        <v>1</v>
      </c>
      <c r="FT30">
        <v>0</v>
      </c>
      <c r="FU30">
        <v>1</v>
      </c>
      <c r="FV30">
        <v>1</v>
      </c>
      <c r="FW30">
        <v>0</v>
      </c>
      <c r="FX30" s="4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 s="4">
        <v>0</v>
      </c>
      <c r="GE30">
        <v>1</v>
      </c>
      <c r="GF30">
        <v>0</v>
      </c>
      <c r="GG30">
        <v>1</v>
      </c>
      <c r="GH30">
        <v>0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 s="1">
        <v>1</v>
      </c>
      <c r="GS30">
        <v>0</v>
      </c>
      <c r="GT30">
        <v>0</v>
      </c>
      <c r="GU30">
        <v>0</v>
      </c>
      <c r="GV30">
        <v>1</v>
      </c>
      <c r="GW30">
        <v>0</v>
      </c>
      <c r="GX30" s="1">
        <v>1</v>
      </c>
      <c r="GY30">
        <v>0</v>
      </c>
      <c r="GZ30">
        <v>0</v>
      </c>
      <c r="HA30">
        <v>0</v>
      </c>
      <c r="HB30">
        <v>0</v>
      </c>
      <c r="HC30" s="4">
        <v>0</v>
      </c>
      <c r="HD30">
        <v>0</v>
      </c>
      <c r="HE30">
        <v>1</v>
      </c>
      <c r="HF30">
        <v>0</v>
      </c>
      <c r="HG30">
        <v>0</v>
      </c>
      <c r="HH30" s="4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 s="1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 s="4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 s="4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 s="4">
        <v>0</v>
      </c>
      <c r="JL30">
        <v>0</v>
      </c>
      <c r="JM30" s="4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1</v>
      </c>
      <c r="JW30">
        <v>0</v>
      </c>
      <c r="JX30">
        <v>0</v>
      </c>
      <c r="JY30">
        <v>1</v>
      </c>
      <c r="JZ30">
        <v>0</v>
      </c>
      <c r="KA30" s="4">
        <v>0</v>
      </c>
      <c r="KB30" s="4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 s="1">
        <v>1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 s="4">
        <v>0</v>
      </c>
      <c r="KW30">
        <v>0</v>
      </c>
      <c r="KX30">
        <v>0</v>
      </c>
      <c r="KY30" s="4">
        <v>0</v>
      </c>
      <c r="KZ30">
        <v>0</v>
      </c>
      <c r="LA30">
        <v>0</v>
      </c>
      <c r="LB30">
        <v>0</v>
      </c>
      <c r="LC30" s="4">
        <v>0</v>
      </c>
      <c r="LD30">
        <v>0</v>
      </c>
      <c r="LE30">
        <v>0</v>
      </c>
      <c r="LF30">
        <v>0</v>
      </c>
      <c r="LG30">
        <v>0</v>
      </c>
      <c r="LH30">
        <v>1</v>
      </c>
      <c r="LI30">
        <v>1</v>
      </c>
      <c r="LJ30" s="1">
        <v>1</v>
      </c>
      <c r="LK30">
        <v>1</v>
      </c>
      <c r="LL30">
        <v>0</v>
      </c>
      <c r="LM30" s="4">
        <v>0</v>
      </c>
      <c r="LN30">
        <v>0</v>
      </c>
      <c r="LO30">
        <v>0</v>
      </c>
      <c r="LP30">
        <v>0</v>
      </c>
      <c r="LQ30">
        <v>0</v>
      </c>
      <c r="LR30" s="1">
        <v>1</v>
      </c>
      <c r="LS30">
        <v>0</v>
      </c>
      <c r="LT30">
        <v>0</v>
      </c>
      <c r="LU30" s="1">
        <v>1</v>
      </c>
      <c r="LV30">
        <v>0</v>
      </c>
      <c r="LW30">
        <v>0</v>
      </c>
      <c r="LX30">
        <v>0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 s="1">
        <v>1</v>
      </c>
      <c r="MO30">
        <v>0</v>
      </c>
      <c r="MP30">
        <v>0</v>
      </c>
      <c r="MQ30">
        <v>0</v>
      </c>
      <c r="MR30">
        <v>0</v>
      </c>
      <c r="MS30">
        <v>0</v>
      </c>
      <c r="MT30" s="4">
        <v>0</v>
      </c>
      <c r="MU30" s="1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 s="4">
        <v>0</v>
      </c>
      <c r="NC30">
        <v>0</v>
      </c>
      <c r="ND30">
        <v>0</v>
      </c>
      <c r="NE30" s="1">
        <v>1</v>
      </c>
      <c r="NF30">
        <v>0</v>
      </c>
      <c r="NG30">
        <v>0</v>
      </c>
      <c r="NH30">
        <v>0</v>
      </c>
      <c r="NI30">
        <v>0</v>
      </c>
      <c r="NJ30" s="4">
        <v>0</v>
      </c>
      <c r="NK30">
        <v>0</v>
      </c>
      <c r="NL30">
        <v>0</v>
      </c>
      <c r="NM30">
        <v>0</v>
      </c>
      <c r="NN30" s="1">
        <v>1</v>
      </c>
      <c r="NO30">
        <v>1</v>
      </c>
      <c r="NP30">
        <v>0</v>
      </c>
      <c r="NQ30">
        <v>1</v>
      </c>
      <c r="NR30">
        <v>0</v>
      </c>
      <c r="NS30" s="4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 s="4">
        <v>0</v>
      </c>
      <c r="NZ30">
        <v>0</v>
      </c>
      <c r="OA30">
        <v>0</v>
      </c>
      <c r="OB30">
        <v>0</v>
      </c>
      <c r="OC30">
        <v>1</v>
      </c>
      <c r="OD30" s="4">
        <v>0</v>
      </c>
      <c r="OE30">
        <v>1</v>
      </c>
      <c r="OF30">
        <v>0</v>
      </c>
      <c r="OG30">
        <v>1</v>
      </c>
      <c r="OH30">
        <v>0</v>
      </c>
      <c r="OI30">
        <v>0</v>
      </c>
      <c r="OJ30">
        <v>0</v>
      </c>
      <c r="OK30">
        <v>0</v>
      </c>
      <c r="OL30">
        <v>1</v>
      </c>
      <c r="OM30">
        <v>0</v>
      </c>
      <c r="ON30">
        <v>0</v>
      </c>
      <c r="OO30">
        <v>1</v>
      </c>
      <c r="OP30" s="4">
        <v>0</v>
      </c>
      <c r="OQ30">
        <v>1</v>
      </c>
      <c r="OS30" s="4">
        <f t="shared" si="0"/>
        <v>68</v>
      </c>
      <c r="OT30" s="4">
        <f t="shared" si="1"/>
        <v>69</v>
      </c>
    </row>
    <row r="31" spans="1:410" x14ac:dyDescent="0.3">
      <c r="A31" s="10" t="s">
        <v>643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>
        <v>1</v>
      </c>
      <c r="K3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 s="1">
        <v>1</v>
      </c>
      <c r="BT31">
        <v>0</v>
      </c>
      <c r="BU31" s="4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 s="4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 s="4">
        <v>0</v>
      </c>
      <c r="CH31" s="4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 s="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 s="4">
        <v>0</v>
      </c>
      <c r="DP31">
        <v>0</v>
      </c>
      <c r="DQ31">
        <v>0</v>
      </c>
      <c r="DR31" s="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 s="4">
        <v>0</v>
      </c>
      <c r="EJ31">
        <v>0</v>
      </c>
      <c r="EK31">
        <v>0</v>
      </c>
      <c r="EL31" s="4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 s="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 s="4">
        <v>0</v>
      </c>
      <c r="FS31" s="1">
        <v>1</v>
      </c>
      <c r="FT31">
        <v>0</v>
      </c>
      <c r="FU31">
        <v>0</v>
      </c>
      <c r="FV31">
        <v>0</v>
      </c>
      <c r="FW31">
        <v>0</v>
      </c>
      <c r="FX31" s="4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 s="4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 s="1">
        <v>1</v>
      </c>
      <c r="GS31">
        <v>0</v>
      </c>
      <c r="GT31">
        <v>0</v>
      </c>
      <c r="GU31">
        <v>0</v>
      </c>
      <c r="GV31">
        <v>0</v>
      </c>
      <c r="GW31">
        <v>0</v>
      </c>
      <c r="GX31" s="1">
        <v>1</v>
      </c>
      <c r="GY31">
        <v>0</v>
      </c>
      <c r="GZ31">
        <v>0</v>
      </c>
      <c r="HA31">
        <v>0</v>
      </c>
      <c r="HB31">
        <v>0</v>
      </c>
      <c r="HC31" s="4">
        <v>0</v>
      </c>
      <c r="HD31">
        <v>0</v>
      </c>
      <c r="HE31">
        <v>0</v>
      </c>
      <c r="HF31">
        <v>0</v>
      </c>
      <c r="HG31">
        <v>0</v>
      </c>
      <c r="HH31" s="4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 s="1">
        <v>1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</v>
      </c>
      <c r="II31" s="4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</v>
      </c>
      <c r="IR31" s="4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1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1</v>
      </c>
      <c r="JK31" s="4">
        <v>0</v>
      </c>
      <c r="JL31">
        <v>0</v>
      </c>
      <c r="JM31" s="4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 s="4">
        <v>0</v>
      </c>
      <c r="KB31" s="4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 s="1">
        <v>1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1</v>
      </c>
      <c r="KR31">
        <v>0</v>
      </c>
      <c r="KS31">
        <v>0</v>
      </c>
      <c r="KT31">
        <v>0</v>
      </c>
      <c r="KU31">
        <v>0</v>
      </c>
      <c r="KV31" s="4">
        <v>0</v>
      </c>
      <c r="KW31">
        <v>0</v>
      </c>
      <c r="KX31">
        <v>0</v>
      </c>
      <c r="KY31" s="4">
        <v>0</v>
      </c>
      <c r="KZ31">
        <v>0</v>
      </c>
      <c r="LA31">
        <v>0</v>
      </c>
      <c r="LB31">
        <v>0</v>
      </c>
      <c r="LC31" s="4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</v>
      </c>
      <c r="LJ31" s="1">
        <v>1</v>
      </c>
      <c r="LK31">
        <v>0</v>
      </c>
      <c r="LL31">
        <v>0</v>
      </c>
      <c r="LM31" s="4">
        <v>0</v>
      </c>
      <c r="LN31">
        <v>0</v>
      </c>
      <c r="LO31">
        <v>0</v>
      </c>
      <c r="LP31">
        <v>0</v>
      </c>
      <c r="LQ31">
        <v>0</v>
      </c>
      <c r="LR31" s="1">
        <v>1</v>
      </c>
      <c r="LS31">
        <v>0</v>
      </c>
      <c r="LT31">
        <v>0</v>
      </c>
      <c r="LU31" s="1">
        <v>1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 s="1">
        <v>1</v>
      </c>
      <c r="MO31">
        <v>0</v>
      </c>
      <c r="MP31">
        <v>0</v>
      </c>
      <c r="MQ31">
        <v>0</v>
      </c>
      <c r="MR31">
        <v>0</v>
      </c>
      <c r="MS31">
        <v>0</v>
      </c>
      <c r="MT31" s="4">
        <v>0</v>
      </c>
      <c r="MU31" s="1">
        <v>1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 s="4">
        <v>0</v>
      </c>
      <c r="NC31">
        <v>0</v>
      </c>
      <c r="ND31">
        <v>0</v>
      </c>
      <c r="NE31" s="1">
        <v>1</v>
      </c>
      <c r="NF31">
        <v>0</v>
      </c>
      <c r="NG31">
        <v>0</v>
      </c>
      <c r="NH31">
        <v>0</v>
      </c>
      <c r="NI31">
        <v>0</v>
      </c>
      <c r="NJ31" s="4">
        <v>0</v>
      </c>
      <c r="NK31">
        <v>0</v>
      </c>
      <c r="NL31">
        <v>0</v>
      </c>
      <c r="NM31">
        <v>0</v>
      </c>
      <c r="NN31" s="1">
        <v>1</v>
      </c>
      <c r="NO31">
        <v>0</v>
      </c>
      <c r="NP31">
        <v>0</v>
      </c>
      <c r="NQ31">
        <v>0</v>
      </c>
      <c r="NR31">
        <v>1</v>
      </c>
      <c r="NS31" s="4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 s="4">
        <v>0</v>
      </c>
      <c r="NZ31">
        <v>0</v>
      </c>
      <c r="OA31">
        <v>0</v>
      </c>
      <c r="OB31">
        <v>0</v>
      </c>
      <c r="OC31">
        <v>0</v>
      </c>
      <c r="OD31" s="4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</v>
      </c>
      <c r="OM31">
        <v>0</v>
      </c>
      <c r="ON31">
        <v>0</v>
      </c>
      <c r="OO31">
        <v>0</v>
      </c>
      <c r="OP31" s="4">
        <v>0</v>
      </c>
      <c r="OQ31">
        <v>1</v>
      </c>
      <c r="OS31" s="4">
        <f t="shared" si="0"/>
        <v>42</v>
      </c>
      <c r="OT31" s="4">
        <f t="shared" si="1"/>
        <v>42</v>
      </c>
    </row>
    <row r="32" spans="1:410" x14ac:dyDescent="0.3">
      <c r="A32" s="10" t="s">
        <v>644</v>
      </c>
      <c r="B32">
        <v>1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>
        <v>0</v>
      </c>
      <c r="L32">
        <v>1</v>
      </c>
      <c r="M32">
        <v>1</v>
      </c>
      <c r="N32" s="1">
        <v>0</v>
      </c>
      <c r="O32" s="1">
        <v>0</v>
      </c>
      <c r="P32">
        <v>1</v>
      </c>
      <c r="Q32" s="1">
        <v>1</v>
      </c>
      <c r="R32">
        <v>1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>
        <v>1</v>
      </c>
      <c r="Y32" s="1">
        <v>0</v>
      </c>
      <c r="Z32" s="1">
        <v>0</v>
      </c>
      <c r="AA32" s="1">
        <v>1</v>
      </c>
      <c r="AB32" s="1">
        <v>1</v>
      </c>
      <c r="AC32">
        <v>1</v>
      </c>
      <c r="AD32" s="1">
        <v>1</v>
      </c>
      <c r="AE32" s="1">
        <v>0</v>
      </c>
      <c r="AF32" s="1">
        <v>0</v>
      </c>
      <c r="AG32">
        <v>1</v>
      </c>
      <c r="AH32" s="1">
        <v>0</v>
      </c>
      <c r="AI32" s="1">
        <v>1</v>
      </c>
      <c r="AJ32" s="1">
        <v>1</v>
      </c>
      <c r="AK32" s="1">
        <v>1</v>
      </c>
      <c r="AL32">
        <v>0</v>
      </c>
      <c r="AM32">
        <v>0</v>
      </c>
      <c r="AN32" s="1">
        <v>1</v>
      </c>
      <c r="AO32" s="1">
        <v>1</v>
      </c>
      <c r="AP32" s="1">
        <v>1</v>
      </c>
      <c r="AQ32" s="1">
        <v>1</v>
      </c>
      <c r="AR32">
        <v>0</v>
      </c>
      <c r="AS32">
        <v>0</v>
      </c>
      <c r="AT32">
        <v>0</v>
      </c>
      <c r="AU32" s="1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s="1">
        <v>1</v>
      </c>
      <c r="BT32">
        <v>0</v>
      </c>
      <c r="BU32" s="4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s="4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 s="4">
        <v>0</v>
      </c>
      <c r="CH32" s="4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 s="1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 s="4">
        <v>0</v>
      </c>
      <c r="DP32">
        <v>0</v>
      </c>
      <c r="DQ32">
        <v>0</v>
      </c>
      <c r="DR32" s="1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 s="4">
        <v>0</v>
      </c>
      <c r="EJ32">
        <v>0</v>
      </c>
      <c r="EK32">
        <v>0</v>
      </c>
      <c r="EL32" s="4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 s="1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 s="4">
        <v>0</v>
      </c>
      <c r="FS32" s="1">
        <v>1</v>
      </c>
      <c r="FT32">
        <v>0</v>
      </c>
      <c r="FU32">
        <v>0</v>
      </c>
      <c r="FV32">
        <v>1</v>
      </c>
      <c r="FW32">
        <v>0</v>
      </c>
      <c r="FX32" s="4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 s="4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0</v>
      </c>
      <c r="GP32">
        <v>0</v>
      </c>
      <c r="GQ32">
        <v>0</v>
      </c>
      <c r="GR32" s="1">
        <v>1</v>
      </c>
      <c r="GS32">
        <v>0</v>
      </c>
      <c r="GT32">
        <v>0</v>
      </c>
      <c r="GU32">
        <v>0</v>
      </c>
      <c r="GV32">
        <v>0</v>
      </c>
      <c r="GW32">
        <v>0</v>
      </c>
      <c r="GX32" s="1">
        <v>1</v>
      </c>
      <c r="GY32">
        <v>0</v>
      </c>
      <c r="GZ32">
        <v>0</v>
      </c>
      <c r="HA32">
        <v>0</v>
      </c>
      <c r="HB32">
        <v>0</v>
      </c>
      <c r="HC32" s="4">
        <v>0</v>
      </c>
      <c r="HD32">
        <v>0</v>
      </c>
      <c r="HE32">
        <v>0</v>
      </c>
      <c r="HF32">
        <v>0</v>
      </c>
      <c r="HG32">
        <v>0</v>
      </c>
      <c r="HH32" s="4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 s="1">
        <v>1</v>
      </c>
      <c r="HV32">
        <v>1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 s="4">
        <v>0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0</v>
      </c>
      <c r="IR32" s="4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1</v>
      </c>
      <c r="IY32">
        <v>0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1</v>
      </c>
      <c r="JJ32">
        <v>0</v>
      </c>
      <c r="JK32" s="4">
        <v>0</v>
      </c>
      <c r="JL32">
        <v>0</v>
      </c>
      <c r="JM32" s="4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 s="4">
        <v>0</v>
      </c>
      <c r="KB32" s="4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 s="1">
        <v>1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1</v>
      </c>
      <c r="KR32">
        <v>0</v>
      </c>
      <c r="KS32">
        <v>0</v>
      </c>
      <c r="KT32">
        <v>0</v>
      </c>
      <c r="KU32">
        <v>1</v>
      </c>
      <c r="KV32" s="4">
        <v>0</v>
      </c>
      <c r="KW32">
        <v>0</v>
      </c>
      <c r="KX32">
        <v>1</v>
      </c>
      <c r="KY32" s="4">
        <v>0</v>
      </c>
      <c r="KZ32">
        <v>0</v>
      </c>
      <c r="LA32">
        <v>0</v>
      </c>
      <c r="LB32">
        <v>0</v>
      </c>
      <c r="LC32" s="4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</v>
      </c>
      <c r="LJ32" s="1">
        <v>1</v>
      </c>
      <c r="LK32">
        <v>0</v>
      </c>
      <c r="LL32">
        <v>0</v>
      </c>
      <c r="LM32" s="4">
        <v>0</v>
      </c>
      <c r="LN32">
        <v>0</v>
      </c>
      <c r="LO32">
        <v>0</v>
      </c>
      <c r="LP32">
        <v>0</v>
      </c>
      <c r="LQ32">
        <v>1</v>
      </c>
      <c r="LR32" s="1">
        <v>1</v>
      </c>
      <c r="LS32">
        <v>0</v>
      </c>
      <c r="LT32">
        <v>0</v>
      </c>
      <c r="LU32" s="1">
        <v>1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1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0</v>
      </c>
      <c r="MN32" s="1">
        <v>1</v>
      </c>
      <c r="MO32">
        <v>0</v>
      </c>
      <c r="MP32">
        <v>0</v>
      </c>
      <c r="MQ32">
        <v>0</v>
      </c>
      <c r="MR32">
        <v>0</v>
      </c>
      <c r="MS32">
        <v>0</v>
      </c>
      <c r="MT32" s="4">
        <v>0</v>
      </c>
      <c r="MU32" s="1">
        <v>1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 s="4">
        <v>0</v>
      </c>
      <c r="NC32">
        <v>0</v>
      </c>
      <c r="ND32">
        <v>0</v>
      </c>
      <c r="NE32" s="1">
        <v>1</v>
      </c>
      <c r="NF32">
        <v>0</v>
      </c>
      <c r="NG32">
        <v>0</v>
      </c>
      <c r="NH32">
        <v>0</v>
      </c>
      <c r="NI32">
        <v>0</v>
      </c>
      <c r="NJ32" s="4">
        <v>0</v>
      </c>
      <c r="NK32">
        <v>0</v>
      </c>
      <c r="NL32">
        <v>0</v>
      </c>
      <c r="NM32">
        <v>0</v>
      </c>
      <c r="NN32" s="1">
        <v>1</v>
      </c>
      <c r="NO32">
        <v>0</v>
      </c>
      <c r="NP32">
        <v>0</v>
      </c>
      <c r="NQ32">
        <v>0</v>
      </c>
      <c r="NR32">
        <v>0</v>
      </c>
      <c r="NS32" s="4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 s="4">
        <v>0</v>
      </c>
      <c r="NZ32">
        <v>0</v>
      </c>
      <c r="OA32">
        <v>0</v>
      </c>
      <c r="OB32">
        <v>0</v>
      </c>
      <c r="OC32">
        <v>0</v>
      </c>
      <c r="OD32" s="4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</v>
      </c>
      <c r="OL32">
        <v>1</v>
      </c>
      <c r="OM32">
        <v>0</v>
      </c>
      <c r="ON32">
        <v>0</v>
      </c>
      <c r="OO32">
        <v>0</v>
      </c>
      <c r="OP32" s="4">
        <v>0</v>
      </c>
      <c r="OQ32">
        <v>0</v>
      </c>
      <c r="OS32" s="4">
        <f t="shared" si="0"/>
        <v>62</v>
      </c>
      <c r="OT32" s="4">
        <f t="shared" si="1"/>
        <v>62</v>
      </c>
    </row>
    <row r="33" spans="1:410" x14ac:dyDescent="0.3">
      <c r="A33" s="10" t="s">
        <v>645</v>
      </c>
      <c r="B33">
        <v>0</v>
      </c>
      <c r="C33">
        <v>0</v>
      </c>
      <c r="D33" s="1">
        <v>0</v>
      </c>
      <c r="E33" s="1">
        <v>0</v>
      </c>
      <c r="F33" s="1">
        <v>2</v>
      </c>
      <c r="G33" s="1">
        <v>1</v>
      </c>
      <c r="H33">
        <v>1</v>
      </c>
      <c r="I33" s="1">
        <v>0</v>
      </c>
      <c r="J33" s="1">
        <v>0</v>
      </c>
      <c r="K33">
        <v>0</v>
      </c>
      <c r="L33">
        <v>1</v>
      </c>
      <c r="M33" s="1">
        <v>0</v>
      </c>
      <c r="N33">
        <v>1</v>
      </c>
      <c r="O33" s="1">
        <v>0</v>
      </c>
      <c r="P33">
        <v>1</v>
      </c>
      <c r="Q33" s="1">
        <v>1</v>
      </c>
      <c r="R33">
        <v>1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>
        <v>1</v>
      </c>
      <c r="Y33" s="1">
        <v>0</v>
      </c>
      <c r="Z33" s="1">
        <v>0</v>
      </c>
      <c r="AA33" s="1">
        <v>1</v>
      </c>
      <c r="AB33" s="1">
        <v>2</v>
      </c>
      <c r="AC33" s="1">
        <v>0</v>
      </c>
      <c r="AD33" s="1">
        <v>1</v>
      </c>
      <c r="AE33" s="1">
        <v>1</v>
      </c>
      <c r="AF33" s="1">
        <v>1</v>
      </c>
      <c r="AG33" s="1">
        <v>0</v>
      </c>
      <c r="AH33">
        <v>1</v>
      </c>
      <c r="AI33" s="1">
        <v>1</v>
      </c>
      <c r="AJ33" s="1">
        <v>2</v>
      </c>
      <c r="AK33" s="1">
        <v>1</v>
      </c>
      <c r="AL33">
        <v>0</v>
      </c>
      <c r="AM33">
        <v>0</v>
      </c>
      <c r="AN33" s="1">
        <v>2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 s="1">
        <v>1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s="1">
        <v>2</v>
      </c>
      <c r="BT33">
        <v>0</v>
      </c>
      <c r="BU33" s="4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s="4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s="4">
        <v>0</v>
      </c>
      <c r="CH33" s="4">
        <v>0</v>
      </c>
      <c r="CI33">
        <v>0</v>
      </c>
      <c r="CJ33">
        <v>0</v>
      </c>
      <c r="CK33">
        <v>0</v>
      </c>
      <c r="CL33">
        <v>0</v>
      </c>
      <c r="CM33">
        <v>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 s="1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 s="4">
        <v>0</v>
      </c>
      <c r="DP33">
        <v>0</v>
      </c>
      <c r="DQ33">
        <v>0</v>
      </c>
      <c r="DR33" s="1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s="4">
        <v>0</v>
      </c>
      <c r="EJ33">
        <v>0</v>
      </c>
      <c r="EK33">
        <v>0</v>
      </c>
      <c r="EL33" s="4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0</v>
      </c>
      <c r="EX33">
        <v>0</v>
      </c>
      <c r="EY33">
        <v>0</v>
      </c>
      <c r="EZ33">
        <v>1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 s="1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 s="4">
        <v>0</v>
      </c>
      <c r="FS33" s="1">
        <v>1</v>
      </c>
      <c r="FT33">
        <v>0</v>
      </c>
      <c r="FU33">
        <v>0</v>
      </c>
      <c r="FV33">
        <v>1</v>
      </c>
      <c r="FW33">
        <v>0</v>
      </c>
      <c r="FX33" s="4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 s="4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 s="1">
        <v>1</v>
      </c>
      <c r="GS33">
        <v>0</v>
      </c>
      <c r="GT33">
        <v>0</v>
      </c>
      <c r="GU33">
        <v>0</v>
      </c>
      <c r="GV33">
        <v>0</v>
      </c>
      <c r="GW33">
        <v>0</v>
      </c>
      <c r="GX33" s="1">
        <v>1</v>
      </c>
      <c r="GY33">
        <v>0</v>
      </c>
      <c r="GZ33">
        <v>0</v>
      </c>
      <c r="HA33">
        <v>0</v>
      </c>
      <c r="HB33">
        <v>1</v>
      </c>
      <c r="HC33" s="4">
        <v>0</v>
      </c>
      <c r="HD33">
        <v>0</v>
      </c>
      <c r="HE33">
        <v>0</v>
      </c>
      <c r="HF33">
        <v>0</v>
      </c>
      <c r="HG33">
        <v>0</v>
      </c>
      <c r="HH33" s="4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 s="1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 s="4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 s="4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1</v>
      </c>
      <c r="IY33">
        <v>0</v>
      </c>
      <c r="IZ33">
        <v>0</v>
      </c>
      <c r="JA33">
        <v>0</v>
      </c>
      <c r="JB33">
        <v>2</v>
      </c>
      <c r="JC33">
        <v>0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 s="4">
        <v>0</v>
      </c>
      <c r="JL33">
        <v>0</v>
      </c>
      <c r="JM33" s="4">
        <v>0</v>
      </c>
      <c r="JN33">
        <v>0</v>
      </c>
      <c r="JO33">
        <v>0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1</v>
      </c>
      <c r="JX33">
        <v>0</v>
      </c>
      <c r="JY33">
        <v>0</v>
      </c>
      <c r="JZ33">
        <v>0</v>
      </c>
      <c r="KA33" s="4">
        <v>0</v>
      </c>
      <c r="KB33" s="4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 s="1">
        <v>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 s="4">
        <v>0</v>
      </c>
      <c r="KW33">
        <v>0</v>
      </c>
      <c r="KX33">
        <v>0</v>
      </c>
      <c r="KY33" s="4">
        <v>0</v>
      </c>
      <c r="KZ33">
        <v>0</v>
      </c>
      <c r="LA33">
        <v>0</v>
      </c>
      <c r="LB33">
        <v>0</v>
      </c>
      <c r="LC33" s="4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 s="1">
        <v>1</v>
      </c>
      <c r="LK33">
        <v>0</v>
      </c>
      <c r="LL33">
        <v>0</v>
      </c>
      <c r="LM33" s="4">
        <v>0</v>
      </c>
      <c r="LN33">
        <v>0</v>
      </c>
      <c r="LO33">
        <v>0</v>
      </c>
      <c r="LP33">
        <v>0</v>
      </c>
      <c r="LQ33">
        <v>0</v>
      </c>
      <c r="LR33" s="1">
        <v>1</v>
      </c>
      <c r="LS33">
        <v>0</v>
      </c>
      <c r="LT33">
        <v>0</v>
      </c>
      <c r="LU33" s="1">
        <v>1</v>
      </c>
      <c r="LV33">
        <v>0</v>
      </c>
      <c r="LW33">
        <v>1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0</v>
      </c>
      <c r="MG33">
        <v>1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 s="1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 s="4">
        <v>0</v>
      </c>
      <c r="MU33" s="1">
        <v>1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 s="4">
        <v>0</v>
      </c>
      <c r="NC33">
        <v>0</v>
      </c>
      <c r="ND33">
        <v>0</v>
      </c>
      <c r="NE33" s="1">
        <v>2</v>
      </c>
      <c r="NF33">
        <v>0</v>
      </c>
      <c r="NG33">
        <v>0</v>
      </c>
      <c r="NH33">
        <v>0</v>
      </c>
      <c r="NI33">
        <v>0</v>
      </c>
      <c r="NJ33" s="4">
        <v>0</v>
      </c>
      <c r="NK33">
        <v>0</v>
      </c>
      <c r="NL33">
        <v>0</v>
      </c>
      <c r="NM33">
        <v>0</v>
      </c>
      <c r="NN33" s="1">
        <v>1</v>
      </c>
      <c r="NO33">
        <v>0</v>
      </c>
      <c r="NP33">
        <v>0</v>
      </c>
      <c r="NQ33">
        <v>0</v>
      </c>
      <c r="NR33">
        <v>0</v>
      </c>
      <c r="NS33" s="4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 s="4">
        <v>0</v>
      </c>
      <c r="NZ33">
        <v>0</v>
      </c>
      <c r="OA33">
        <v>0</v>
      </c>
      <c r="OB33">
        <v>0</v>
      </c>
      <c r="OC33">
        <v>0</v>
      </c>
      <c r="OD33" s="4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1</v>
      </c>
      <c r="OK33">
        <v>0</v>
      </c>
      <c r="OL33">
        <v>2</v>
      </c>
      <c r="OM33">
        <v>0</v>
      </c>
      <c r="ON33">
        <v>1</v>
      </c>
      <c r="OO33">
        <v>0</v>
      </c>
      <c r="OP33" s="4">
        <v>0</v>
      </c>
      <c r="OQ33">
        <v>0</v>
      </c>
      <c r="OS33" s="4">
        <f t="shared" si="0"/>
        <v>63</v>
      </c>
      <c r="OT33" s="4">
        <f t="shared" si="1"/>
        <v>74</v>
      </c>
    </row>
    <row r="34" spans="1:410" x14ac:dyDescent="0.3">
      <c r="A34" s="10" t="s">
        <v>646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2</v>
      </c>
      <c r="H34" s="1">
        <v>0</v>
      </c>
      <c r="I34" s="1">
        <v>0</v>
      </c>
      <c r="J34" s="1">
        <v>0</v>
      </c>
      <c r="K34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2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2</v>
      </c>
      <c r="AK34" s="1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1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 s="1">
        <v>1</v>
      </c>
      <c r="BT34">
        <v>0</v>
      </c>
      <c r="BU34" s="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 s="4">
        <v>0</v>
      </c>
      <c r="CB34">
        <v>0</v>
      </c>
      <c r="CC34">
        <v>1</v>
      </c>
      <c r="CD34">
        <v>0</v>
      </c>
      <c r="CE34">
        <v>0</v>
      </c>
      <c r="CF34">
        <v>1</v>
      </c>
      <c r="CG34" s="4">
        <v>0</v>
      </c>
      <c r="CH34" s="4">
        <v>0</v>
      </c>
      <c r="CI34">
        <v>0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 s="1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 s="4">
        <v>0</v>
      </c>
      <c r="DP34">
        <v>0</v>
      </c>
      <c r="DQ34">
        <v>0</v>
      </c>
      <c r="DR34" s="1">
        <v>2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 s="4">
        <v>0</v>
      </c>
      <c r="EJ34">
        <v>0</v>
      </c>
      <c r="EK34">
        <v>0</v>
      </c>
      <c r="EL34" s="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1</v>
      </c>
      <c r="FH34" s="1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 s="4">
        <v>0</v>
      </c>
      <c r="FS34" s="1">
        <v>1</v>
      </c>
      <c r="FT34">
        <v>0</v>
      </c>
      <c r="FU34">
        <v>0</v>
      </c>
      <c r="FV34">
        <v>0</v>
      </c>
      <c r="FW34">
        <v>0</v>
      </c>
      <c r="FX34" s="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 s="4">
        <v>0</v>
      </c>
      <c r="GE34">
        <v>0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 s="1">
        <v>1</v>
      </c>
      <c r="GS34">
        <v>1</v>
      </c>
      <c r="GT34">
        <v>0</v>
      </c>
      <c r="GU34">
        <v>0</v>
      </c>
      <c r="GV34">
        <v>1</v>
      </c>
      <c r="GW34">
        <v>0</v>
      </c>
      <c r="GX34" s="1">
        <v>1</v>
      </c>
      <c r="GY34">
        <v>0</v>
      </c>
      <c r="GZ34">
        <v>0</v>
      </c>
      <c r="HA34">
        <v>0</v>
      </c>
      <c r="HB34">
        <v>0</v>
      </c>
      <c r="HC34" s="4">
        <v>0</v>
      </c>
      <c r="HD34">
        <v>0</v>
      </c>
      <c r="HE34">
        <v>0</v>
      </c>
      <c r="HF34">
        <v>0</v>
      </c>
      <c r="HG34">
        <v>0</v>
      </c>
      <c r="HH34" s="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 s="1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 s="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1</v>
      </c>
      <c r="IR34" s="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1</v>
      </c>
      <c r="IY34">
        <v>0</v>
      </c>
      <c r="IZ34">
        <v>0</v>
      </c>
      <c r="JA34">
        <v>1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</v>
      </c>
      <c r="JJ34">
        <v>0</v>
      </c>
      <c r="JK34" s="4">
        <v>0</v>
      </c>
      <c r="JL34">
        <v>1</v>
      </c>
      <c r="JM34" s="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 s="4">
        <v>0</v>
      </c>
      <c r="KB34" s="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 s="1">
        <v>1</v>
      </c>
      <c r="KJ34">
        <v>0</v>
      </c>
      <c r="KK34">
        <v>0</v>
      </c>
      <c r="KL34">
        <v>0</v>
      </c>
      <c r="KM34">
        <v>1</v>
      </c>
      <c r="KN34">
        <v>1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 s="4">
        <v>0</v>
      </c>
      <c r="KW34">
        <v>0</v>
      </c>
      <c r="KX34">
        <v>0</v>
      </c>
      <c r="KY34" s="4">
        <v>0</v>
      </c>
      <c r="KZ34">
        <v>0</v>
      </c>
      <c r="LA34">
        <v>0</v>
      </c>
      <c r="LB34">
        <v>0</v>
      </c>
      <c r="LC34" s="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1</v>
      </c>
      <c r="LJ34" s="1">
        <v>1</v>
      </c>
      <c r="LK34">
        <v>0</v>
      </c>
      <c r="LL34">
        <v>0</v>
      </c>
      <c r="LM34" s="4">
        <v>0</v>
      </c>
      <c r="LN34">
        <v>0</v>
      </c>
      <c r="LO34">
        <v>0</v>
      </c>
      <c r="LP34">
        <v>0</v>
      </c>
      <c r="LQ34">
        <v>1</v>
      </c>
      <c r="LR34" s="1">
        <v>1</v>
      </c>
      <c r="LS34">
        <v>0</v>
      </c>
      <c r="LT34">
        <v>0</v>
      </c>
      <c r="LU34" s="1">
        <v>1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1</v>
      </c>
      <c r="MC34">
        <v>0</v>
      </c>
      <c r="MD34">
        <v>0</v>
      </c>
      <c r="ME34">
        <v>0</v>
      </c>
      <c r="MF34">
        <v>0</v>
      </c>
      <c r="MG34">
        <v>1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 s="1">
        <v>1</v>
      </c>
      <c r="MO34">
        <v>0</v>
      </c>
      <c r="MP34">
        <v>0</v>
      </c>
      <c r="MQ34">
        <v>0</v>
      </c>
      <c r="MR34">
        <v>0</v>
      </c>
      <c r="MS34">
        <v>0</v>
      </c>
      <c r="MT34" s="4">
        <v>0</v>
      </c>
      <c r="MU34" s="1">
        <v>1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 s="4">
        <v>0</v>
      </c>
      <c r="NC34">
        <v>0</v>
      </c>
      <c r="ND34">
        <v>0</v>
      </c>
      <c r="NE34" s="1">
        <v>1</v>
      </c>
      <c r="NF34">
        <v>0</v>
      </c>
      <c r="NG34">
        <v>0</v>
      </c>
      <c r="NH34">
        <v>0</v>
      </c>
      <c r="NI34">
        <v>0</v>
      </c>
      <c r="NJ34" s="4">
        <v>0</v>
      </c>
      <c r="NK34">
        <v>0</v>
      </c>
      <c r="NL34">
        <v>0</v>
      </c>
      <c r="NM34">
        <v>0</v>
      </c>
      <c r="NN34" s="1">
        <v>1</v>
      </c>
      <c r="NO34">
        <v>1</v>
      </c>
      <c r="NP34">
        <v>1</v>
      </c>
      <c r="NQ34">
        <v>0</v>
      </c>
      <c r="NR34">
        <v>0</v>
      </c>
      <c r="NS34" s="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 s="4">
        <v>0</v>
      </c>
      <c r="NZ34">
        <v>1</v>
      </c>
      <c r="OA34">
        <v>0</v>
      </c>
      <c r="OB34">
        <v>0</v>
      </c>
      <c r="OC34">
        <v>0</v>
      </c>
      <c r="OD34" s="4">
        <v>0</v>
      </c>
      <c r="OE34">
        <v>0</v>
      </c>
      <c r="OF34">
        <v>0</v>
      </c>
      <c r="OG34">
        <v>1</v>
      </c>
      <c r="OH34">
        <v>0</v>
      </c>
      <c r="OI34">
        <v>0</v>
      </c>
      <c r="OJ34">
        <v>0</v>
      </c>
      <c r="OK34">
        <v>0</v>
      </c>
      <c r="OL34">
        <v>1</v>
      </c>
      <c r="OM34">
        <v>0</v>
      </c>
      <c r="ON34">
        <v>1</v>
      </c>
      <c r="OO34">
        <v>0</v>
      </c>
      <c r="OP34" s="4">
        <v>0</v>
      </c>
      <c r="OQ34">
        <v>0</v>
      </c>
      <c r="OS34" s="4">
        <f t="shared" si="0"/>
        <v>57</v>
      </c>
      <c r="OT34" s="4">
        <f t="shared" si="1"/>
        <v>61</v>
      </c>
    </row>
    <row r="35" spans="1:410" x14ac:dyDescent="0.3">
      <c r="A35" s="10" t="s">
        <v>649</v>
      </c>
      <c r="B35">
        <v>1</v>
      </c>
      <c r="C35" s="1">
        <v>0</v>
      </c>
      <c r="D35">
        <v>1</v>
      </c>
      <c r="E35" s="1">
        <v>0</v>
      </c>
      <c r="F35" s="1">
        <v>1</v>
      </c>
      <c r="G35" s="1">
        <v>1</v>
      </c>
      <c r="H35">
        <v>1</v>
      </c>
      <c r="I35">
        <v>1</v>
      </c>
      <c r="J35" s="1">
        <v>0</v>
      </c>
      <c r="K35">
        <v>0</v>
      </c>
      <c r="L35">
        <v>1</v>
      </c>
      <c r="M35">
        <v>1</v>
      </c>
      <c r="N35" s="1">
        <v>0</v>
      </c>
      <c r="O35" s="1">
        <v>0</v>
      </c>
      <c r="P35" s="1">
        <v>0</v>
      </c>
      <c r="Q35" s="1">
        <v>1</v>
      </c>
      <c r="R35">
        <v>1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>
        <v>1</v>
      </c>
      <c r="Y35" s="1">
        <v>0</v>
      </c>
      <c r="Z35">
        <v>1</v>
      </c>
      <c r="AA35" s="1">
        <v>1</v>
      </c>
      <c r="AB35" s="1">
        <v>1</v>
      </c>
      <c r="AC35" s="1">
        <v>0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2</v>
      </c>
      <c r="AK35" s="1">
        <v>1</v>
      </c>
      <c r="AL35">
        <v>0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>
        <v>0</v>
      </c>
      <c r="AS35">
        <v>0</v>
      </c>
      <c r="AT35">
        <v>0</v>
      </c>
      <c r="AU35" s="1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 s="1">
        <v>1</v>
      </c>
      <c r="BT35">
        <v>0</v>
      </c>
      <c r="BU35" s="4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 s="4">
        <v>0</v>
      </c>
      <c r="CB35">
        <v>0</v>
      </c>
      <c r="CC35">
        <v>1</v>
      </c>
      <c r="CD35">
        <v>0</v>
      </c>
      <c r="CE35">
        <v>0</v>
      </c>
      <c r="CF35">
        <v>1</v>
      </c>
      <c r="CG35" s="4">
        <v>0</v>
      </c>
      <c r="CH35" s="4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 s="1">
        <v>1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 s="4">
        <v>0</v>
      </c>
      <c r="DP35">
        <v>0</v>
      </c>
      <c r="DQ35">
        <v>0</v>
      </c>
      <c r="DR35" s="1">
        <v>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 s="4">
        <v>0</v>
      </c>
      <c r="EJ35">
        <v>0</v>
      </c>
      <c r="EK35">
        <v>0</v>
      </c>
      <c r="EL35" s="4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 s="1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 s="4">
        <v>0</v>
      </c>
      <c r="FS35" s="1">
        <v>1</v>
      </c>
      <c r="FT35">
        <v>0</v>
      </c>
      <c r="FU35">
        <v>1</v>
      </c>
      <c r="FV35">
        <v>1</v>
      </c>
      <c r="FW35">
        <v>0</v>
      </c>
      <c r="FX35" s="4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 s="4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 s="1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 s="1">
        <v>1</v>
      </c>
      <c r="GY35">
        <v>0</v>
      </c>
      <c r="GZ35">
        <v>0</v>
      </c>
      <c r="HA35">
        <v>0</v>
      </c>
      <c r="HB35">
        <v>0</v>
      </c>
      <c r="HC35" s="4">
        <v>0</v>
      </c>
      <c r="HD35">
        <v>0</v>
      </c>
      <c r="HE35">
        <v>0</v>
      </c>
      <c r="HF35">
        <v>0</v>
      </c>
      <c r="HG35">
        <v>0</v>
      </c>
      <c r="HH35" s="4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1</v>
      </c>
      <c r="HQ35">
        <v>0</v>
      </c>
      <c r="HR35">
        <v>0</v>
      </c>
      <c r="HS35">
        <v>0</v>
      </c>
      <c r="HT35">
        <v>0</v>
      </c>
      <c r="HU35" s="1">
        <v>1</v>
      </c>
      <c r="HV35">
        <v>1</v>
      </c>
      <c r="HW35">
        <v>1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 s="4">
        <v>0</v>
      </c>
      <c r="IJ35">
        <v>0</v>
      </c>
      <c r="IK35">
        <v>0</v>
      </c>
      <c r="IL35">
        <v>1</v>
      </c>
      <c r="IM35">
        <v>1</v>
      </c>
      <c r="IN35">
        <v>0</v>
      </c>
      <c r="IO35">
        <v>0</v>
      </c>
      <c r="IP35">
        <v>1</v>
      </c>
      <c r="IQ35">
        <v>1</v>
      </c>
      <c r="IR35" s="4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1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1</v>
      </c>
      <c r="JJ35">
        <v>0</v>
      </c>
      <c r="JK35" s="4">
        <v>0</v>
      </c>
      <c r="JL35">
        <v>1</v>
      </c>
      <c r="JM35" s="4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1</v>
      </c>
      <c r="JV35">
        <v>0</v>
      </c>
      <c r="JW35">
        <v>1</v>
      </c>
      <c r="JX35">
        <v>0</v>
      </c>
      <c r="JY35">
        <v>0</v>
      </c>
      <c r="JZ35">
        <v>0</v>
      </c>
      <c r="KA35" s="4">
        <v>0</v>
      </c>
      <c r="KB35" s="4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 s="1">
        <v>1</v>
      </c>
      <c r="KJ35">
        <v>0</v>
      </c>
      <c r="KK35">
        <v>0</v>
      </c>
      <c r="KL35">
        <v>0</v>
      </c>
      <c r="KM35">
        <v>1</v>
      </c>
      <c r="KN35">
        <v>0</v>
      </c>
      <c r="KO35">
        <v>0</v>
      </c>
      <c r="KP35">
        <v>0</v>
      </c>
      <c r="KQ35">
        <v>0</v>
      </c>
      <c r="KR35">
        <v>1</v>
      </c>
      <c r="KS35">
        <v>0</v>
      </c>
      <c r="KT35">
        <v>0</v>
      </c>
      <c r="KU35">
        <v>0</v>
      </c>
      <c r="KV35" s="4">
        <v>0</v>
      </c>
      <c r="KW35">
        <v>0</v>
      </c>
      <c r="KX35">
        <v>1</v>
      </c>
      <c r="KY35" s="4">
        <v>0</v>
      </c>
      <c r="KZ35">
        <v>0</v>
      </c>
      <c r="LA35">
        <v>0</v>
      </c>
      <c r="LB35">
        <v>0</v>
      </c>
      <c r="LC35" s="4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1</v>
      </c>
      <c r="LJ35" s="1">
        <v>1</v>
      </c>
      <c r="LK35">
        <v>0</v>
      </c>
      <c r="LL35">
        <v>0</v>
      </c>
      <c r="LM35" s="4">
        <v>0</v>
      </c>
      <c r="LN35">
        <v>0</v>
      </c>
      <c r="LO35">
        <v>0</v>
      </c>
      <c r="LP35">
        <v>0</v>
      </c>
      <c r="LQ35">
        <v>0</v>
      </c>
      <c r="LR35" s="1">
        <v>1</v>
      </c>
      <c r="LS35">
        <v>0</v>
      </c>
      <c r="LT35">
        <v>0</v>
      </c>
      <c r="LU35" s="1">
        <v>1</v>
      </c>
      <c r="LV35">
        <v>0</v>
      </c>
      <c r="LW35">
        <v>1</v>
      </c>
      <c r="LX35">
        <v>1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1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1</v>
      </c>
      <c r="MM35">
        <v>0</v>
      </c>
      <c r="MN35" s="1">
        <v>1</v>
      </c>
      <c r="MO35">
        <v>0</v>
      </c>
      <c r="MP35">
        <v>0</v>
      </c>
      <c r="MQ35">
        <v>0</v>
      </c>
      <c r="MR35">
        <v>0</v>
      </c>
      <c r="MS35">
        <v>0</v>
      </c>
      <c r="MT35" s="4">
        <v>0</v>
      </c>
      <c r="MU35" s="1">
        <v>1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 s="4">
        <v>0</v>
      </c>
      <c r="NC35">
        <v>0</v>
      </c>
      <c r="ND35">
        <v>0</v>
      </c>
      <c r="NE35" s="1">
        <v>1</v>
      </c>
      <c r="NF35">
        <v>0</v>
      </c>
      <c r="NG35">
        <v>0</v>
      </c>
      <c r="NH35">
        <v>0</v>
      </c>
      <c r="NI35">
        <v>0</v>
      </c>
      <c r="NJ35" s="4">
        <v>0</v>
      </c>
      <c r="NK35">
        <v>0</v>
      </c>
      <c r="NL35">
        <v>0</v>
      </c>
      <c r="NM35">
        <v>0</v>
      </c>
      <c r="NN35" s="1">
        <v>1</v>
      </c>
      <c r="NO35">
        <v>0</v>
      </c>
      <c r="NP35">
        <v>0</v>
      </c>
      <c r="NQ35">
        <v>0</v>
      </c>
      <c r="NR35">
        <v>0</v>
      </c>
      <c r="NS35" s="4">
        <v>0</v>
      </c>
      <c r="NT35">
        <v>0</v>
      </c>
      <c r="NU35">
        <v>0</v>
      </c>
      <c r="NV35">
        <v>0</v>
      </c>
      <c r="NW35">
        <v>0</v>
      </c>
      <c r="NX35">
        <v>1</v>
      </c>
      <c r="NY35" s="4">
        <v>0</v>
      </c>
      <c r="NZ35">
        <v>0</v>
      </c>
      <c r="OA35">
        <v>0</v>
      </c>
      <c r="OB35">
        <v>0</v>
      </c>
      <c r="OC35">
        <v>0</v>
      </c>
      <c r="OD35" s="4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0</v>
      </c>
      <c r="OK35">
        <v>1</v>
      </c>
      <c r="OL35">
        <v>1</v>
      </c>
      <c r="OM35">
        <v>0</v>
      </c>
      <c r="ON35">
        <v>0</v>
      </c>
      <c r="OO35">
        <v>0</v>
      </c>
      <c r="OP35" s="4">
        <v>0</v>
      </c>
      <c r="OQ35">
        <v>0</v>
      </c>
      <c r="OS35" s="4">
        <f t="shared" si="0"/>
        <v>84</v>
      </c>
      <c r="OT35" s="4">
        <f t="shared" si="1"/>
        <v>85</v>
      </c>
    </row>
    <row r="36" spans="1:410" x14ac:dyDescent="0.3">
      <c r="A36" s="10" t="s">
        <v>650</v>
      </c>
      <c r="B36" s="1">
        <v>0</v>
      </c>
      <c r="C36" s="1">
        <v>0</v>
      </c>
      <c r="D36" s="1">
        <v>0</v>
      </c>
      <c r="E36">
        <v>1</v>
      </c>
      <c r="F36" s="1">
        <v>1</v>
      </c>
      <c r="G36" s="1">
        <v>2</v>
      </c>
      <c r="H36">
        <v>1</v>
      </c>
      <c r="I36" s="1">
        <v>0</v>
      </c>
      <c r="J36" s="1">
        <v>0</v>
      </c>
      <c r="K36">
        <v>0</v>
      </c>
      <c r="L36">
        <v>1</v>
      </c>
      <c r="M36">
        <v>1</v>
      </c>
      <c r="N36">
        <v>1</v>
      </c>
      <c r="O36" s="1">
        <v>0</v>
      </c>
      <c r="P36">
        <v>1</v>
      </c>
      <c r="Q36" s="1">
        <v>1</v>
      </c>
      <c r="R36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>
        <v>1</v>
      </c>
      <c r="Y36" s="1">
        <v>0</v>
      </c>
      <c r="Z36" s="1">
        <v>0</v>
      </c>
      <c r="AA36" s="1">
        <v>1</v>
      </c>
      <c r="AB36" s="1">
        <v>1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1</v>
      </c>
      <c r="AK36" s="1">
        <v>1</v>
      </c>
      <c r="AL36">
        <v>0</v>
      </c>
      <c r="AM36">
        <v>0</v>
      </c>
      <c r="AN36" s="1">
        <v>1</v>
      </c>
      <c r="AO36" s="1">
        <v>1</v>
      </c>
      <c r="AP36">
        <v>0</v>
      </c>
      <c r="AQ36" s="1">
        <v>1</v>
      </c>
      <c r="AR36">
        <v>0</v>
      </c>
      <c r="AS36">
        <v>0</v>
      </c>
      <c r="AT36">
        <v>0</v>
      </c>
      <c r="AU36" s="1">
        <v>1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s="1">
        <v>1</v>
      </c>
      <c r="BT36">
        <v>0</v>
      </c>
      <c r="BU36" s="4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 s="4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 s="4">
        <v>0</v>
      </c>
      <c r="CH36" s="4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 s="1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 s="4">
        <v>0</v>
      </c>
      <c r="DP36">
        <v>0</v>
      </c>
      <c r="DQ36">
        <v>0</v>
      </c>
      <c r="DR36" s="1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 s="4">
        <v>0</v>
      </c>
      <c r="EJ36">
        <v>0</v>
      </c>
      <c r="EK36">
        <v>0</v>
      </c>
      <c r="EL36" s="4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 s="1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1</v>
      </c>
      <c r="FP36">
        <v>0</v>
      </c>
      <c r="FQ36">
        <v>0</v>
      </c>
      <c r="FR36" s="4">
        <v>0</v>
      </c>
      <c r="FS36" s="1">
        <v>1</v>
      </c>
      <c r="FT36">
        <v>0</v>
      </c>
      <c r="FU36">
        <v>0</v>
      </c>
      <c r="FV36">
        <v>0</v>
      </c>
      <c r="FW36">
        <v>0</v>
      </c>
      <c r="FX36" s="4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 s="4">
        <v>0</v>
      </c>
      <c r="GE36">
        <v>0</v>
      </c>
      <c r="GF36">
        <v>0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0</v>
      </c>
      <c r="GQ36">
        <v>0</v>
      </c>
      <c r="GR36" s="1">
        <v>1</v>
      </c>
      <c r="GS36">
        <v>0</v>
      </c>
      <c r="GT36">
        <v>0</v>
      </c>
      <c r="GU36">
        <v>0</v>
      </c>
      <c r="GV36">
        <v>0</v>
      </c>
      <c r="GW36">
        <v>0</v>
      </c>
      <c r="GX36" s="1">
        <v>1</v>
      </c>
      <c r="GY36">
        <v>0</v>
      </c>
      <c r="GZ36">
        <v>1</v>
      </c>
      <c r="HA36">
        <v>0</v>
      </c>
      <c r="HB36">
        <v>0</v>
      </c>
      <c r="HC36" s="4">
        <v>0</v>
      </c>
      <c r="HD36">
        <v>0</v>
      </c>
      <c r="HE36">
        <v>0</v>
      </c>
      <c r="HF36">
        <v>0</v>
      </c>
      <c r="HG36">
        <v>0</v>
      </c>
      <c r="HH36" s="4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0</v>
      </c>
      <c r="HR36">
        <v>0</v>
      </c>
      <c r="HS36">
        <v>0</v>
      </c>
      <c r="HT36">
        <v>0</v>
      </c>
      <c r="HU36" s="1">
        <v>1</v>
      </c>
      <c r="HV36">
        <v>1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 s="4">
        <v>0</v>
      </c>
      <c r="IJ36">
        <v>0</v>
      </c>
      <c r="IK36">
        <v>1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 s="4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1</v>
      </c>
      <c r="JK36" s="4">
        <v>0</v>
      </c>
      <c r="JL36">
        <v>0</v>
      </c>
      <c r="JM36" s="4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1</v>
      </c>
      <c r="JT36">
        <v>0</v>
      </c>
      <c r="JU36">
        <v>0</v>
      </c>
      <c r="JV36">
        <v>0</v>
      </c>
      <c r="JW36">
        <v>1</v>
      </c>
      <c r="JX36">
        <v>0</v>
      </c>
      <c r="JY36">
        <v>0</v>
      </c>
      <c r="JZ36">
        <v>0</v>
      </c>
      <c r="KA36" s="4">
        <v>0</v>
      </c>
      <c r="KB36" s="4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 s="1">
        <v>1</v>
      </c>
      <c r="KJ36">
        <v>0</v>
      </c>
      <c r="KK36">
        <v>0</v>
      </c>
      <c r="KL36">
        <v>0</v>
      </c>
      <c r="KM36">
        <v>1</v>
      </c>
      <c r="KN36">
        <v>0</v>
      </c>
      <c r="KO36">
        <v>0</v>
      </c>
      <c r="KP36">
        <v>0</v>
      </c>
      <c r="KQ36">
        <v>1</v>
      </c>
      <c r="KR36">
        <v>0</v>
      </c>
      <c r="KS36">
        <v>0</v>
      </c>
      <c r="KT36">
        <v>0</v>
      </c>
      <c r="KU36">
        <v>0</v>
      </c>
      <c r="KV36" s="4">
        <v>0</v>
      </c>
      <c r="KW36">
        <v>0</v>
      </c>
      <c r="KX36">
        <v>0</v>
      </c>
      <c r="KY36" s="4">
        <v>0</v>
      </c>
      <c r="KZ36">
        <v>0</v>
      </c>
      <c r="LA36">
        <v>0</v>
      </c>
      <c r="LB36">
        <v>0</v>
      </c>
      <c r="LC36" s="4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1</v>
      </c>
      <c r="LJ36" s="1">
        <v>2</v>
      </c>
      <c r="LK36">
        <v>1</v>
      </c>
      <c r="LL36">
        <v>0</v>
      </c>
      <c r="LM36" s="4">
        <v>0</v>
      </c>
      <c r="LN36">
        <v>0</v>
      </c>
      <c r="LO36">
        <v>0</v>
      </c>
      <c r="LP36">
        <v>0</v>
      </c>
      <c r="LQ36">
        <v>1</v>
      </c>
      <c r="LR36" s="1">
        <v>1</v>
      </c>
      <c r="LS36">
        <v>0</v>
      </c>
      <c r="LT36">
        <v>0</v>
      </c>
      <c r="LU36" s="1">
        <v>1</v>
      </c>
      <c r="LV36">
        <v>0</v>
      </c>
      <c r="LW36">
        <v>0</v>
      </c>
      <c r="LX36">
        <v>1</v>
      </c>
      <c r="LY36">
        <v>0</v>
      </c>
      <c r="LZ36">
        <v>0</v>
      </c>
      <c r="MA36">
        <v>1</v>
      </c>
      <c r="MB36">
        <v>0</v>
      </c>
      <c r="MC36">
        <v>0</v>
      </c>
      <c r="MD36">
        <v>0</v>
      </c>
      <c r="ME36">
        <v>1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 s="1">
        <v>1</v>
      </c>
      <c r="MO36">
        <v>1</v>
      </c>
      <c r="MP36">
        <v>0</v>
      </c>
      <c r="MQ36">
        <v>0</v>
      </c>
      <c r="MR36">
        <v>0</v>
      </c>
      <c r="MS36">
        <v>0</v>
      </c>
      <c r="MT36" s="4">
        <v>0</v>
      </c>
      <c r="MU36" s="1">
        <v>1</v>
      </c>
      <c r="MV36">
        <v>0</v>
      </c>
      <c r="MW36">
        <v>0</v>
      </c>
      <c r="MX36">
        <v>0</v>
      </c>
      <c r="MY36">
        <v>1</v>
      </c>
      <c r="MZ36">
        <v>0</v>
      </c>
      <c r="NA36">
        <v>0</v>
      </c>
      <c r="NB36" s="4">
        <v>0</v>
      </c>
      <c r="NC36">
        <v>0</v>
      </c>
      <c r="ND36">
        <v>0</v>
      </c>
      <c r="NE36" s="1">
        <v>1</v>
      </c>
      <c r="NF36">
        <v>0</v>
      </c>
      <c r="NG36">
        <v>0</v>
      </c>
      <c r="NH36">
        <v>0</v>
      </c>
      <c r="NI36">
        <v>0</v>
      </c>
      <c r="NJ36" s="4">
        <v>0</v>
      </c>
      <c r="NK36">
        <v>0</v>
      </c>
      <c r="NL36">
        <v>0</v>
      </c>
      <c r="NM36">
        <v>0</v>
      </c>
      <c r="NN36" s="1">
        <v>1</v>
      </c>
      <c r="NO36">
        <v>0</v>
      </c>
      <c r="NP36">
        <v>0</v>
      </c>
      <c r="NQ36">
        <v>0</v>
      </c>
      <c r="NR36">
        <v>1</v>
      </c>
      <c r="NS36" s="4">
        <v>0</v>
      </c>
      <c r="NT36">
        <v>0</v>
      </c>
      <c r="NU36">
        <v>0</v>
      </c>
      <c r="NV36">
        <v>0</v>
      </c>
      <c r="NW36">
        <v>0</v>
      </c>
      <c r="NX36">
        <v>1</v>
      </c>
      <c r="NY36" s="4">
        <v>0</v>
      </c>
      <c r="NZ36">
        <v>0</v>
      </c>
      <c r="OA36">
        <v>1</v>
      </c>
      <c r="OB36">
        <v>0</v>
      </c>
      <c r="OC36">
        <v>1</v>
      </c>
      <c r="OD36" s="4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1</v>
      </c>
      <c r="OM36">
        <v>0</v>
      </c>
      <c r="ON36">
        <v>0</v>
      </c>
      <c r="OO36">
        <v>0</v>
      </c>
      <c r="OP36" s="4">
        <v>0</v>
      </c>
      <c r="OQ36">
        <v>0</v>
      </c>
      <c r="OS36" s="4">
        <f t="shared" si="0"/>
        <v>71</v>
      </c>
      <c r="OT36" s="4">
        <f t="shared" si="1"/>
        <v>73</v>
      </c>
    </row>
    <row r="37" spans="1:410" x14ac:dyDescent="0.3">
      <c r="A37" s="10" t="s">
        <v>647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2</v>
      </c>
      <c r="H37">
        <v>1</v>
      </c>
      <c r="I37" s="1">
        <v>0</v>
      </c>
      <c r="J37" s="1">
        <v>0</v>
      </c>
      <c r="K37">
        <v>0</v>
      </c>
      <c r="L37">
        <v>1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>
        <v>1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1</v>
      </c>
      <c r="AC37" s="1">
        <v>0</v>
      </c>
      <c r="AD37" s="1">
        <v>1</v>
      </c>
      <c r="AE37" s="1">
        <v>0</v>
      </c>
      <c r="AF37" s="1">
        <v>1</v>
      </c>
      <c r="AG37">
        <v>1</v>
      </c>
      <c r="AH37" s="1">
        <v>0</v>
      </c>
      <c r="AI37" s="1">
        <v>1</v>
      </c>
      <c r="AJ37" s="1">
        <v>0</v>
      </c>
      <c r="AK37" s="1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 s="1">
        <v>1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 s="1">
        <v>1</v>
      </c>
      <c r="BT37">
        <v>0</v>
      </c>
      <c r="BU37" s="4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s="4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 s="4">
        <v>0</v>
      </c>
      <c r="CH37" s="4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 s="1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 s="4">
        <v>0</v>
      </c>
      <c r="DP37">
        <v>0</v>
      </c>
      <c r="DQ37">
        <v>1</v>
      </c>
      <c r="DR37" s="1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 s="4">
        <v>0</v>
      </c>
      <c r="EJ37">
        <v>0</v>
      </c>
      <c r="EK37">
        <v>0</v>
      </c>
      <c r="EL37" s="4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1</v>
      </c>
      <c r="EZ37">
        <v>0</v>
      </c>
      <c r="FA37">
        <v>1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 s="1">
        <v>1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 s="4">
        <v>0</v>
      </c>
      <c r="FS37" s="1">
        <v>1</v>
      </c>
      <c r="FT37">
        <v>0</v>
      </c>
      <c r="FU37">
        <v>0</v>
      </c>
      <c r="FV37">
        <v>1</v>
      </c>
      <c r="FW37">
        <v>0</v>
      </c>
      <c r="FX37" s="4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 s="4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0</v>
      </c>
      <c r="GP37">
        <v>0</v>
      </c>
      <c r="GQ37">
        <v>0</v>
      </c>
      <c r="GR37" s="1">
        <v>1</v>
      </c>
      <c r="GS37">
        <v>0</v>
      </c>
      <c r="GT37">
        <v>0</v>
      </c>
      <c r="GU37">
        <v>0</v>
      </c>
      <c r="GV37">
        <v>1</v>
      </c>
      <c r="GW37">
        <v>0</v>
      </c>
      <c r="GX37" s="1">
        <v>1</v>
      </c>
      <c r="GY37">
        <v>0</v>
      </c>
      <c r="GZ37">
        <v>1</v>
      </c>
      <c r="HA37">
        <v>0</v>
      </c>
      <c r="HB37">
        <v>0</v>
      </c>
      <c r="HC37" s="4">
        <v>0</v>
      </c>
      <c r="HD37">
        <v>0</v>
      </c>
      <c r="HE37">
        <v>0</v>
      </c>
      <c r="HF37">
        <v>0</v>
      </c>
      <c r="HG37">
        <v>0</v>
      </c>
      <c r="HH37" s="4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 s="1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0</v>
      </c>
      <c r="IE37">
        <v>0</v>
      </c>
      <c r="IF37">
        <v>0</v>
      </c>
      <c r="IG37">
        <v>0</v>
      </c>
      <c r="IH37">
        <v>0</v>
      </c>
      <c r="II37" s="4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 s="4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</v>
      </c>
      <c r="JJ37">
        <v>0</v>
      </c>
      <c r="JK37" s="4">
        <v>0</v>
      </c>
      <c r="JL37">
        <v>0</v>
      </c>
      <c r="JM37" s="4">
        <v>0</v>
      </c>
      <c r="JN37">
        <v>0</v>
      </c>
      <c r="JO37">
        <v>0</v>
      </c>
      <c r="JP37">
        <v>0</v>
      </c>
      <c r="JQ37">
        <v>1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 s="4">
        <v>0</v>
      </c>
      <c r="KB37" s="4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 s="1">
        <v>1</v>
      </c>
      <c r="KJ37">
        <v>0</v>
      </c>
      <c r="KK37">
        <v>0</v>
      </c>
      <c r="KL37">
        <v>0</v>
      </c>
      <c r="KM37">
        <v>1</v>
      </c>
      <c r="KN37">
        <v>0</v>
      </c>
      <c r="KO37">
        <v>0</v>
      </c>
      <c r="KP37">
        <v>0</v>
      </c>
      <c r="KQ37">
        <v>1</v>
      </c>
      <c r="KR37">
        <v>0</v>
      </c>
      <c r="KS37">
        <v>0</v>
      </c>
      <c r="KT37">
        <v>1</v>
      </c>
      <c r="KU37">
        <v>3</v>
      </c>
      <c r="KV37" s="4">
        <v>0</v>
      </c>
      <c r="KW37">
        <v>0</v>
      </c>
      <c r="KX37">
        <v>0</v>
      </c>
      <c r="KY37" s="4">
        <v>0</v>
      </c>
      <c r="KZ37">
        <v>0</v>
      </c>
      <c r="LA37">
        <v>0</v>
      </c>
      <c r="LB37">
        <v>0</v>
      </c>
      <c r="LC37" s="4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</v>
      </c>
      <c r="LJ37" s="1">
        <v>1</v>
      </c>
      <c r="LK37">
        <v>0</v>
      </c>
      <c r="LL37">
        <v>0</v>
      </c>
      <c r="LM37" s="4">
        <v>0</v>
      </c>
      <c r="LN37">
        <v>0</v>
      </c>
      <c r="LO37">
        <v>0</v>
      </c>
      <c r="LP37">
        <v>0</v>
      </c>
      <c r="LQ37">
        <v>0</v>
      </c>
      <c r="LR37" s="1">
        <v>1</v>
      </c>
      <c r="LS37">
        <v>0</v>
      </c>
      <c r="LT37">
        <v>0</v>
      </c>
      <c r="LU37" s="1">
        <v>1</v>
      </c>
      <c r="LV37">
        <v>0</v>
      </c>
      <c r="LW37">
        <v>0</v>
      </c>
      <c r="LX37">
        <v>1</v>
      </c>
      <c r="LY37">
        <v>0</v>
      </c>
      <c r="LZ37">
        <v>1</v>
      </c>
      <c r="MA37">
        <v>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1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 s="1">
        <v>1</v>
      </c>
      <c r="MO37">
        <v>0</v>
      </c>
      <c r="MP37">
        <v>0</v>
      </c>
      <c r="MQ37">
        <v>0</v>
      </c>
      <c r="MR37">
        <v>0</v>
      </c>
      <c r="MS37">
        <v>0</v>
      </c>
      <c r="MT37" s="4">
        <v>0</v>
      </c>
      <c r="MU37" s="1">
        <v>1</v>
      </c>
      <c r="MV37">
        <v>0</v>
      </c>
      <c r="MW37">
        <v>1</v>
      </c>
      <c r="MX37">
        <v>0</v>
      </c>
      <c r="MY37">
        <v>0</v>
      </c>
      <c r="MZ37">
        <v>0</v>
      </c>
      <c r="NA37">
        <v>0</v>
      </c>
      <c r="NB37" s="4">
        <v>0</v>
      </c>
      <c r="NC37">
        <v>0</v>
      </c>
      <c r="ND37">
        <v>0</v>
      </c>
      <c r="NE37" s="1">
        <v>1</v>
      </c>
      <c r="NF37">
        <v>0</v>
      </c>
      <c r="NG37">
        <v>0</v>
      </c>
      <c r="NH37">
        <v>0</v>
      </c>
      <c r="NI37">
        <v>0</v>
      </c>
      <c r="NJ37" s="4">
        <v>0</v>
      </c>
      <c r="NK37">
        <v>0</v>
      </c>
      <c r="NL37">
        <v>0</v>
      </c>
      <c r="NM37">
        <v>0</v>
      </c>
      <c r="NN37" s="1">
        <v>1</v>
      </c>
      <c r="NO37">
        <v>1</v>
      </c>
      <c r="NP37">
        <v>0</v>
      </c>
      <c r="NQ37">
        <v>0</v>
      </c>
      <c r="NR37">
        <v>0</v>
      </c>
      <c r="NS37" s="4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 s="4">
        <v>0</v>
      </c>
      <c r="NZ37">
        <v>0</v>
      </c>
      <c r="OA37">
        <v>0</v>
      </c>
      <c r="OB37">
        <v>0</v>
      </c>
      <c r="OC37">
        <v>1</v>
      </c>
      <c r="OD37" s="4">
        <v>0</v>
      </c>
      <c r="OE37">
        <v>0</v>
      </c>
      <c r="OF37">
        <v>0</v>
      </c>
      <c r="OG37">
        <v>1</v>
      </c>
      <c r="OH37">
        <v>0</v>
      </c>
      <c r="OI37">
        <v>0</v>
      </c>
      <c r="OJ37">
        <v>0</v>
      </c>
      <c r="OK37">
        <v>1</v>
      </c>
      <c r="OL37">
        <v>2</v>
      </c>
      <c r="OM37">
        <v>0</v>
      </c>
      <c r="ON37">
        <v>0</v>
      </c>
      <c r="OO37">
        <v>0</v>
      </c>
      <c r="OP37" s="4">
        <v>0</v>
      </c>
      <c r="OQ37">
        <v>1</v>
      </c>
      <c r="OS37" s="4">
        <f t="shared" si="0"/>
        <v>68</v>
      </c>
      <c r="OT37" s="4">
        <f t="shared" si="1"/>
        <v>72</v>
      </c>
    </row>
    <row r="38" spans="1:410" x14ac:dyDescent="0.3">
      <c r="A38" s="10" t="s">
        <v>648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0</v>
      </c>
      <c r="J38">
        <v>1</v>
      </c>
      <c r="K38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</v>
      </c>
      <c r="AK38" s="1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1">
        <v>1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s="1">
        <v>1</v>
      </c>
      <c r="BT38">
        <v>0</v>
      </c>
      <c r="BU38" s="4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s="4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 s="4">
        <v>0</v>
      </c>
      <c r="CH38" s="4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 s="1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 s="4">
        <v>0</v>
      </c>
      <c r="DP38">
        <v>0</v>
      </c>
      <c r="DQ38">
        <v>0</v>
      </c>
      <c r="DR38" s="1">
        <v>2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 s="4">
        <v>0</v>
      </c>
      <c r="EJ38">
        <v>0</v>
      </c>
      <c r="EK38">
        <v>0</v>
      </c>
      <c r="EL38" s="4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 s="1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 s="4">
        <v>0</v>
      </c>
      <c r="FS38" s="1">
        <v>1</v>
      </c>
      <c r="FT38">
        <v>0</v>
      </c>
      <c r="FU38">
        <v>0</v>
      </c>
      <c r="FV38">
        <v>2</v>
      </c>
      <c r="FW38">
        <v>0</v>
      </c>
      <c r="FX38" s="4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 s="4">
        <v>0</v>
      </c>
      <c r="GE38">
        <v>0</v>
      </c>
      <c r="GF38">
        <v>0</v>
      </c>
      <c r="GG38">
        <v>0</v>
      </c>
      <c r="GH38">
        <v>1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0</v>
      </c>
      <c r="GQ38">
        <v>0</v>
      </c>
      <c r="GR38" s="1">
        <v>1</v>
      </c>
      <c r="GS38">
        <v>0</v>
      </c>
      <c r="GT38">
        <v>0</v>
      </c>
      <c r="GU38">
        <v>0</v>
      </c>
      <c r="GV38">
        <v>0</v>
      </c>
      <c r="GW38">
        <v>0</v>
      </c>
      <c r="GX38" s="1">
        <v>1</v>
      </c>
      <c r="GY38">
        <v>0</v>
      </c>
      <c r="GZ38">
        <v>0</v>
      </c>
      <c r="HA38">
        <v>0</v>
      </c>
      <c r="HB38">
        <v>0</v>
      </c>
      <c r="HC38" s="4">
        <v>0</v>
      </c>
      <c r="HD38">
        <v>0</v>
      </c>
      <c r="HE38">
        <v>0</v>
      </c>
      <c r="HF38">
        <v>0</v>
      </c>
      <c r="HG38">
        <v>0</v>
      </c>
      <c r="HH38" s="4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 s="1">
        <v>1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0</v>
      </c>
      <c r="II38" s="4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 s="4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1</v>
      </c>
      <c r="JK38" s="4">
        <v>0</v>
      </c>
      <c r="JL38">
        <v>0</v>
      </c>
      <c r="JM38" s="4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 s="4">
        <v>0</v>
      </c>
      <c r="KB38" s="4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 s="1">
        <v>1</v>
      </c>
      <c r="KJ38">
        <v>0</v>
      </c>
      <c r="KK38">
        <v>0</v>
      </c>
      <c r="KL38">
        <v>0</v>
      </c>
      <c r="KM38">
        <v>1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 s="4">
        <v>0</v>
      </c>
      <c r="KW38">
        <v>0</v>
      </c>
      <c r="KX38">
        <v>0</v>
      </c>
      <c r="KY38" s="4">
        <v>0</v>
      </c>
      <c r="KZ38">
        <v>0</v>
      </c>
      <c r="LA38">
        <v>0</v>
      </c>
      <c r="LB38">
        <v>0</v>
      </c>
      <c r="LC38" s="4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 s="1">
        <v>0</v>
      </c>
      <c r="LK38">
        <v>0</v>
      </c>
      <c r="LL38">
        <v>0</v>
      </c>
      <c r="LM38" s="4">
        <v>0</v>
      </c>
      <c r="LN38">
        <v>0</v>
      </c>
      <c r="LO38">
        <v>0</v>
      </c>
      <c r="LP38">
        <v>0</v>
      </c>
      <c r="LQ38">
        <v>0</v>
      </c>
      <c r="LR38" s="1">
        <v>1</v>
      </c>
      <c r="LS38">
        <v>0</v>
      </c>
      <c r="LT38">
        <v>0</v>
      </c>
      <c r="LU38" s="1">
        <v>1</v>
      </c>
      <c r="LV38">
        <v>0</v>
      </c>
      <c r="LW38">
        <v>0</v>
      </c>
      <c r="LX38">
        <v>1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1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 s="1">
        <v>1</v>
      </c>
      <c r="MO38">
        <v>0</v>
      </c>
      <c r="MP38">
        <v>0</v>
      </c>
      <c r="MQ38">
        <v>0</v>
      </c>
      <c r="MR38">
        <v>0</v>
      </c>
      <c r="MS38">
        <v>0</v>
      </c>
      <c r="MT38" s="4">
        <v>0</v>
      </c>
      <c r="MU38" s="1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 s="4">
        <v>0</v>
      </c>
      <c r="NC38">
        <v>0</v>
      </c>
      <c r="ND38">
        <v>0</v>
      </c>
      <c r="NE38" s="1">
        <v>1</v>
      </c>
      <c r="NF38">
        <v>0</v>
      </c>
      <c r="NG38">
        <v>0</v>
      </c>
      <c r="NH38">
        <v>0</v>
      </c>
      <c r="NI38">
        <v>0</v>
      </c>
      <c r="NJ38" s="4">
        <v>0</v>
      </c>
      <c r="NK38">
        <v>0</v>
      </c>
      <c r="NL38">
        <v>0</v>
      </c>
      <c r="NM38">
        <v>0</v>
      </c>
      <c r="NN38" s="1">
        <v>1</v>
      </c>
      <c r="NO38">
        <v>0</v>
      </c>
      <c r="NP38">
        <v>0</v>
      </c>
      <c r="NQ38">
        <v>0</v>
      </c>
      <c r="NR38">
        <v>1</v>
      </c>
      <c r="NS38" s="4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 s="4">
        <v>0</v>
      </c>
      <c r="NZ38">
        <v>0</v>
      </c>
      <c r="OA38">
        <v>0</v>
      </c>
      <c r="OB38">
        <v>0</v>
      </c>
      <c r="OC38">
        <v>0</v>
      </c>
      <c r="OD38" s="4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2</v>
      </c>
      <c r="OM38">
        <v>0</v>
      </c>
      <c r="ON38">
        <v>0</v>
      </c>
      <c r="OO38">
        <v>0</v>
      </c>
      <c r="OP38" s="4">
        <v>0</v>
      </c>
      <c r="OQ38">
        <v>0</v>
      </c>
      <c r="OS38" s="4">
        <f t="shared" si="0"/>
        <v>36</v>
      </c>
      <c r="OT38" s="4">
        <f t="shared" si="1"/>
        <v>40</v>
      </c>
    </row>
    <row r="39" spans="1:410" x14ac:dyDescent="0.3">
      <c r="A39" s="10" t="s">
        <v>651</v>
      </c>
      <c r="B39">
        <v>0</v>
      </c>
      <c r="C39">
        <v>0</v>
      </c>
      <c r="D39">
        <v>0</v>
      </c>
      <c r="E39">
        <v>0</v>
      </c>
      <c r="F39" s="1">
        <v>1</v>
      </c>
      <c r="G39" s="1">
        <v>1</v>
      </c>
      <c r="H39">
        <v>1</v>
      </c>
      <c r="I39">
        <v>1</v>
      </c>
      <c r="J39">
        <v>0</v>
      </c>
      <c r="K39">
        <v>0</v>
      </c>
      <c r="L39" s="1">
        <v>1</v>
      </c>
      <c r="M39" s="1">
        <v>1</v>
      </c>
      <c r="N39" s="1">
        <v>1</v>
      </c>
      <c r="O39">
        <v>0</v>
      </c>
      <c r="P39" s="1">
        <v>1</v>
      </c>
      <c r="Q39" s="1">
        <v>1</v>
      </c>
      <c r="R39" s="1">
        <v>1</v>
      </c>
      <c r="S39">
        <v>0</v>
      </c>
      <c r="T39">
        <v>0</v>
      </c>
      <c r="U39">
        <v>0</v>
      </c>
      <c r="V39" s="1">
        <v>1</v>
      </c>
      <c r="W39">
        <v>0</v>
      </c>
      <c r="X39">
        <v>0</v>
      </c>
      <c r="Y39">
        <v>0</v>
      </c>
      <c r="Z39">
        <v>0</v>
      </c>
      <c r="AA39" s="1">
        <v>1</v>
      </c>
      <c r="AB39" s="1">
        <v>1</v>
      </c>
      <c r="AC39" s="1">
        <v>0</v>
      </c>
      <c r="AD39" s="1">
        <v>1</v>
      </c>
      <c r="AE39">
        <v>1</v>
      </c>
      <c r="AF39">
        <v>0</v>
      </c>
      <c r="AG39">
        <v>1</v>
      </c>
      <c r="AH39">
        <v>0</v>
      </c>
      <c r="AI39" s="1">
        <v>1</v>
      </c>
      <c r="AJ39" s="1">
        <v>1</v>
      </c>
      <c r="AK39" s="1">
        <v>1</v>
      </c>
      <c r="AL39">
        <v>0</v>
      </c>
      <c r="AM39" s="1">
        <v>1</v>
      </c>
      <c r="AN39" s="1">
        <v>1</v>
      </c>
      <c r="AO39" s="1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 s="1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 s="1">
        <v>1</v>
      </c>
      <c r="BT39">
        <v>0</v>
      </c>
      <c r="BU39" s="4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s="4">
        <v>0</v>
      </c>
      <c r="CB39">
        <v>0</v>
      </c>
      <c r="CC39">
        <v>0</v>
      </c>
      <c r="CD39">
        <v>0</v>
      </c>
      <c r="CE39">
        <v>1</v>
      </c>
      <c r="CF39">
        <v>1</v>
      </c>
      <c r="CG39" s="4">
        <v>0</v>
      </c>
      <c r="CH39" s="4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 s="1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 s="4">
        <v>0</v>
      </c>
      <c r="DP39">
        <v>0</v>
      </c>
      <c r="DQ39">
        <v>0</v>
      </c>
      <c r="DR39" s="1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 s="4">
        <v>0</v>
      </c>
      <c r="EJ39">
        <v>0</v>
      </c>
      <c r="EK39">
        <v>0</v>
      </c>
      <c r="EL39" s="4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 s="1">
        <v>1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 s="4">
        <v>0</v>
      </c>
      <c r="FS39" s="1">
        <v>1</v>
      </c>
      <c r="FT39">
        <v>0</v>
      </c>
      <c r="FU39">
        <v>1</v>
      </c>
      <c r="FV39">
        <v>1</v>
      </c>
      <c r="FW39">
        <v>0</v>
      </c>
      <c r="FX39" s="4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 s="4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2</v>
      </c>
      <c r="GO39">
        <v>0</v>
      </c>
      <c r="GP39">
        <v>0</v>
      </c>
      <c r="GQ39">
        <v>0</v>
      </c>
      <c r="GR39" s="1">
        <v>1</v>
      </c>
      <c r="GS39">
        <v>0</v>
      </c>
      <c r="GT39">
        <v>0</v>
      </c>
      <c r="GU39">
        <v>0</v>
      </c>
      <c r="GV39">
        <v>1</v>
      </c>
      <c r="GW39">
        <v>1</v>
      </c>
      <c r="GX39" s="1">
        <v>1</v>
      </c>
      <c r="GY39">
        <v>0</v>
      </c>
      <c r="GZ39">
        <v>0</v>
      </c>
      <c r="HA39">
        <v>0</v>
      </c>
      <c r="HB39">
        <v>0</v>
      </c>
      <c r="HC39" s="4">
        <v>0</v>
      </c>
      <c r="HD39">
        <v>0</v>
      </c>
      <c r="HE39">
        <v>0</v>
      </c>
      <c r="HF39">
        <v>1</v>
      </c>
      <c r="HG39">
        <v>0</v>
      </c>
      <c r="HH39" s="4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 s="1">
        <v>1</v>
      </c>
      <c r="HV39">
        <v>0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 s="4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1</v>
      </c>
      <c r="IQ39">
        <v>1</v>
      </c>
      <c r="IR39" s="4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 s="4">
        <v>0</v>
      </c>
      <c r="JL39">
        <v>0</v>
      </c>
      <c r="JM39" s="4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 s="4">
        <v>0</v>
      </c>
      <c r="KB39" s="4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 s="1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1</v>
      </c>
      <c r="KR39">
        <v>0</v>
      </c>
      <c r="KS39">
        <v>0</v>
      </c>
      <c r="KT39">
        <v>0</v>
      </c>
      <c r="KU39">
        <v>0</v>
      </c>
      <c r="KV39" s="4">
        <v>0</v>
      </c>
      <c r="KW39">
        <v>0</v>
      </c>
      <c r="KX39">
        <v>0</v>
      </c>
      <c r="KY39" s="4">
        <v>0</v>
      </c>
      <c r="KZ39">
        <v>0</v>
      </c>
      <c r="LA39">
        <v>0</v>
      </c>
      <c r="LB39">
        <v>0</v>
      </c>
      <c r="LC39" s="4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1</v>
      </c>
      <c r="LJ39" s="1">
        <v>1</v>
      </c>
      <c r="LK39">
        <v>0</v>
      </c>
      <c r="LL39">
        <v>0</v>
      </c>
      <c r="LM39" s="4">
        <v>0</v>
      </c>
      <c r="LN39">
        <v>0</v>
      </c>
      <c r="LO39">
        <v>0</v>
      </c>
      <c r="LP39">
        <v>0</v>
      </c>
      <c r="LQ39">
        <v>0</v>
      </c>
      <c r="LR39" s="1">
        <v>1</v>
      </c>
      <c r="LS39">
        <v>0</v>
      </c>
      <c r="LT39">
        <v>0</v>
      </c>
      <c r="LU39" s="1">
        <v>1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 s="1">
        <v>1</v>
      </c>
      <c r="MO39">
        <v>0</v>
      </c>
      <c r="MP39">
        <v>0</v>
      </c>
      <c r="MQ39">
        <v>0</v>
      </c>
      <c r="MR39">
        <v>0</v>
      </c>
      <c r="MS39">
        <v>0</v>
      </c>
      <c r="MT39" s="4">
        <v>0</v>
      </c>
      <c r="MU39" s="1">
        <v>2</v>
      </c>
      <c r="MV39">
        <v>0</v>
      </c>
      <c r="MW39">
        <v>0</v>
      </c>
      <c r="MX39">
        <v>1</v>
      </c>
      <c r="MY39">
        <v>0</v>
      </c>
      <c r="MZ39">
        <v>0</v>
      </c>
      <c r="NA39">
        <v>0</v>
      </c>
      <c r="NB39" s="4">
        <v>0</v>
      </c>
      <c r="NC39">
        <v>0</v>
      </c>
      <c r="ND39">
        <v>0</v>
      </c>
      <c r="NE39" s="1">
        <v>1</v>
      </c>
      <c r="NF39">
        <v>0</v>
      </c>
      <c r="NG39">
        <v>0</v>
      </c>
      <c r="NH39">
        <v>0</v>
      </c>
      <c r="NI39">
        <v>0</v>
      </c>
      <c r="NJ39" s="4">
        <v>0</v>
      </c>
      <c r="NK39">
        <v>0</v>
      </c>
      <c r="NL39">
        <v>0</v>
      </c>
      <c r="NM39">
        <v>0</v>
      </c>
      <c r="NN39" s="1">
        <v>1</v>
      </c>
      <c r="NO39">
        <v>1</v>
      </c>
      <c r="NP39">
        <v>1</v>
      </c>
      <c r="NQ39">
        <v>0</v>
      </c>
      <c r="NR39">
        <v>1</v>
      </c>
      <c r="NS39" s="4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 s="4">
        <v>0</v>
      </c>
      <c r="NZ39">
        <v>1</v>
      </c>
      <c r="OA39">
        <v>0</v>
      </c>
      <c r="OB39">
        <v>0</v>
      </c>
      <c r="OC39">
        <v>0</v>
      </c>
      <c r="OD39" s="4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1</v>
      </c>
      <c r="OL39">
        <v>1</v>
      </c>
      <c r="OM39">
        <v>0</v>
      </c>
      <c r="ON39">
        <v>1</v>
      </c>
      <c r="OO39">
        <v>0</v>
      </c>
      <c r="OP39" s="4">
        <v>0</v>
      </c>
      <c r="OQ39">
        <v>1</v>
      </c>
      <c r="OS39" s="4">
        <f t="shared" si="0"/>
        <v>79</v>
      </c>
      <c r="OT39" s="4">
        <f t="shared" si="1"/>
        <v>81</v>
      </c>
    </row>
    <row r="40" spans="1:410" x14ac:dyDescent="0.3">
      <c r="A40" s="10" t="s">
        <v>652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2</v>
      </c>
      <c r="H40" s="1">
        <v>0</v>
      </c>
      <c r="I40" s="1">
        <v>0</v>
      </c>
      <c r="J40" s="1">
        <v>0</v>
      </c>
      <c r="K40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>
        <v>1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>
        <v>1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1</v>
      </c>
      <c r="AE40" s="1">
        <v>0</v>
      </c>
      <c r="AF40" s="1">
        <v>0</v>
      </c>
      <c r="AG40">
        <v>1</v>
      </c>
      <c r="AH40">
        <v>0</v>
      </c>
      <c r="AI40" s="1">
        <v>1</v>
      </c>
      <c r="AJ40" s="1">
        <v>2</v>
      </c>
      <c r="AK40" s="1">
        <v>1</v>
      </c>
      <c r="AL40">
        <v>0</v>
      </c>
      <c r="AM40">
        <v>0</v>
      </c>
      <c r="AN40" s="1">
        <v>1</v>
      </c>
      <c r="AO40" s="1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 s="1">
        <v>1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s="1">
        <v>1</v>
      </c>
      <c r="BT40">
        <v>0</v>
      </c>
      <c r="BU40" s="4">
        <v>0</v>
      </c>
      <c r="BV40">
        <v>0</v>
      </c>
      <c r="BW40">
        <v>0</v>
      </c>
      <c r="BX40" s="1">
        <v>1</v>
      </c>
      <c r="BY40">
        <v>0</v>
      </c>
      <c r="BZ40">
        <v>0</v>
      </c>
      <c r="CA40" s="4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 s="4">
        <v>0</v>
      </c>
      <c r="CH40" s="4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 s="1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 s="4">
        <v>0</v>
      </c>
      <c r="DP40">
        <v>0</v>
      </c>
      <c r="DQ40">
        <v>1</v>
      </c>
      <c r="DR40" s="1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 s="4">
        <v>0</v>
      </c>
      <c r="EJ40">
        <v>1</v>
      </c>
      <c r="EK40">
        <v>0</v>
      </c>
      <c r="EL40" s="4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 s="1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 s="4">
        <v>0</v>
      </c>
      <c r="FS40" s="1">
        <v>1</v>
      </c>
      <c r="FT40">
        <v>0</v>
      </c>
      <c r="FU40">
        <v>0</v>
      </c>
      <c r="FV40">
        <v>1</v>
      </c>
      <c r="FW40">
        <v>0</v>
      </c>
      <c r="FX40" s="4">
        <v>0</v>
      </c>
      <c r="FY40">
        <v>1</v>
      </c>
      <c r="FZ40">
        <v>1</v>
      </c>
      <c r="GA40">
        <v>0</v>
      </c>
      <c r="GB40">
        <v>0</v>
      </c>
      <c r="GC40">
        <v>0</v>
      </c>
      <c r="GD40" s="4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 s="1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 s="1">
        <v>1</v>
      </c>
      <c r="GY40">
        <v>0</v>
      </c>
      <c r="GZ40">
        <v>1</v>
      </c>
      <c r="HA40">
        <v>0</v>
      </c>
      <c r="HB40">
        <v>0</v>
      </c>
      <c r="HC40" s="4">
        <v>0</v>
      </c>
      <c r="HD40">
        <v>0</v>
      </c>
      <c r="HE40">
        <v>0</v>
      </c>
      <c r="HF40">
        <v>0</v>
      </c>
      <c r="HG40">
        <v>0</v>
      </c>
      <c r="HH40" s="4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0</v>
      </c>
      <c r="HQ40">
        <v>0</v>
      </c>
      <c r="HR40">
        <v>1</v>
      </c>
      <c r="HS40">
        <v>0</v>
      </c>
      <c r="HT40">
        <v>0</v>
      </c>
      <c r="HU40" s="1">
        <v>1</v>
      </c>
      <c r="HV40">
        <v>0</v>
      </c>
      <c r="HW40">
        <v>0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 s="4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1</v>
      </c>
      <c r="IQ40">
        <v>1</v>
      </c>
      <c r="IR40" s="4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 s="4">
        <v>0</v>
      </c>
      <c r="JL40">
        <v>0</v>
      </c>
      <c r="JM40" s="4">
        <v>0</v>
      </c>
      <c r="JN40">
        <v>0</v>
      </c>
      <c r="JO40">
        <v>1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0</v>
      </c>
      <c r="JY40">
        <v>0</v>
      </c>
      <c r="JZ40">
        <v>0</v>
      </c>
      <c r="KA40" s="4">
        <v>0</v>
      </c>
      <c r="KB40" s="4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 s="1">
        <v>1</v>
      </c>
      <c r="KJ40">
        <v>0</v>
      </c>
      <c r="KK40">
        <v>0</v>
      </c>
      <c r="KL40">
        <v>0</v>
      </c>
      <c r="KM40">
        <v>1</v>
      </c>
      <c r="KN40">
        <v>0</v>
      </c>
      <c r="KO40">
        <v>0</v>
      </c>
      <c r="KP40">
        <v>0</v>
      </c>
      <c r="KQ40">
        <v>1</v>
      </c>
      <c r="KR40">
        <v>0</v>
      </c>
      <c r="KS40">
        <v>0</v>
      </c>
      <c r="KT40">
        <v>0</v>
      </c>
      <c r="KU40">
        <v>0</v>
      </c>
      <c r="KV40" s="4">
        <v>0</v>
      </c>
      <c r="KW40">
        <v>0</v>
      </c>
      <c r="KX40">
        <v>0</v>
      </c>
      <c r="KY40" s="4">
        <v>0</v>
      </c>
      <c r="KZ40">
        <v>0</v>
      </c>
      <c r="LA40">
        <v>0</v>
      </c>
      <c r="LB40">
        <v>0</v>
      </c>
      <c r="LC40" s="4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1</v>
      </c>
      <c r="LJ40" s="1">
        <v>1</v>
      </c>
      <c r="LK40">
        <v>0</v>
      </c>
      <c r="LL40">
        <v>0</v>
      </c>
      <c r="LM40" s="4">
        <v>0</v>
      </c>
      <c r="LN40">
        <v>0</v>
      </c>
      <c r="LO40">
        <v>0</v>
      </c>
      <c r="LP40">
        <v>0</v>
      </c>
      <c r="LQ40">
        <v>1</v>
      </c>
      <c r="LR40" s="1">
        <v>1</v>
      </c>
      <c r="LS40">
        <v>0</v>
      </c>
      <c r="LT40">
        <v>0</v>
      </c>
      <c r="LU40" s="1">
        <v>1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1</v>
      </c>
      <c r="MH40">
        <v>1</v>
      </c>
      <c r="MI40">
        <v>0</v>
      </c>
      <c r="MJ40">
        <v>0</v>
      </c>
      <c r="MK40">
        <v>0</v>
      </c>
      <c r="ML40">
        <v>1</v>
      </c>
      <c r="MM40">
        <v>0</v>
      </c>
      <c r="MN40" s="1">
        <v>1</v>
      </c>
      <c r="MO40">
        <v>1</v>
      </c>
      <c r="MP40">
        <v>0</v>
      </c>
      <c r="MQ40">
        <v>0</v>
      </c>
      <c r="MR40">
        <v>0</v>
      </c>
      <c r="MS40">
        <v>0</v>
      </c>
      <c r="MT40" s="4">
        <v>0</v>
      </c>
      <c r="MU40" s="1">
        <v>1</v>
      </c>
      <c r="MV40">
        <v>0</v>
      </c>
      <c r="MW40">
        <v>0</v>
      </c>
      <c r="MX40">
        <v>1</v>
      </c>
      <c r="MY40">
        <v>0</v>
      </c>
      <c r="MZ40">
        <v>0</v>
      </c>
      <c r="NA40">
        <v>0</v>
      </c>
      <c r="NB40" s="4">
        <v>0</v>
      </c>
      <c r="NC40">
        <v>0</v>
      </c>
      <c r="ND40">
        <v>0</v>
      </c>
      <c r="NE40" s="1">
        <v>2</v>
      </c>
      <c r="NF40">
        <v>0</v>
      </c>
      <c r="NG40">
        <v>0</v>
      </c>
      <c r="NH40">
        <v>0</v>
      </c>
      <c r="NI40">
        <v>0</v>
      </c>
      <c r="NJ40" s="4">
        <v>0</v>
      </c>
      <c r="NK40">
        <v>0</v>
      </c>
      <c r="NL40">
        <v>0</v>
      </c>
      <c r="NM40">
        <v>0</v>
      </c>
      <c r="NN40" s="1">
        <v>1</v>
      </c>
      <c r="NO40">
        <v>1</v>
      </c>
      <c r="NP40">
        <v>0</v>
      </c>
      <c r="NQ40">
        <v>0</v>
      </c>
      <c r="NR40">
        <v>0</v>
      </c>
      <c r="NS40" s="4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 s="4">
        <v>0</v>
      </c>
      <c r="NZ40">
        <v>0</v>
      </c>
      <c r="OA40">
        <v>0</v>
      </c>
      <c r="OB40">
        <v>0</v>
      </c>
      <c r="OC40">
        <v>1</v>
      </c>
      <c r="OD40" s="4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2</v>
      </c>
      <c r="OM40">
        <v>0</v>
      </c>
      <c r="ON40">
        <v>0</v>
      </c>
      <c r="OO40">
        <v>0</v>
      </c>
      <c r="OP40" s="4">
        <v>0</v>
      </c>
      <c r="OQ40">
        <v>1</v>
      </c>
      <c r="OS40" s="4">
        <f t="shared" si="0"/>
        <v>71</v>
      </c>
      <c r="OT40" s="4">
        <f t="shared" si="1"/>
        <v>75</v>
      </c>
    </row>
    <row r="41" spans="1:410" x14ac:dyDescent="0.3">
      <c r="A41" s="10" t="s">
        <v>653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">
        <v>1</v>
      </c>
      <c r="H41">
        <v>1</v>
      </c>
      <c r="I41" s="1">
        <v>0</v>
      </c>
      <c r="J41" s="1">
        <v>0</v>
      </c>
      <c r="K41">
        <v>0</v>
      </c>
      <c r="L41">
        <v>1</v>
      </c>
      <c r="M41" s="1">
        <v>0</v>
      </c>
      <c r="N41">
        <v>1</v>
      </c>
      <c r="O41" s="1">
        <v>0</v>
      </c>
      <c r="P41">
        <v>1</v>
      </c>
      <c r="Q41" s="1">
        <v>1</v>
      </c>
      <c r="R4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>
        <v>1</v>
      </c>
      <c r="Y41" s="1">
        <v>0</v>
      </c>
      <c r="Z41" s="1">
        <v>0</v>
      </c>
      <c r="AA41" s="1">
        <v>1</v>
      </c>
      <c r="AB41" s="1">
        <v>0</v>
      </c>
      <c r="AC41">
        <v>1</v>
      </c>
      <c r="AD41" s="1">
        <v>1</v>
      </c>
      <c r="AE41" s="1">
        <v>1</v>
      </c>
      <c r="AF41" s="1">
        <v>0</v>
      </c>
      <c r="AG41">
        <v>1</v>
      </c>
      <c r="AH41">
        <v>0</v>
      </c>
      <c r="AI41" s="1">
        <v>1</v>
      </c>
      <c r="AJ41" s="1">
        <v>1</v>
      </c>
      <c r="AK41" s="1">
        <v>1</v>
      </c>
      <c r="AL41">
        <v>0</v>
      </c>
      <c r="AM41">
        <v>0</v>
      </c>
      <c r="AN41" s="1">
        <v>1</v>
      </c>
      <c r="AO41" s="1">
        <v>1</v>
      </c>
      <c r="AP41">
        <v>0</v>
      </c>
      <c r="AQ41" s="1">
        <v>1</v>
      </c>
      <c r="AR41">
        <v>0</v>
      </c>
      <c r="AS41">
        <v>0</v>
      </c>
      <c r="AT41">
        <v>0</v>
      </c>
      <c r="AU41" s="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s="1">
        <v>1</v>
      </c>
      <c r="BT41">
        <v>0</v>
      </c>
      <c r="BU41" s="4">
        <v>0</v>
      </c>
      <c r="BV41">
        <v>0</v>
      </c>
      <c r="BW41">
        <v>0</v>
      </c>
      <c r="BX41">
        <v>0</v>
      </c>
      <c r="BY41">
        <v>3</v>
      </c>
      <c r="BZ41">
        <v>0</v>
      </c>
      <c r="CA41" s="4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s="4">
        <v>0</v>
      </c>
      <c r="CH41" s="4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 s="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 s="4">
        <v>0</v>
      </c>
      <c r="DP41">
        <v>0</v>
      </c>
      <c r="DQ41">
        <v>0</v>
      </c>
      <c r="DR41" s="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 s="4">
        <v>0</v>
      </c>
      <c r="EJ41">
        <v>0</v>
      </c>
      <c r="EK41">
        <v>0</v>
      </c>
      <c r="EL41" s="4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 s="1">
        <v>1</v>
      </c>
      <c r="FI41">
        <v>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 s="4">
        <v>0</v>
      </c>
      <c r="FS41" s="1">
        <v>1</v>
      </c>
      <c r="FT41">
        <v>0</v>
      </c>
      <c r="FU41">
        <v>0</v>
      </c>
      <c r="FV41">
        <v>0</v>
      </c>
      <c r="FW41">
        <v>0</v>
      </c>
      <c r="FX41" s="4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 s="4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 s="1">
        <v>1</v>
      </c>
      <c r="GS41">
        <v>0</v>
      </c>
      <c r="GT41">
        <v>0</v>
      </c>
      <c r="GU41">
        <v>0</v>
      </c>
      <c r="GV41">
        <v>0</v>
      </c>
      <c r="GW41">
        <v>0</v>
      </c>
      <c r="GX41" s="1">
        <v>1</v>
      </c>
      <c r="GY41">
        <v>0</v>
      </c>
      <c r="GZ41">
        <v>1</v>
      </c>
      <c r="HA41">
        <v>0</v>
      </c>
      <c r="HB41">
        <v>0</v>
      </c>
      <c r="HC41" s="4">
        <v>0</v>
      </c>
      <c r="HD41">
        <v>0</v>
      </c>
      <c r="HE41">
        <v>0</v>
      </c>
      <c r="HF41">
        <v>0</v>
      </c>
      <c r="HG41">
        <v>0</v>
      </c>
      <c r="HH41" s="4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 s="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1</v>
      </c>
      <c r="II41" s="4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 s="4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1</v>
      </c>
      <c r="JK41" s="4">
        <v>0</v>
      </c>
      <c r="JL41">
        <v>0</v>
      </c>
      <c r="JM41" s="4">
        <v>0</v>
      </c>
      <c r="JN41">
        <v>0</v>
      </c>
      <c r="JO41">
        <v>0</v>
      </c>
      <c r="JP41">
        <v>0</v>
      </c>
      <c r="JQ41">
        <v>1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 s="4">
        <v>0</v>
      </c>
      <c r="KB41" s="4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 s="1">
        <v>1</v>
      </c>
      <c r="KJ41">
        <v>0</v>
      </c>
      <c r="KK41">
        <v>0</v>
      </c>
      <c r="KL41">
        <v>0</v>
      </c>
      <c r="KM41">
        <v>1</v>
      </c>
      <c r="KN41">
        <v>0</v>
      </c>
      <c r="KO41">
        <v>0</v>
      </c>
      <c r="KP41">
        <v>0</v>
      </c>
      <c r="KQ41">
        <v>1</v>
      </c>
      <c r="KR41">
        <v>0</v>
      </c>
      <c r="KS41">
        <v>0</v>
      </c>
      <c r="KT41">
        <v>0</v>
      </c>
      <c r="KU41">
        <v>0</v>
      </c>
      <c r="KV41" s="4">
        <v>0</v>
      </c>
      <c r="KW41">
        <v>0</v>
      </c>
      <c r="KX41">
        <v>0</v>
      </c>
      <c r="KY41" s="4">
        <v>0</v>
      </c>
      <c r="KZ41">
        <v>0</v>
      </c>
      <c r="LA41">
        <v>0</v>
      </c>
      <c r="LB41">
        <v>0</v>
      </c>
      <c r="LC41" s="4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1</v>
      </c>
      <c r="LJ41" s="1">
        <v>2</v>
      </c>
      <c r="LK41">
        <v>0</v>
      </c>
      <c r="LL41">
        <v>0</v>
      </c>
      <c r="LM41" s="4">
        <v>0</v>
      </c>
      <c r="LN41">
        <v>0</v>
      </c>
      <c r="LO41">
        <v>0</v>
      </c>
      <c r="LP41">
        <v>0</v>
      </c>
      <c r="LQ41">
        <v>0</v>
      </c>
      <c r="LR41" s="1">
        <v>1</v>
      </c>
      <c r="LS41">
        <v>0</v>
      </c>
      <c r="LT41">
        <v>0</v>
      </c>
      <c r="LU41" s="1">
        <v>1</v>
      </c>
      <c r="LV41">
        <v>0</v>
      </c>
      <c r="LW41">
        <v>0</v>
      </c>
      <c r="LX41">
        <v>1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1</v>
      </c>
      <c r="MF41">
        <v>0</v>
      </c>
      <c r="MG41">
        <v>3</v>
      </c>
      <c r="MH41">
        <v>0</v>
      </c>
      <c r="MI41">
        <v>0</v>
      </c>
      <c r="MJ41">
        <v>0</v>
      </c>
      <c r="MK41">
        <v>0</v>
      </c>
      <c r="ML41">
        <v>1</v>
      </c>
      <c r="MM41">
        <v>0</v>
      </c>
      <c r="MN41" s="1">
        <v>1</v>
      </c>
      <c r="MO41">
        <v>0</v>
      </c>
      <c r="MP41">
        <v>0</v>
      </c>
      <c r="MQ41">
        <v>0</v>
      </c>
      <c r="MR41">
        <v>0</v>
      </c>
      <c r="MS41">
        <v>0</v>
      </c>
      <c r="MT41" s="4">
        <v>0</v>
      </c>
      <c r="MU41" s="1">
        <v>1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 s="4">
        <v>0</v>
      </c>
      <c r="NC41">
        <v>0</v>
      </c>
      <c r="ND41">
        <v>0</v>
      </c>
      <c r="NE41" s="1">
        <v>1</v>
      </c>
      <c r="NF41">
        <v>0</v>
      </c>
      <c r="NG41">
        <v>0</v>
      </c>
      <c r="NH41">
        <v>0</v>
      </c>
      <c r="NI41">
        <v>0</v>
      </c>
      <c r="NJ41" s="4">
        <v>0</v>
      </c>
      <c r="NK41">
        <v>0</v>
      </c>
      <c r="NL41">
        <v>0</v>
      </c>
      <c r="NM41">
        <v>0</v>
      </c>
      <c r="NN41" s="1">
        <v>1</v>
      </c>
      <c r="NO41">
        <v>0</v>
      </c>
      <c r="NP41">
        <v>0</v>
      </c>
      <c r="NQ41">
        <v>0</v>
      </c>
      <c r="NR41">
        <v>1</v>
      </c>
      <c r="NS41" s="4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 s="4">
        <v>0</v>
      </c>
      <c r="NZ41">
        <v>0</v>
      </c>
      <c r="OA41">
        <v>0</v>
      </c>
      <c r="OB41">
        <v>0</v>
      </c>
      <c r="OC41">
        <v>1</v>
      </c>
      <c r="OD41" s="4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</v>
      </c>
      <c r="OM41">
        <v>0</v>
      </c>
      <c r="ON41">
        <v>0</v>
      </c>
      <c r="OO41">
        <v>0</v>
      </c>
      <c r="OP41" s="4">
        <v>0</v>
      </c>
      <c r="OQ41">
        <v>0</v>
      </c>
      <c r="OS41" s="4">
        <f t="shared" si="0"/>
        <v>63</v>
      </c>
      <c r="OT41" s="4">
        <f t="shared" si="1"/>
        <v>69</v>
      </c>
    </row>
    <row r="42" spans="1:410" x14ac:dyDescent="0.3">
      <c r="A42" s="10" t="s">
        <v>654</v>
      </c>
      <c r="B42" s="1">
        <v>1</v>
      </c>
      <c r="C42">
        <v>0</v>
      </c>
      <c r="D42">
        <v>0</v>
      </c>
      <c r="E42" s="1">
        <v>1</v>
      </c>
      <c r="F42" s="1">
        <v>1</v>
      </c>
      <c r="G42" s="1">
        <v>3</v>
      </c>
      <c r="H42">
        <v>0</v>
      </c>
      <c r="I42" s="1">
        <v>1</v>
      </c>
      <c r="J42">
        <v>0</v>
      </c>
      <c r="K42">
        <v>0</v>
      </c>
      <c r="L42" s="1">
        <v>1</v>
      </c>
      <c r="M42">
        <v>0</v>
      </c>
      <c r="N42">
        <v>0</v>
      </c>
      <c r="O42">
        <v>0</v>
      </c>
      <c r="P42" s="1">
        <v>1</v>
      </c>
      <c r="Q42" s="1">
        <v>1</v>
      </c>
      <c r="R42">
        <v>1</v>
      </c>
      <c r="S42">
        <v>0</v>
      </c>
      <c r="T42">
        <v>0</v>
      </c>
      <c r="U42">
        <v>0</v>
      </c>
      <c r="V42" s="1">
        <v>1</v>
      </c>
      <c r="W42">
        <v>0</v>
      </c>
      <c r="X42">
        <v>1</v>
      </c>
      <c r="Y42">
        <v>0</v>
      </c>
      <c r="Z42">
        <v>0</v>
      </c>
      <c r="AA42" s="1">
        <v>1</v>
      </c>
      <c r="AB42" s="1">
        <v>1</v>
      </c>
      <c r="AC42" s="1">
        <v>0</v>
      </c>
      <c r="AD42" s="1">
        <v>1</v>
      </c>
      <c r="AE42">
        <v>0</v>
      </c>
      <c r="AF42" s="1">
        <v>1</v>
      </c>
      <c r="AG42">
        <v>0</v>
      </c>
      <c r="AH42">
        <v>0</v>
      </c>
      <c r="AI42">
        <v>0</v>
      </c>
      <c r="AJ42" s="1">
        <v>1</v>
      </c>
      <c r="AK42" s="1">
        <v>1</v>
      </c>
      <c r="AL42">
        <v>0</v>
      </c>
      <c r="AM42">
        <v>0</v>
      </c>
      <c r="AN42" s="1">
        <v>1</v>
      </c>
      <c r="AO42" s="1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 s="1">
        <v>1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 s="1">
        <v>1</v>
      </c>
      <c r="BT42">
        <v>0</v>
      </c>
      <c r="BU42" s="4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 s="4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s="4">
        <v>0</v>
      </c>
      <c r="CH42" s="4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 s="4">
        <v>0</v>
      </c>
      <c r="DP42">
        <v>0</v>
      </c>
      <c r="DQ42">
        <v>0</v>
      </c>
      <c r="DR42" s="1">
        <v>2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 s="4">
        <v>0</v>
      </c>
      <c r="EJ42">
        <v>0</v>
      </c>
      <c r="EK42">
        <v>0</v>
      </c>
      <c r="EL42" s="4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1</v>
      </c>
      <c r="FH42" s="1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 s="4">
        <v>0</v>
      </c>
      <c r="FS42" s="1">
        <v>1</v>
      </c>
      <c r="FT42">
        <v>0</v>
      </c>
      <c r="FU42">
        <v>1</v>
      </c>
      <c r="FV42">
        <v>0</v>
      </c>
      <c r="FW42">
        <v>1</v>
      </c>
      <c r="FX42" s="4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 s="4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 s="1">
        <v>1</v>
      </c>
      <c r="GS42">
        <v>0</v>
      </c>
      <c r="GT42">
        <v>0</v>
      </c>
      <c r="GU42">
        <v>0</v>
      </c>
      <c r="GV42">
        <v>0</v>
      </c>
      <c r="GW42">
        <v>0</v>
      </c>
      <c r="GX42" s="1">
        <v>1</v>
      </c>
      <c r="GY42">
        <v>0</v>
      </c>
      <c r="GZ42">
        <v>0</v>
      </c>
      <c r="HA42">
        <v>0</v>
      </c>
      <c r="HB42">
        <v>0</v>
      </c>
      <c r="HC42" s="4">
        <v>0</v>
      </c>
      <c r="HD42">
        <v>0</v>
      </c>
      <c r="HE42">
        <v>0</v>
      </c>
      <c r="HF42">
        <v>0</v>
      </c>
      <c r="HG42">
        <v>0</v>
      </c>
      <c r="HH42" s="4">
        <v>0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 s="1">
        <v>1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 s="4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 s="4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</v>
      </c>
      <c r="IY42">
        <v>0</v>
      </c>
      <c r="IZ42">
        <v>0</v>
      </c>
      <c r="JA42">
        <v>0</v>
      </c>
      <c r="JB42">
        <v>1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1</v>
      </c>
      <c r="JK42" s="4">
        <v>0</v>
      </c>
      <c r="JL42">
        <v>0</v>
      </c>
      <c r="JM42" s="4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1</v>
      </c>
      <c r="JX42">
        <v>0</v>
      </c>
      <c r="JY42">
        <v>0</v>
      </c>
      <c r="JZ42">
        <v>0</v>
      </c>
      <c r="KA42" s="4">
        <v>0</v>
      </c>
      <c r="KB42" s="4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 s="1">
        <v>1</v>
      </c>
      <c r="KJ42">
        <v>0</v>
      </c>
      <c r="KK42">
        <v>0</v>
      </c>
      <c r="KL42">
        <v>0</v>
      </c>
      <c r="KM42">
        <v>1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 s="4">
        <v>0</v>
      </c>
      <c r="KW42">
        <v>0</v>
      </c>
      <c r="KX42">
        <v>1</v>
      </c>
      <c r="KY42" s="4">
        <v>0</v>
      </c>
      <c r="KZ42">
        <v>0</v>
      </c>
      <c r="LA42">
        <v>0</v>
      </c>
      <c r="LB42">
        <v>0</v>
      </c>
      <c r="LC42" s="4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 s="1">
        <v>1</v>
      </c>
      <c r="LK42">
        <v>0</v>
      </c>
      <c r="LL42">
        <v>0</v>
      </c>
      <c r="LM42" s="4">
        <v>0</v>
      </c>
      <c r="LN42">
        <v>0</v>
      </c>
      <c r="LO42">
        <v>0</v>
      </c>
      <c r="LP42">
        <v>0</v>
      </c>
      <c r="LQ42">
        <v>0</v>
      </c>
      <c r="LR42" s="1">
        <v>1</v>
      </c>
      <c r="LS42">
        <v>0</v>
      </c>
      <c r="LT42">
        <v>0</v>
      </c>
      <c r="LU42" s="1">
        <v>1</v>
      </c>
      <c r="LV42">
        <v>0</v>
      </c>
      <c r="LW42">
        <v>0</v>
      </c>
      <c r="LX42">
        <v>1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1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1</v>
      </c>
      <c r="MN42" s="1">
        <v>1</v>
      </c>
      <c r="MO42">
        <v>0</v>
      </c>
      <c r="MP42">
        <v>0</v>
      </c>
      <c r="MQ42">
        <v>0</v>
      </c>
      <c r="MR42">
        <v>0</v>
      </c>
      <c r="MS42">
        <v>0</v>
      </c>
      <c r="MT42" s="4">
        <v>0</v>
      </c>
      <c r="MU42" s="1">
        <v>1</v>
      </c>
      <c r="MV42">
        <v>0</v>
      </c>
      <c r="MW42">
        <v>1</v>
      </c>
      <c r="MX42">
        <v>0</v>
      </c>
      <c r="MY42">
        <v>0</v>
      </c>
      <c r="MZ42">
        <v>0</v>
      </c>
      <c r="NA42">
        <v>0</v>
      </c>
      <c r="NB42" s="4">
        <v>0</v>
      </c>
      <c r="NC42">
        <v>0</v>
      </c>
      <c r="ND42">
        <v>0</v>
      </c>
      <c r="NE42" s="1">
        <v>1</v>
      </c>
      <c r="NF42">
        <v>0</v>
      </c>
      <c r="NG42">
        <v>0</v>
      </c>
      <c r="NH42">
        <v>0</v>
      </c>
      <c r="NI42">
        <v>0</v>
      </c>
      <c r="NJ42" s="4">
        <v>0</v>
      </c>
      <c r="NK42">
        <v>0</v>
      </c>
      <c r="NL42">
        <v>0</v>
      </c>
      <c r="NM42">
        <v>0</v>
      </c>
      <c r="NN42" s="1">
        <v>1</v>
      </c>
      <c r="NO42">
        <v>0</v>
      </c>
      <c r="NP42">
        <v>0</v>
      </c>
      <c r="NQ42">
        <v>0</v>
      </c>
      <c r="NR42">
        <v>0</v>
      </c>
      <c r="NS42" s="4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 s="4">
        <v>0</v>
      </c>
      <c r="NZ42">
        <v>0</v>
      </c>
      <c r="OA42">
        <v>0</v>
      </c>
      <c r="OB42">
        <v>0</v>
      </c>
      <c r="OC42">
        <v>1</v>
      </c>
      <c r="OD42" s="4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1</v>
      </c>
      <c r="OM42">
        <v>0</v>
      </c>
      <c r="ON42">
        <v>1</v>
      </c>
      <c r="OO42">
        <v>0</v>
      </c>
      <c r="OP42" s="4">
        <v>0</v>
      </c>
      <c r="OQ42">
        <v>1</v>
      </c>
      <c r="OS42" s="4">
        <f t="shared" si="0"/>
        <v>65</v>
      </c>
      <c r="OT42" s="4">
        <f t="shared" si="1"/>
        <v>68</v>
      </c>
    </row>
    <row r="43" spans="1:410" x14ac:dyDescent="0.3">
      <c r="A43" s="10" t="s">
        <v>655</v>
      </c>
      <c r="B43">
        <v>0</v>
      </c>
      <c r="C43">
        <v>0</v>
      </c>
      <c r="D43">
        <v>0</v>
      </c>
      <c r="E43">
        <v>0</v>
      </c>
      <c r="F43" s="1">
        <v>1</v>
      </c>
      <c r="G43" s="1">
        <v>1</v>
      </c>
      <c r="H43">
        <v>1</v>
      </c>
      <c r="I43">
        <v>0</v>
      </c>
      <c r="J43">
        <v>0</v>
      </c>
      <c r="K43">
        <v>0</v>
      </c>
      <c r="L43" s="1">
        <v>1</v>
      </c>
      <c r="M43">
        <v>0</v>
      </c>
      <c r="N43">
        <v>0</v>
      </c>
      <c r="O43">
        <v>1</v>
      </c>
      <c r="P43" s="1">
        <v>1</v>
      </c>
      <c r="Q43" s="1">
        <v>1</v>
      </c>
      <c r="R43" s="1">
        <v>1</v>
      </c>
      <c r="S43" s="1">
        <v>1</v>
      </c>
      <c r="T43">
        <v>0</v>
      </c>
      <c r="U43">
        <v>0</v>
      </c>
      <c r="V43" s="1">
        <v>1</v>
      </c>
      <c r="W43">
        <v>0</v>
      </c>
      <c r="X43">
        <v>1</v>
      </c>
      <c r="Y43">
        <v>0</v>
      </c>
      <c r="Z43">
        <v>0</v>
      </c>
      <c r="AA43" s="1">
        <v>1</v>
      </c>
      <c r="AB43" s="1">
        <v>1</v>
      </c>
      <c r="AC43" s="1">
        <v>0</v>
      </c>
      <c r="AD43" s="1">
        <v>1</v>
      </c>
      <c r="AE43">
        <v>1</v>
      </c>
      <c r="AF43" s="1">
        <v>1</v>
      </c>
      <c r="AG43">
        <v>0</v>
      </c>
      <c r="AH43">
        <v>0</v>
      </c>
      <c r="AI43" s="1">
        <v>1</v>
      </c>
      <c r="AJ43" s="1">
        <v>2</v>
      </c>
      <c r="AK43" s="1">
        <v>1</v>
      </c>
      <c r="AL43">
        <v>0</v>
      </c>
      <c r="AM43">
        <v>0</v>
      </c>
      <c r="AN43" s="1">
        <v>1</v>
      </c>
      <c r="AO43" s="1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 s="1">
        <v>1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s="1">
        <v>1</v>
      </c>
      <c r="BT43">
        <v>0</v>
      </c>
      <c r="BU43" s="4">
        <v>0</v>
      </c>
      <c r="BV43">
        <v>0</v>
      </c>
      <c r="BW43">
        <v>0</v>
      </c>
      <c r="BX43">
        <v>0</v>
      </c>
      <c r="BY43">
        <v>3</v>
      </c>
      <c r="BZ43">
        <v>0</v>
      </c>
      <c r="CA43" s="4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 s="4">
        <v>0</v>
      </c>
      <c r="CH43" s="4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2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 s="1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 s="4">
        <v>0</v>
      </c>
      <c r="DP43">
        <v>0</v>
      </c>
      <c r="DQ43">
        <v>0</v>
      </c>
      <c r="DR43" s="1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 s="4">
        <v>0</v>
      </c>
      <c r="EJ43">
        <v>0</v>
      </c>
      <c r="EK43">
        <v>0</v>
      </c>
      <c r="EL43" s="4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 s="1">
        <v>1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 s="4">
        <v>0</v>
      </c>
      <c r="FS43" s="1">
        <v>1</v>
      </c>
      <c r="FT43">
        <v>0</v>
      </c>
      <c r="FU43">
        <v>2</v>
      </c>
      <c r="FV43">
        <v>1</v>
      </c>
      <c r="FW43">
        <v>0</v>
      </c>
      <c r="FX43" s="4">
        <v>0</v>
      </c>
      <c r="FY43">
        <v>0</v>
      </c>
      <c r="FZ43">
        <v>0</v>
      </c>
      <c r="GA43">
        <v>0</v>
      </c>
      <c r="GB43">
        <v>0</v>
      </c>
      <c r="GC43">
        <v>1</v>
      </c>
      <c r="GD43" s="4">
        <v>0</v>
      </c>
      <c r="GE43">
        <v>1</v>
      </c>
      <c r="GF43">
        <v>0</v>
      </c>
      <c r="GG43">
        <v>0</v>
      </c>
      <c r="GH43">
        <v>1</v>
      </c>
      <c r="GI43">
        <v>1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1</v>
      </c>
      <c r="GQ43">
        <v>0</v>
      </c>
      <c r="GR43" s="1">
        <v>1</v>
      </c>
      <c r="GS43">
        <v>0</v>
      </c>
      <c r="GT43">
        <v>0</v>
      </c>
      <c r="GU43">
        <v>0</v>
      </c>
      <c r="GV43">
        <v>0</v>
      </c>
      <c r="GW43">
        <v>0</v>
      </c>
      <c r="GX43" s="1">
        <v>1</v>
      </c>
      <c r="GY43">
        <v>0</v>
      </c>
      <c r="GZ43">
        <v>1</v>
      </c>
      <c r="HA43">
        <v>0</v>
      </c>
      <c r="HB43">
        <v>0</v>
      </c>
      <c r="HC43" s="4">
        <v>0</v>
      </c>
      <c r="HD43">
        <v>0</v>
      </c>
      <c r="HE43">
        <v>0</v>
      </c>
      <c r="HF43">
        <v>0</v>
      </c>
      <c r="HG43">
        <v>0</v>
      </c>
      <c r="HH43" s="4">
        <v>0</v>
      </c>
      <c r="HI43">
        <v>1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V43">
        <v>1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1</v>
      </c>
      <c r="IG43">
        <v>0</v>
      </c>
      <c r="IH43">
        <v>1</v>
      </c>
      <c r="II43" s="4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1</v>
      </c>
      <c r="IR43" s="4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1</v>
      </c>
      <c r="JG43">
        <v>0</v>
      </c>
      <c r="JH43">
        <v>0</v>
      </c>
      <c r="JI43">
        <v>1</v>
      </c>
      <c r="JJ43">
        <v>0</v>
      </c>
      <c r="JK43" s="4">
        <v>0</v>
      </c>
      <c r="JL43">
        <v>1</v>
      </c>
      <c r="JM43" s="4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1</v>
      </c>
      <c r="JX43">
        <v>1</v>
      </c>
      <c r="JY43">
        <v>0</v>
      </c>
      <c r="JZ43">
        <v>0</v>
      </c>
      <c r="KA43" s="4">
        <v>0</v>
      </c>
      <c r="KB43" s="4">
        <v>0</v>
      </c>
      <c r="KC43">
        <v>0</v>
      </c>
      <c r="KD43">
        <v>1</v>
      </c>
      <c r="KE43">
        <v>0</v>
      </c>
      <c r="KF43">
        <v>1</v>
      </c>
      <c r="KG43">
        <v>0</v>
      </c>
      <c r="KH43">
        <v>0</v>
      </c>
      <c r="KI43" s="1">
        <v>2</v>
      </c>
      <c r="KJ43">
        <v>0</v>
      </c>
      <c r="KK43">
        <v>1</v>
      </c>
      <c r="KL43">
        <v>1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 s="4">
        <v>0</v>
      </c>
      <c r="KW43">
        <v>0</v>
      </c>
      <c r="KX43">
        <v>1</v>
      </c>
      <c r="KY43" s="4">
        <v>0</v>
      </c>
      <c r="KZ43">
        <v>0</v>
      </c>
      <c r="LA43">
        <v>0</v>
      </c>
      <c r="LB43">
        <v>0</v>
      </c>
      <c r="LC43" s="4">
        <v>0</v>
      </c>
      <c r="LD43">
        <v>0</v>
      </c>
      <c r="LE43">
        <v>0</v>
      </c>
      <c r="LF43">
        <v>0</v>
      </c>
      <c r="LG43">
        <v>1</v>
      </c>
      <c r="LH43">
        <v>0</v>
      </c>
      <c r="LI43">
        <v>1</v>
      </c>
      <c r="LJ43" s="1">
        <v>3</v>
      </c>
      <c r="LK43">
        <v>1</v>
      </c>
      <c r="LL43">
        <v>1</v>
      </c>
      <c r="LM43" s="4">
        <v>0</v>
      </c>
      <c r="LN43">
        <v>0</v>
      </c>
      <c r="LO43">
        <v>0</v>
      </c>
      <c r="LP43">
        <v>0</v>
      </c>
      <c r="LQ43">
        <v>0</v>
      </c>
      <c r="LR43" s="1">
        <v>1</v>
      </c>
      <c r="LS43">
        <v>0</v>
      </c>
      <c r="LT43">
        <v>0</v>
      </c>
      <c r="LU43" s="1">
        <v>1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1</v>
      </c>
      <c r="MB43">
        <v>0</v>
      </c>
      <c r="MC43">
        <v>0</v>
      </c>
      <c r="MD43">
        <v>0</v>
      </c>
      <c r="ME43">
        <v>1</v>
      </c>
      <c r="MF43">
        <v>0</v>
      </c>
      <c r="MG43">
        <v>0</v>
      </c>
      <c r="MH43">
        <v>1</v>
      </c>
      <c r="MI43">
        <v>0</v>
      </c>
      <c r="MJ43">
        <v>0</v>
      </c>
      <c r="MK43">
        <v>0</v>
      </c>
      <c r="ML43">
        <v>1</v>
      </c>
      <c r="MM43">
        <v>0</v>
      </c>
      <c r="MN43" s="1">
        <v>1</v>
      </c>
      <c r="MO43">
        <v>1</v>
      </c>
      <c r="MP43">
        <v>0</v>
      </c>
      <c r="MQ43">
        <v>0</v>
      </c>
      <c r="MR43">
        <v>0</v>
      </c>
      <c r="MS43">
        <v>0</v>
      </c>
      <c r="MT43" s="4">
        <v>0</v>
      </c>
      <c r="MU43" s="1">
        <v>1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 s="4">
        <v>0</v>
      </c>
      <c r="NC43">
        <v>0</v>
      </c>
      <c r="ND43">
        <v>0</v>
      </c>
      <c r="NE43" s="1">
        <v>1</v>
      </c>
      <c r="NF43">
        <v>0</v>
      </c>
      <c r="NG43">
        <v>0</v>
      </c>
      <c r="NH43">
        <v>0</v>
      </c>
      <c r="NI43">
        <v>0</v>
      </c>
      <c r="NJ43" s="4">
        <v>0</v>
      </c>
      <c r="NK43">
        <v>0</v>
      </c>
      <c r="NL43">
        <v>0</v>
      </c>
      <c r="NM43">
        <v>0</v>
      </c>
      <c r="NN43" s="1">
        <v>1</v>
      </c>
      <c r="NO43">
        <v>1</v>
      </c>
      <c r="NP43">
        <v>0</v>
      </c>
      <c r="NQ43">
        <v>0</v>
      </c>
      <c r="NR43">
        <v>0</v>
      </c>
      <c r="NS43" s="4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 s="4">
        <v>0</v>
      </c>
      <c r="NZ43">
        <v>0</v>
      </c>
      <c r="OA43">
        <v>1</v>
      </c>
      <c r="OB43">
        <v>0</v>
      </c>
      <c r="OC43">
        <v>1</v>
      </c>
      <c r="OD43" s="4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</v>
      </c>
      <c r="OM43">
        <v>0</v>
      </c>
      <c r="ON43">
        <v>1</v>
      </c>
      <c r="OO43">
        <v>0</v>
      </c>
      <c r="OP43" s="4">
        <v>0</v>
      </c>
      <c r="OQ43">
        <v>1</v>
      </c>
      <c r="OS43" s="4">
        <f t="shared" si="0"/>
        <v>95</v>
      </c>
      <c r="OT43" s="4">
        <f t="shared" si="1"/>
        <v>103</v>
      </c>
    </row>
    <row r="44" spans="1:410" x14ac:dyDescent="0.3">
      <c r="A44" s="10" t="s">
        <v>656</v>
      </c>
      <c r="B44">
        <v>1</v>
      </c>
      <c r="C44" s="1">
        <v>0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>
        <v>0</v>
      </c>
      <c r="X44">
        <v>1</v>
      </c>
      <c r="Y44">
        <v>0</v>
      </c>
      <c r="Z44">
        <v>0</v>
      </c>
      <c r="AA44" s="1">
        <v>1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1">
        <v>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 s="1">
        <v>1</v>
      </c>
      <c r="BT44">
        <v>0</v>
      </c>
      <c r="BU44" s="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 s="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s="4">
        <v>0</v>
      </c>
      <c r="CH44" s="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 s="1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 s="4">
        <v>0</v>
      </c>
      <c r="DP44">
        <v>0</v>
      </c>
      <c r="DQ44">
        <v>0</v>
      </c>
      <c r="DR44" s="1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 s="4">
        <v>0</v>
      </c>
      <c r="EJ44">
        <v>0</v>
      </c>
      <c r="EK44">
        <v>0</v>
      </c>
      <c r="EL44" s="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 s="1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 s="4">
        <v>0</v>
      </c>
      <c r="FS44" s="1">
        <v>1</v>
      </c>
      <c r="FT44">
        <v>0</v>
      </c>
      <c r="FU44">
        <v>0</v>
      </c>
      <c r="FV44">
        <v>1</v>
      </c>
      <c r="FW44">
        <v>0</v>
      </c>
      <c r="FX44" s="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 s="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 s="1">
        <v>1</v>
      </c>
      <c r="GS44">
        <v>0</v>
      </c>
      <c r="GT44">
        <v>0</v>
      </c>
      <c r="GU44">
        <v>0</v>
      </c>
      <c r="GV44">
        <v>0</v>
      </c>
      <c r="GW44">
        <v>0</v>
      </c>
      <c r="GX44" s="1">
        <v>1</v>
      </c>
      <c r="GY44">
        <v>0</v>
      </c>
      <c r="GZ44">
        <v>1</v>
      </c>
      <c r="HA44">
        <v>0</v>
      </c>
      <c r="HB44">
        <v>0</v>
      </c>
      <c r="HC44" s="4">
        <v>0</v>
      </c>
      <c r="HD44">
        <v>0</v>
      </c>
      <c r="HE44">
        <v>0</v>
      </c>
      <c r="HF44">
        <v>0</v>
      </c>
      <c r="HG44">
        <v>0</v>
      </c>
      <c r="HH44" s="4">
        <v>0</v>
      </c>
      <c r="HI44">
        <v>0</v>
      </c>
      <c r="HJ44">
        <v>0</v>
      </c>
      <c r="HK44">
        <v>0</v>
      </c>
      <c r="HL44">
        <v>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 s="1">
        <v>1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 s="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</v>
      </c>
      <c r="IR44" s="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</v>
      </c>
      <c r="IY44">
        <v>1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1</v>
      </c>
      <c r="JJ44">
        <v>1</v>
      </c>
      <c r="JK44" s="4">
        <v>0</v>
      </c>
      <c r="JL44">
        <v>1</v>
      </c>
      <c r="JM44" s="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 s="4">
        <v>0</v>
      </c>
      <c r="KB44" s="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 s="1">
        <v>1</v>
      </c>
      <c r="KJ44">
        <v>0</v>
      </c>
      <c r="KK44">
        <v>0</v>
      </c>
      <c r="KL44">
        <v>0</v>
      </c>
      <c r="KM44">
        <v>1</v>
      </c>
      <c r="KN44">
        <v>0</v>
      </c>
      <c r="KO44">
        <v>0</v>
      </c>
      <c r="KP44">
        <v>0</v>
      </c>
      <c r="KQ44">
        <v>1</v>
      </c>
      <c r="KR44">
        <v>0</v>
      </c>
      <c r="KS44">
        <v>0</v>
      </c>
      <c r="KT44">
        <v>0</v>
      </c>
      <c r="KU44">
        <v>0</v>
      </c>
      <c r="KV44" s="4">
        <v>0</v>
      </c>
      <c r="KW44">
        <v>0</v>
      </c>
      <c r="KX44">
        <v>1</v>
      </c>
      <c r="KY44" s="4">
        <v>0</v>
      </c>
      <c r="KZ44">
        <v>0</v>
      </c>
      <c r="LA44">
        <v>0</v>
      </c>
      <c r="LB44">
        <v>0</v>
      </c>
      <c r="LC44" s="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1</v>
      </c>
      <c r="LJ44" s="1">
        <v>1</v>
      </c>
      <c r="LK44">
        <v>0</v>
      </c>
      <c r="LL44">
        <v>0</v>
      </c>
      <c r="LM44" s="4">
        <v>0</v>
      </c>
      <c r="LN44">
        <v>0</v>
      </c>
      <c r="LO44">
        <v>0</v>
      </c>
      <c r="LP44">
        <v>0</v>
      </c>
      <c r="LQ44">
        <v>0</v>
      </c>
      <c r="LR44" s="1">
        <v>1</v>
      </c>
      <c r="LS44">
        <v>0</v>
      </c>
      <c r="LT44">
        <v>0</v>
      </c>
      <c r="LU44" s="1">
        <v>1</v>
      </c>
      <c r="LV44">
        <v>0</v>
      </c>
      <c r="LW44">
        <v>0</v>
      </c>
      <c r="LX44">
        <v>1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1</v>
      </c>
      <c r="MM44">
        <v>0</v>
      </c>
      <c r="MN44" s="1">
        <v>1</v>
      </c>
      <c r="MO44">
        <v>0</v>
      </c>
      <c r="MP44">
        <v>0</v>
      </c>
      <c r="MQ44">
        <v>0</v>
      </c>
      <c r="MR44">
        <v>0</v>
      </c>
      <c r="MS44">
        <v>0</v>
      </c>
      <c r="MT44" s="4">
        <v>0</v>
      </c>
      <c r="MU44" s="1">
        <v>1</v>
      </c>
      <c r="MV44">
        <v>0</v>
      </c>
      <c r="MW44">
        <v>0</v>
      </c>
      <c r="MX44">
        <v>0</v>
      </c>
      <c r="MY44">
        <v>1</v>
      </c>
      <c r="MZ44">
        <v>0</v>
      </c>
      <c r="NA44">
        <v>0</v>
      </c>
      <c r="NB44" s="4">
        <v>0</v>
      </c>
      <c r="NC44">
        <v>0</v>
      </c>
      <c r="ND44">
        <v>0</v>
      </c>
      <c r="NE44" s="1">
        <v>1</v>
      </c>
      <c r="NF44">
        <v>0</v>
      </c>
      <c r="NG44">
        <v>0</v>
      </c>
      <c r="NH44">
        <v>0</v>
      </c>
      <c r="NI44">
        <v>0</v>
      </c>
      <c r="NJ44" s="4">
        <v>0</v>
      </c>
      <c r="NK44">
        <v>1</v>
      </c>
      <c r="NL44">
        <v>0</v>
      </c>
      <c r="NM44">
        <v>0</v>
      </c>
      <c r="NN44" s="1">
        <v>1</v>
      </c>
      <c r="NO44">
        <v>1</v>
      </c>
      <c r="NP44">
        <v>0</v>
      </c>
      <c r="NQ44">
        <v>0</v>
      </c>
      <c r="NR44">
        <v>1</v>
      </c>
      <c r="NS44" s="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 s="4">
        <v>0</v>
      </c>
      <c r="NZ44">
        <v>0</v>
      </c>
      <c r="OA44">
        <v>0</v>
      </c>
      <c r="OB44">
        <v>0</v>
      </c>
      <c r="OC44">
        <v>1</v>
      </c>
      <c r="OD44" s="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1</v>
      </c>
      <c r="OL44">
        <v>1</v>
      </c>
      <c r="OM44">
        <v>0</v>
      </c>
      <c r="ON44">
        <v>0</v>
      </c>
      <c r="OO44">
        <v>0</v>
      </c>
      <c r="OP44" s="4">
        <v>0</v>
      </c>
      <c r="OQ44">
        <v>1</v>
      </c>
      <c r="OS44" s="4">
        <f t="shared" si="0"/>
        <v>63</v>
      </c>
      <c r="OT44" s="4">
        <f t="shared" si="1"/>
        <v>63</v>
      </c>
    </row>
    <row r="45" spans="1:410" x14ac:dyDescent="0.3">
      <c r="A45" s="10" t="s">
        <v>657</v>
      </c>
      <c r="B45">
        <v>0</v>
      </c>
      <c r="C45">
        <v>0</v>
      </c>
      <c r="D45">
        <v>0</v>
      </c>
      <c r="E45">
        <v>2</v>
      </c>
      <c r="F45" s="1">
        <v>1</v>
      </c>
      <c r="G45" s="1">
        <v>1</v>
      </c>
      <c r="H45">
        <v>0</v>
      </c>
      <c r="I45">
        <v>0</v>
      </c>
      <c r="J45">
        <v>0</v>
      </c>
      <c r="K45">
        <v>0</v>
      </c>
      <c r="L45" s="1">
        <v>1</v>
      </c>
      <c r="M45">
        <v>0</v>
      </c>
      <c r="N45">
        <v>0</v>
      </c>
      <c r="O45">
        <v>1</v>
      </c>
      <c r="P45">
        <v>0</v>
      </c>
      <c r="Q45" s="1">
        <v>1</v>
      </c>
      <c r="R45" s="1">
        <v>1</v>
      </c>
      <c r="S45">
        <v>0</v>
      </c>
      <c r="T45">
        <v>0</v>
      </c>
      <c r="U45">
        <v>0</v>
      </c>
      <c r="V45" s="1">
        <v>1</v>
      </c>
      <c r="W45">
        <v>0</v>
      </c>
      <c r="X45">
        <v>0</v>
      </c>
      <c r="Y45">
        <v>0</v>
      </c>
      <c r="Z45">
        <v>0</v>
      </c>
      <c r="AA45" s="1">
        <v>1</v>
      </c>
      <c r="AB45" s="1">
        <v>1</v>
      </c>
      <c r="AC45">
        <v>1</v>
      </c>
      <c r="AD45" s="1">
        <v>1</v>
      </c>
      <c r="AE45">
        <v>0</v>
      </c>
      <c r="AF45">
        <v>0</v>
      </c>
      <c r="AG45">
        <v>0</v>
      </c>
      <c r="AH45">
        <v>1</v>
      </c>
      <c r="AI45" s="1">
        <v>1</v>
      </c>
      <c r="AJ45" s="1">
        <v>3</v>
      </c>
      <c r="AK45" s="1">
        <v>1</v>
      </c>
      <c r="AL45" s="1">
        <v>1</v>
      </c>
      <c r="AM45" s="1">
        <v>1</v>
      </c>
      <c r="AN45">
        <v>0</v>
      </c>
      <c r="AO45" s="1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 s="1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s="1">
        <v>1</v>
      </c>
      <c r="BT45">
        <v>0</v>
      </c>
      <c r="BU45" s="4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s="4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 s="4">
        <v>0</v>
      </c>
      <c r="CH45" s="4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 s="1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 s="4">
        <v>0</v>
      </c>
      <c r="DP45">
        <v>0</v>
      </c>
      <c r="DQ45">
        <v>0</v>
      </c>
      <c r="DR45" s="1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 s="4">
        <v>0</v>
      </c>
      <c r="EJ45">
        <v>0</v>
      </c>
      <c r="EK45">
        <v>0</v>
      </c>
      <c r="EL45" s="4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 s="1">
        <v>1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 s="4">
        <v>0</v>
      </c>
      <c r="FS45" s="1">
        <v>1</v>
      </c>
      <c r="FT45">
        <v>0</v>
      </c>
      <c r="FU45">
        <v>1</v>
      </c>
      <c r="FV45">
        <v>1</v>
      </c>
      <c r="FW45">
        <v>0</v>
      </c>
      <c r="FX45" s="4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 s="4">
        <v>0</v>
      </c>
      <c r="GE45">
        <v>1</v>
      </c>
      <c r="GF45">
        <v>0</v>
      </c>
      <c r="GG45">
        <v>1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 s="1">
        <v>1</v>
      </c>
      <c r="GS45">
        <v>0</v>
      </c>
      <c r="GT45">
        <v>0</v>
      </c>
      <c r="GU45">
        <v>0</v>
      </c>
      <c r="GV45">
        <v>0</v>
      </c>
      <c r="GW45">
        <v>0</v>
      </c>
      <c r="GX45" s="1">
        <v>1</v>
      </c>
      <c r="GY45">
        <v>0</v>
      </c>
      <c r="GZ45">
        <v>1</v>
      </c>
      <c r="HA45">
        <v>0</v>
      </c>
      <c r="HB45">
        <v>0</v>
      </c>
      <c r="HC45" s="4">
        <v>0</v>
      </c>
      <c r="HD45">
        <v>0</v>
      </c>
      <c r="HE45">
        <v>0</v>
      </c>
      <c r="HF45">
        <v>0</v>
      </c>
      <c r="HG45">
        <v>0</v>
      </c>
      <c r="HH45" s="4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0</v>
      </c>
      <c r="HT45">
        <v>0</v>
      </c>
      <c r="HU45" s="1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 s="4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1</v>
      </c>
      <c r="IR45" s="4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1</v>
      </c>
      <c r="IY45">
        <v>0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 s="4">
        <v>0</v>
      </c>
      <c r="JL45">
        <v>0</v>
      </c>
      <c r="JM45" s="4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 s="4">
        <v>0</v>
      </c>
      <c r="KB45" s="4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 s="1">
        <v>1</v>
      </c>
      <c r="KJ45">
        <v>0</v>
      </c>
      <c r="KK45">
        <v>0</v>
      </c>
      <c r="KL45">
        <v>0</v>
      </c>
      <c r="KM45">
        <v>1</v>
      </c>
      <c r="KN45">
        <v>0</v>
      </c>
      <c r="KO45">
        <v>0</v>
      </c>
      <c r="KP45">
        <v>0</v>
      </c>
      <c r="KQ45">
        <v>1</v>
      </c>
      <c r="KR45">
        <v>0</v>
      </c>
      <c r="KS45">
        <v>0</v>
      </c>
      <c r="KT45">
        <v>0</v>
      </c>
      <c r="KU45">
        <v>0</v>
      </c>
      <c r="KV45" s="4">
        <v>0</v>
      </c>
      <c r="KW45">
        <v>0</v>
      </c>
      <c r="KX45">
        <v>0</v>
      </c>
      <c r="KY45" s="4">
        <v>0</v>
      </c>
      <c r="KZ45">
        <v>0</v>
      </c>
      <c r="LA45">
        <v>0</v>
      </c>
      <c r="LB45">
        <v>0</v>
      </c>
      <c r="LC45" s="4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1</v>
      </c>
      <c r="LJ45" s="1">
        <v>2</v>
      </c>
      <c r="LK45">
        <v>0</v>
      </c>
      <c r="LL45">
        <v>0</v>
      </c>
      <c r="LM45" s="4">
        <v>0</v>
      </c>
      <c r="LN45">
        <v>0</v>
      </c>
      <c r="LO45">
        <v>0</v>
      </c>
      <c r="LP45">
        <v>0</v>
      </c>
      <c r="LQ45">
        <v>1</v>
      </c>
      <c r="LR45" s="1">
        <v>1</v>
      </c>
      <c r="LS45">
        <v>0</v>
      </c>
      <c r="LT45">
        <v>0</v>
      </c>
      <c r="LU45" s="1">
        <v>1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1</v>
      </c>
      <c r="MK45">
        <v>1</v>
      </c>
      <c r="ML45">
        <v>0</v>
      </c>
      <c r="MM45">
        <v>0</v>
      </c>
      <c r="MN45" s="1">
        <v>1</v>
      </c>
      <c r="MO45">
        <v>0</v>
      </c>
      <c r="MP45">
        <v>0</v>
      </c>
      <c r="MQ45">
        <v>0</v>
      </c>
      <c r="MR45">
        <v>0</v>
      </c>
      <c r="MS45">
        <v>0</v>
      </c>
      <c r="MT45" s="4">
        <v>0</v>
      </c>
      <c r="MU45" s="1">
        <v>2</v>
      </c>
      <c r="MV45">
        <v>0</v>
      </c>
      <c r="MW45">
        <v>0</v>
      </c>
      <c r="MX45">
        <v>0</v>
      </c>
      <c r="MY45">
        <v>0</v>
      </c>
      <c r="MZ45">
        <v>1</v>
      </c>
      <c r="NA45">
        <v>0</v>
      </c>
      <c r="NB45" s="4">
        <v>0</v>
      </c>
      <c r="NC45">
        <v>0</v>
      </c>
      <c r="ND45">
        <v>0</v>
      </c>
      <c r="NE45" s="1">
        <v>1</v>
      </c>
      <c r="NF45">
        <v>0</v>
      </c>
      <c r="NG45">
        <v>0</v>
      </c>
      <c r="NH45">
        <v>0</v>
      </c>
      <c r="NI45">
        <v>0</v>
      </c>
      <c r="NJ45" s="4">
        <v>0</v>
      </c>
      <c r="NK45">
        <v>0</v>
      </c>
      <c r="NL45">
        <v>0</v>
      </c>
      <c r="NM45">
        <v>0</v>
      </c>
      <c r="NN45" s="1">
        <v>1</v>
      </c>
      <c r="NO45">
        <v>0</v>
      </c>
      <c r="NP45">
        <v>0</v>
      </c>
      <c r="NQ45">
        <v>0</v>
      </c>
      <c r="NR45">
        <v>1</v>
      </c>
      <c r="NS45" s="4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 s="4">
        <v>0</v>
      </c>
      <c r="NZ45">
        <v>0</v>
      </c>
      <c r="OA45">
        <v>0</v>
      </c>
      <c r="OB45">
        <v>0</v>
      </c>
      <c r="OC45">
        <v>0</v>
      </c>
      <c r="OD45" s="4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1</v>
      </c>
      <c r="OM45">
        <v>0</v>
      </c>
      <c r="ON45">
        <v>0</v>
      </c>
      <c r="OO45">
        <v>0</v>
      </c>
      <c r="OP45" s="4">
        <v>0</v>
      </c>
      <c r="OQ45">
        <v>1</v>
      </c>
      <c r="OS45" s="4">
        <f t="shared" si="0"/>
        <v>65</v>
      </c>
      <c r="OT45" s="4">
        <f t="shared" si="1"/>
        <v>70</v>
      </c>
    </row>
    <row r="46" spans="1:410" x14ac:dyDescent="0.3">
      <c r="A46" s="10" t="s">
        <v>658</v>
      </c>
      <c r="B46">
        <v>0</v>
      </c>
      <c r="C46">
        <v>0</v>
      </c>
      <c r="D46">
        <v>0</v>
      </c>
      <c r="E46">
        <v>0</v>
      </c>
      <c r="F46" s="1">
        <v>1</v>
      </c>
      <c r="G46" s="1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 s="1">
        <v>1</v>
      </c>
      <c r="R46">
        <v>1</v>
      </c>
      <c r="S46">
        <v>1</v>
      </c>
      <c r="T46">
        <v>0</v>
      </c>
      <c r="U46">
        <v>0</v>
      </c>
      <c r="V46" s="1">
        <v>1</v>
      </c>
      <c r="W46">
        <v>0</v>
      </c>
      <c r="X46">
        <v>0</v>
      </c>
      <c r="Y46">
        <v>1</v>
      </c>
      <c r="Z46">
        <v>0</v>
      </c>
      <c r="AA46" s="1">
        <v>1</v>
      </c>
      <c r="AB46" s="1">
        <v>1</v>
      </c>
      <c r="AC46" s="1">
        <v>0</v>
      </c>
      <c r="AD46" s="1">
        <v>1</v>
      </c>
      <c r="AE46">
        <v>1</v>
      </c>
      <c r="AF46">
        <v>0</v>
      </c>
      <c r="AG46">
        <v>1</v>
      </c>
      <c r="AH46">
        <v>0</v>
      </c>
      <c r="AI46" s="1">
        <v>1</v>
      </c>
      <c r="AJ46" s="1">
        <v>1</v>
      </c>
      <c r="AK46" s="1">
        <v>1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 s="1">
        <v>1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s="1">
        <v>1</v>
      </c>
      <c r="BT46">
        <v>0</v>
      </c>
      <c r="BU46" s="4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s="4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 s="4">
        <v>0</v>
      </c>
      <c r="CH46" s="4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 s="4">
        <v>0</v>
      </c>
      <c r="DP46">
        <v>0</v>
      </c>
      <c r="DQ46">
        <v>0</v>
      </c>
      <c r="DR46" s="1">
        <v>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 s="4">
        <v>0</v>
      </c>
      <c r="EJ46">
        <v>0</v>
      </c>
      <c r="EK46">
        <v>0</v>
      </c>
      <c r="EL46" s="4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 s="1">
        <v>1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 s="4">
        <v>0</v>
      </c>
      <c r="FS46" s="1">
        <v>1</v>
      </c>
      <c r="FT46">
        <v>0</v>
      </c>
      <c r="FU46">
        <v>0</v>
      </c>
      <c r="FV46">
        <v>0</v>
      </c>
      <c r="FW46">
        <v>0</v>
      </c>
      <c r="FX46" s="4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 s="4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 s="1">
        <v>1</v>
      </c>
      <c r="GS46">
        <v>0</v>
      </c>
      <c r="GT46">
        <v>0</v>
      </c>
      <c r="GU46">
        <v>0</v>
      </c>
      <c r="GV46">
        <v>0</v>
      </c>
      <c r="GW46">
        <v>0</v>
      </c>
      <c r="GX46" s="1">
        <v>1</v>
      </c>
      <c r="GY46">
        <v>0</v>
      </c>
      <c r="GZ46">
        <v>0</v>
      </c>
      <c r="HA46">
        <v>0</v>
      </c>
      <c r="HB46">
        <v>0</v>
      </c>
      <c r="HC46" s="4">
        <v>0</v>
      </c>
      <c r="HD46">
        <v>0</v>
      </c>
      <c r="HE46">
        <v>0</v>
      </c>
      <c r="HF46">
        <v>0</v>
      </c>
      <c r="HG46">
        <v>0</v>
      </c>
      <c r="HH46" s="4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 s="1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1</v>
      </c>
      <c r="II46" s="4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1</v>
      </c>
      <c r="IR46" s="4">
        <v>0</v>
      </c>
      <c r="IS46">
        <v>1</v>
      </c>
      <c r="IT46">
        <v>0</v>
      </c>
      <c r="IU46">
        <v>0</v>
      </c>
      <c r="IV46">
        <v>0</v>
      </c>
      <c r="IW46">
        <v>0</v>
      </c>
      <c r="IX46">
        <v>1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1</v>
      </c>
      <c r="JJ46">
        <v>0</v>
      </c>
      <c r="JK46" s="4">
        <v>0</v>
      </c>
      <c r="JL46">
        <v>0</v>
      </c>
      <c r="JM46" s="4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1</v>
      </c>
      <c r="JV46">
        <v>0</v>
      </c>
      <c r="JW46">
        <v>0</v>
      </c>
      <c r="JX46">
        <v>0</v>
      </c>
      <c r="JY46">
        <v>0</v>
      </c>
      <c r="JZ46">
        <v>0</v>
      </c>
      <c r="KA46" s="4">
        <v>0</v>
      </c>
      <c r="KB46" s="4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 s="1">
        <v>1</v>
      </c>
      <c r="KJ46">
        <v>0</v>
      </c>
      <c r="KK46">
        <v>0</v>
      </c>
      <c r="KL46">
        <v>0</v>
      </c>
      <c r="KM46">
        <v>1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 s="4">
        <v>0</v>
      </c>
      <c r="KW46">
        <v>0</v>
      </c>
      <c r="KX46">
        <v>0</v>
      </c>
      <c r="KY46" s="4">
        <v>0</v>
      </c>
      <c r="KZ46">
        <v>0</v>
      </c>
      <c r="LA46">
        <v>0</v>
      </c>
      <c r="LB46">
        <v>0</v>
      </c>
      <c r="LC46" s="4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</v>
      </c>
      <c r="LJ46" s="1">
        <v>2</v>
      </c>
      <c r="LK46">
        <v>0</v>
      </c>
      <c r="LL46">
        <v>0</v>
      </c>
      <c r="LM46" s="4">
        <v>0</v>
      </c>
      <c r="LN46">
        <v>0</v>
      </c>
      <c r="LO46">
        <v>0</v>
      </c>
      <c r="LP46">
        <v>0</v>
      </c>
      <c r="LQ46">
        <v>1</v>
      </c>
      <c r="LR46" s="1">
        <v>1</v>
      </c>
      <c r="LS46">
        <v>0</v>
      </c>
      <c r="LT46">
        <v>0</v>
      </c>
      <c r="LU46" s="1">
        <v>1</v>
      </c>
      <c r="LV46">
        <v>0</v>
      </c>
      <c r="LW46">
        <v>0</v>
      </c>
      <c r="LX46">
        <v>1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 s="1">
        <v>1</v>
      </c>
      <c r="MO46">
        <v>0</v>
      </c>
      <c r="MP46">
        <v>0</v>
      </c>
      <c r="MQ46">
        <v>0</v>
      </c>
      <c r="MR46">
        <v>0</v>
      </c>
      <c r="MS46">
        <v>0</v>
      </c>
      <c r="MT46" s="4">
        <v>0</v>
      </c>
      <c r="MU46" s="1">
        <v>1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 s="4">
        <v>0</v>
      </c>
      <c r="NC46">
        <v>0</v>
      </c>
      <c r="ND46">
        <v>0</v>
      </c>
      <c r="NE46" s="1">
        <v>1</v>
      </c>
      <c r="NF46">
        <v>0</v>
      </c>
      <c r="NG46">
        <v>0</v>
      </c>
      <c r="NH46">
        <v>0</v>
      </c>
      <c r="NI46">
        <v>0</v>
      </c>
      <c r="NJ46" s="4">
        <v>0</v>
      </c>
      <c r="NK46">
        <v>0</v>
      </c>
      <c r="NL46">
        <v>0</v>
      </c>
      <c r="NM46">
        <v>0</v>
      </c>
      <c r="NN46" s="1">
        <v>1</v>
      </c>
      <c r="NO46">
        <v>0</v>
      </c>
      <c r="NP46">
        <v>0</v>
      </c>
      <c r="NQ46">
        <v>0</v>
      </c>
      <c r="NR46">
        <v>0</v>
      </c>
      <c r="NS46" s="4">
        <v>0</v>
      </c>
      <c r="NT46">
        <v>0</v>
      </c>
      <c r="NU46">
        <v>0</v>
      </c>
      <c r="NV46">
        <v>0</v>
      </c>
      <c r="NW46">
        <v>0</v>
      </c>
      <c r="NX46">
        <v>1</v>
      </c>
      <c r="NY46" s="4">
        <v>0</v>
      </c>
      <c r="NZ46">
        <v>0</v>
      </c>
      <c r="OA46">
        <v>0</v>
      </c>
      <c r="OB46">
        <v>0</v>
      </c>
      <c r="OC46">
        <v>0</v>
      </c>
      <c r="OD46" s="4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1</v>
      </c>
      <c r="OL46">
        <v>1</v>
      </c>
      <c r="OM46">
        <v>0</v>
      </c>
      <c r="ON46">
        <v>0</v>
      </c>
      <c r="OO46">
        <v>0</v>
      </c>
      <c r="OP46" s="4">
        <v>0</v>
      </c>
      <c r="OQ46">
        <v>1</v>
      </c>
      <c r="OS46" s="4">
        <f t="shared" si="0"/>
        <v>61</v>
      </c>
      <c r="OT46" s="4">
        <f t="shared" si="1"/>
        <v>64</v>
      </c>
    </row>
    <row r="47" spans="1:410" x14ac:dyDescent="0.3">
      <c r="A47" s="10" t="s">
        <v>659</v>
      </c>
      <c r="B47">
        <v>0</v>
      </c>
      <c r="C47">
        <v>0</v>
      </c>
      <c r="D47">
        <v>0</v>
      </c>
      <c r="E47">
        <v>0</v>
      </c>
      <c r="F47" s="1">
        <v>1</v>
      </c>
      <c r="G47" s="1">
        <v>1</v>
      </c>
      <c r="H47">
        <v>0</v>
      </c>
      <c r="I47">
        <v>0</v>
      </c>
      <c r="J47">
        <v>0</v>
      </c>
      <c r="K47">
        <v>0</v>
      </c>
      <c r="L47" s="1">
        <v>1</v>
      </c>
      <c r="M47">
        <v>0</v>
      </c>
      <c r="N47">
        <v>0</v>
      </c>
      <c r="O47">
        <v>0</v>
      </c>
      <c r="P47">
        <v>0</v>
      </c>
      <c r="Q47" s="1">
        <v>1</v>
      </c>
      <c r="R47" s="1">
        <v>1</v>
      </c>
      <c r="S47">
        <v>0</v>
      </c>
      <c r="T47">
        <v>0</v>
      </c>
      <c r="U47">
        <v>0</v>
      </c>
      <c r="V47" s="1">
        <v>1</v>
      </c>
      <c r="W47">
        <v>0</v>
      </c>
      <c r="X47">
        <v>0</v>
      </c>
      <c r="Y47">
        <v>0</v>
      </c>
      <c r="Z47">
        <v>0</v>
      </c>
      <c r="AA47" s="1">
        <v>1</v>
      </c>
      <c r="AB47" s="1">
        <v>1</v>
      </c>
      <c r="AC47">
        <v>1</v>
      </c>
      <c r="AD47" s="1">
        <v>1</v>
      </c>
      <c r="AE47">
        <v>0</v>
      </c>
      <c r="AF47">
        <v>0</v>
      </c>
      <c r="AG47">
        <v>1</v>
      </c>
      <c r="AH47">
        <v>0</v>
      </c>
      <c r="AI47" s="1">
        <v>1</v>
      </c>
      <c r="AJ47" s="1">
        <v>1</v>
      </c>
      <c r="AK47" s="1">
        <v>1</v>
      </c>
      <c r="AL47">
        <v>0</v>
      </c>
      <c r="AM47">
        <v>0</v>
      </c>
      <c r="AN47">
        <v>1</v>
      </c>
      <c r="AO47" s="1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 s="1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 s="1">
        <v>1</v>
      </c>
      <c r="BT47">
        <v>0</v>
      </c>
      <c r="BU47" s="4">
        <v>0</v>
      </c>
      <c r="BV47">
        <v>0</v>
      </c>
      <c r="BW47">
        <v>0</v>
      </c>
      <c r="BX47">
        <v>0</v>
      </c>
      <c r="BY47">
        <v>3</v>
      </c>
      <c r="BZ47">
        <v>0</v>
      </c>
      <c r="CA47" s="4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 s="4">
        <v>0</v>
      </c>
      <c r="CH47" s="4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 s="1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 s="4">
        <v>0</v>
      </c>
      <c r="DP47">
        <v>0</v>
      </c>
      <c r="DQ47">
        <v>0</v>
      </c>
      <c r="DR47" s="1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 s="4">
        <v>0</v>
      </c>
      <c r="EJ47">
        <v>0</v>
      </c>
      <c r="EK47">
        <v>0</v>
      </c>
      <c r="EL47" s="4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 s="1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 s="4">
        <v>0</v>
      </c>
      <c r="FS47" s="1">
        <v>1</v>
      </c>
      <c r="FT47">
        <v>0</v>
      </c>
      <c r="FU47">
        <v>0</v>
      </c>
      <c r="FV47">
        <v>1</v>
      </c>
      <c r="FW47">
        <v>0</v>
      </c>
      <c r="FX47" s="4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 s="4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 s="1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 s="1">
        <v>1</v>
      </c>
      <c r="GY47">
        <v>0</v>
      </c>
      <c r="GZ47">
        <v>0</v>
      </c>
      <c r="HA47">
        <v>0</v>
      </c>
      <c r="HB47">
        <v>0</v>
      </c>
      <c r="HC47" s="4">
        <v>0</v>
      </c>
      <c r="HD47">
        <v>0</v>
      </c>
      <c r="HE47">
        <v>0</v>
      </c>
      <c r="HF47">
        <v>0</v>
      </c>
      <c r="HG47">
        <v>0</v>
      </c>
      <c r="HH47" s="4">
        <v>0</v>
      </c>
      <c r="HI47">
        <v>0</v>
      </c>
      <c r="HJ47">
        <v>0</v>
      </c>
      <c r="HK47">
        <v>1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 s="1">
        <v>1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 s="4">
        <v>0</v>
      </c>
      <c r="IJ47">
        <v>0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1</v>
      </c>
      <c r="IQ47">
        <v>0</v>
      </c>
      <c r="IR47" s="4">
        <v>0</v>
      </c>
      <c r="IS47">
        <v>1</v>
      </c>
      <c r="IT47">
        <v>0</v>
      </c>
      <c r="IU47">
        <v>0</v>
      </c>
      <c r="IV47">
        <v>0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1</v>
      </c>
      <c r="JJ47">
        <v>1</v>
      </c>
      <c r="JK47" s="4">
        <v>0</v>
      </c>
      <c r="JL47">
        <v>0</v>
      </c>
      <c r="JM47" s="4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 s="4">
        <v>0</v>
      </c>
      <c r="KB47" s="4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 s="1">
        <v>1</v>
      </c>
      <c r="KJ47">
        <v>0</v>
      </c>
      <c r="KK47">
        <v>0</v>
      </c>
      <c r="KL47">
        <v>0</v>
      </c>
      <c r="KM47">
        <v>1</v>
      </c>
      <c r="KN47">
        <v>0</v>
      </c>
      <c r="KO47">
        <v>0</v>
      </c>
      <c r="KP47">
        <v>0</v>
      </c>
      <c r="KQ47">
        <v>1</v>
      </c>
      <c r="KR47">
        <v>0</v>
      </c>
      <c r="KS47">
        <v>0</v>
      </c>
      <c r="KT47">
        <v>0</v>
      </c>
      <c r="KU47">
        <v>0</v>
      </c>
      <c r="KV47" s="4">
        <v>0</v>
      </c>
      <c r="KW47">
        <v>0</v>
      </c>
      <c r="KX47">
        <v>0</v>
      </c>
      <c r="KY47" s="4">
        <v>0</v>
      </c>
      <c r="KZ47">
        <v>0</v>
      </c>
      <c r="LA47">
        <v>1</v>
      </c>
      <c r="LB47">
        <v>0</v>
      </c>
      <c r="LC47" s="4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1</v>
      </c>
      <c r="LJ47" s="1">
        <v>1</v>
      </c>
      <c r="LK47">
        <v>0</v>
      </c>
      <c r="LL47">
        <v>0</v>
      </c>
      <c r="LM47" s="4">
        <v>0</v>
      </c>
      <c r="LN47">
        <v>0</v>
      </c>
      <c r="LO47">
        <v>0</v>
      </c>
      <c r="LP47">
        <v>0</v>
      </c>
      <c r="LQ47">
        <v>0</v>
      </c>
      <c r="LR47" s="1">
        <v>1</v>
      </c>
      <c r="LS47">
        <v>0</v>
      </c>
      <c r="LT47">
        <v>0</v>
      </c>
      <c r="LU47" s="1">
        <v>1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1</v>
      </c>
      <c r="MF47">
        <v>0</v>
      </c>
      <c r="MG47">
        <v>1</v>
      </c>
      <c r="MH47">
        <v>0</v>
      </c>
      <c r="MI47">
        <v>0</v>
      </c>
      <c r="MJ47">
        <v>0</v>
      </c>
      <c r="MK47">
        <v>0</v>
      </c>
      <c r="ML47">
        <v>1</v>
      </c>
      <c r="MM47">
        <v>1</v>
      </c>
      <c r="MN47" s="1">
        <v>1</v>
      </c>
      <c r="MO47">
        <v>0</v>
      </c>
      <c r="MP47">
        <v>0</v>
      </c>
      <c r="MQ47">
        <v>0</v>
      </c>
      <c r="MR47">
        <v>0</v>
      </c>
      <c r="MS47">
        <v>0</v>
      </c>
      <c r="MT47" s="4">
        <v>0</v>
      </c>
      <c r="MU47" s="1">
        <v>1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 s="4">
        <v>0</v>
      </c>
      <c r="NC47">
        <v>0</v>
      </c>
      <c r="ND47">
        <v>0</v>
      </c>
      <c r="NE47" s="1">
        <v>2</v>
      </c>
      <c r="NF47">
        <v>0</v>
      </c>
      <c r="NG47">
        <v>0</v>
      </c>
      <c r="NH47">
        <v>0</v>
      </c>
      <c r="NI47">
        <v>0</v>
      </c>
      <c r="NJ47" s="4">
        <v>0</v>
      </c>
      <c r="NK47">
        <v>0</v>
      </c>
      <c r="NL47">
        <v>0</v>
      </c>
      <c r="NM47">
        <v>0</v>
      </c>
      <c r="NN47" s="1">
        <v>1</v>
      </c>
      <c r="NO47">
        <v>1</v>
      </c>
      <c r="NP47">
        <v>0</v>
      </c>
      <c r="NQ47">
        <v>0</v>
      </c>
      <c r="NR47">
        <v>0</v>
      </c>
      <c r="NS47" s="4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 s="4">
        <v>0</v>
      </c>
      <c r="NZ47">
        <v>0</v>
      </c>
      <c r="OA47">
        <v>0</v>
      </c>
      <c r="OB47">
        <v>0</v>
      </c>
      <c r="OC47">
        <v>0</v>
      </c>
      <c r="OD47" s="4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2</v>
      </c>
      <c r="OM47">
        <v>0</v>
      </c>
      <c r="ON47">
        <v>0</v>
      </c>
      <c r="OO47">
        <v>0</v>
      </c>
      <c r="OP47" s="4">
        <v>0</v>
      </c>
      <c r="OQ47">
        <v>2</v>
      </c>
      <c r="OS47" s="4">
        <f t="shared" si="0"/>
        <v>62</v>
      </c>
      <c r="OT47" s="4">
        <f t="shared" si="1"/>
        <v>67</v>
      </c>
    </row>
    <row r="48" spans="1:410" x14ac:dyDescent="0.3">
      <c r="A48" s="10" t="s">
        <v>660</v>
      </c>
      <c r="B48">
        <v>1</v>
      </c>
      <c r="C48">
        <v>0</v>
      </c>
      <c r="D48">
        <v>0</v>
      </c>
      <c r="E48">
        <v>0</v>
      </c>
      <c r="F48" s="1">
        <v>1</v>
      </c>
      <c r="G48" s="1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">
        <v>1</v>
      </c>
      <c r="R48">
        <v>0</v>
      </c>
      <c r="S48">
        <v>0</v>
      </c>
      <c r="T48">
        <v>0</v>
      </c>
      <c r="U48">
        <v>0</v>
      </c>
      <c r="V48" s="1">
        <v>1</v>
      </c>
      <c r="W48">
        <v>0</v>
      </c>
      <c r="X48">
        <v>0</v>
      </c>
      <c r="Y48">
        <v>0</v>
      </c>
      <c r="Z48">
        <v>0</v>
      </c>
      <c r="AA48" s="1">
        <v>1</v>
      </c>
      <c r="AB48" s="1">
        <v>0</v>
      </c>
      <c r="AC48" s="1">
        <v>0</v>
      </c>
      <c r="AD48" s="1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 s="1">
        <v>7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1">
        <v>1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s="1">
        <v>1</v>
      </c>
      <c r="BT48">
        <v>0</v>
      </c>
      <c r="BU48" s="4">
        <v>0</v>
      </c>
      <c r="BV48">
        <v>0</v>
      </c>
      <c r="BW48">
        <v>0</v>
      </c>
      <c r="BX48">
        <v>0</v>
      </c>
      <c r="BY48">
        <v>2</v>
      </c>
      <c r="BZ48">
        <v>0</v>
      </c>
      <c r="CA48" s="4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 s="4">
        <v>0</v>
      </c>
      <c r="CH48" s="4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 s="4">
        <v>0</v>
      </c>
      <c r="DP48">
        <v>0</v>
      </c>
      <c r="DQ48">
        <v>0</v>
      </c>
      <c r="DR48" s="1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</v>
      </c>
      <c r="EI48" s="4">
        <v>0</v>
      </c>
      <c r="EJ48">
        <v>0</v>
      </c>
      <c r="EK48">
        <v>0</v>
      </c>
      <c r="EL48" s="4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 s="1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 s="4">
        <v>0</v>
      </c>
      <c r="FS48" s="1">
        <v>1</v>
      </c>
      <c r="FT48">
        <v>0</v>
      </c>
      <c r="FU48">
        <v>0</v>
      </c>
      <c r="FV48">
        <v>0</v>
      </c>
      <c r="FW48">
        <v>0</v>
      </c>
      <c r="FX48" s="4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 s="4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 s="1">
        <v>1</v>
      </c>
      <c r="GS48">
        <v>0</v>
      </c>
      <c r="GT48">
        <v>0</v>
      </c>
      <c r="GU48">
        <v>0</v>
      </c>
      <c r="GV48">
        <v>0</v>
      </c>
      <c r="GW48">
        <v>0</v>
      </c>
      <c r="GX48" s="1">
        <v>1</v>
      </c>
      <c r="GY48">
        <v>0</v>
      </c>
      <c r="GZ48">
        <v>0</v>
      </c>
      <c r="HA48">
        <v>0</v>
      </c>
      <c r="HB48">
        <v>0</v>
      </c>
      <c r="HC48" s="4">
        <v>0</v>
      </c>
      <c r="HD48">
        <v>0</v>
      </c>
      <c r="HE48">
        <v>0</v>
      </c>
      <c r="HF48">
        <v>0</v>
      </c>
      <c r="HG48">
        <v>0</v>
      </c>
      <c r="HH48" s="4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0</v>
      </c>
      <c r="HS48">
        <v>0</v>
      </c>
      <c r="HT48">
        <v>0</v>
      </c>
      <c r="HU48" s="1">
        <v>1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 s="4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</v>
      </c>
      <c r="IR48" s="4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</v>
      </c>
      <c r="JJ48">
        <v>0</v>
      </c>
      <c r="JK48" s="4">
        <v>0</v>
      </c>
      <c r="JL48">
        <v>0</v>
      </c>
      <c r="JM48" s="4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1</v>
      </c>
      <c r="JV48">
        <v>0</v>
      </c>
      <c r="JW48">
        <v>0</v>
      </c>
      <c r="JX48">
        <v>0</v>
      </c>
      <c r="JY48">
        <v>0</v>
      </c>
      <c r="JZ48">
        <v>0</v>
      </c>
      <c r="KA48" s="4">
        <v>0</v>
      </c>
      <c r="KB48" s="4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 s="1">
        <v>1</v>
      </c>
      <c r="KJ48">
        <v>0</v>
      </c>
      <c r="KK48">
        <v>0</v>
      </c>
      <c r="KL48">
        <v>0</v>
      </c>
      <c r="KM48">
        <v>1</v>
      </c>
      <c r="KN48">
        <v>0</v>
      </c>
      <c r="KO48">
        <v>0</v>
      </c>
      <c r="KP48">
        <v>0</v>
      </c>
      <c r="KQ48">
        <v>1</v>
      </c>
      <c r="KR48">
        <v>0</v>
      </c>
      <c r="KS48">
        <v>0</v>
      </c>
      <c r="KT48">
        <v>0</v>
      </c>
      <c r="KU48">
        <v>0</v>
      </c>
      <c r="KV48" s="4">
        <v>0</v>
      </c>
      <c r="KW48">
        <v>0</v>
      </c>
      <c r="KX48">
        <v>1</v>
      </c>
      <c r="KY48" s="4">
        <v>0</v>
      </c>
      <c r="KZ48">
        <v>0</v>
      </c>
      <c r="LA48">
        <v>0</v>
      </c>
      <c r="LB48">
        <v>0</v>
      </c>
      <c r="LC48" s="4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 s="1">
        <v>1</v>
      </c>
      <c r="LK48">
        <v>0</v>
      </c>
      <c r="LL48">
        <v>0</v>
      </c>
      <c r="LM48" s="4">
        <v>0</v>
      </c>
      <c r="LN48">
        <v>0</v>
      </c>
      <c r="LO48">
        <v>0</v>
      </c>
      <c r="LP48">
        <v>0</v>
      </c>
      <c r="LQ48">
        <v>0</v>
      </c>
      <c r="LR48" s="1">
        <v>1</v>
      </c>
      <c r="LS48">
        <v>0</v>
      </c>
      <c r="LT48">
        <v>0</v>
      </c>
      <c r="LU48" s="1">
        <v>1</v>
      </c>
      <c r="LV48">
        <v>0</v>
      </c>
      <c r="LW48">
        <v>0</v>
      </c>
      <c r="LX48">
        <v>1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1</v>
      </c>
      <c r="MM48">
        <v>0</v>
      </c>
      <c r="MN48" s="1">
        <v>1</v>
      </c>
      <c r="MO48">
        <v>0</v>
      </c>
      <c r="MP48">
        <v>0</v>
      </c>
      <c r="MQ48">
        <v>0</v>
      </c>
      <c r="MR48">
        <v>0</v>
      </c>
      <c r="MS48">
        <v>0</v>
      </c>
      <c r="MT48" s="4">
        <v>0</v>
      </c>
      <c r="MU48" s="1">
        <v>1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 s="4">
        <v>0</v>
      </c>
      <c r="NC48">
        <v>0</v>
      </c>
      <c r="ND48">
        <v>0</v>
      </c>
      <c r="NE48" s="1">
        <v>1</v>
      </c>
      <c r="NF48">
        <v>0</v>
      </c>
      <c r="NG48">
        <v>0</v>
      </c>
      <c r="NH48">
        <v>0</v>
      </c>
      <c r="NI48">
        <v>0</v>
      </c>
      <c r="NJ48" s="4">
        <v>0</v>
      </c>
      <c r="NK48">
        <v>0</v>
      </c>
      <c r="NL48">
        <v>0</v>
      </c>
      <c r="NM48">
        <v>0</v>
      </c>
      <c r="NN48" s="1">
        <v>1</v>
      </c>
      <c r="NO48">
        <v>0</v>
      </c>
      <c r="NP48">
        <v>0</v>
      </c>
      <c r="NQ48">
        <v>0</v>
      </c>
      <c r="NR48">
        <v>0</v>
      </c>
      <c r="NS48" s="4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 s="4">
        <v>0</v>
      </c>
      <c r="NZ48">
        <v>0</v>
      </c>
      <c r="OA48">
        <v>0</v>
      </c>
      <c r="OB48">
        <v>0</v>
      </c>
      <c r="OC48">
        <v>0</v>
      </c>
      <c r="OD48" s="4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1</v>
      </c>
      <c r="OL48">
        <v>1</v>
      </c>
      <c r="OM48">
        <v>0</v>
      </c>
      <c r="ON48">
        <v>1</v>
      </c>
      <c r="OO48">
        <v>0</v>
      </c>
      <c r="OP48" s="4">
        <v>0</v>
      </c>
      <c r="OQ48">
        <v>1</v>
      </c>
      <c r="OS48" s="4">
        <f t="shared" si="0"/>
        <v>46</v>
      </c>
      <c r="OT48" s="4">
        <f t="shared" si="1"/>
        <v>57</v>
      </c>
    </row>
    <row r="49" spans="1:410" x14ac:dyDescent="0.3">
      <c r="A49" s="10" t="s">
        <v>661</v>
      </c>
      <c r="B49">
        <v>1</v>
      </c>
      <c r="C49">
        <v>0</v>
      </c>
      <c r="D49">
        <v>0</v>
      </c>
      <c r="E49">
        <v>0</v>
      </c>
      <c r="F49" s="1">
        <v>1</v>
      </c>
      <c r="G49" s="1">
        <v>1</v>
      </c>
      <c r="H49">
        <v>0</v>
      </c>
      <c r="I49">
        <v>0</v>
      </c>
      <c r="J49">
        <v>0</v>
      </c>
      <c r="K49">
        <v>0</v>
      </c>
      <c r="L49" s="1">
        <v>1</v>
      </c>
      <c r="M49">
        <v>0</v>
      </c>
      <c r="N49">
        <v>1</v>
      </c>
      <c r="O49">
        <v>0</v>
      </c>
      <c r="P49">
        <v>0</v>
      </c>
      <c r="Q49" s="1">
        <v>1</v>
      </c>
      <c r="R49" s="1">
        <v>1</v>
      </c>
      <c r="S49">
        <v>0</v>
      </c>
      <c r="T49">
        <v>0</v>
      </c>
      <c r="U49">
        <v>0</v>
      </c>
      <c r="V49" s="1">
        <v>1</v>
      </c>
      <c r="W49">
        <v>0</v>
      </c>
      <c r="X49">
        <v>1</v>
      </c>
      <c r="Y49">
        <v>0</v>
      </c>
      <c r="Z49">
        <v>0</v>
      </c>
      <c r="AA49" s="1">
        <v>1</v>
      </c>
      <c r="AB49" s="1">
        <v>1</v>
      </c>
      <c r="AC49" s="1">
        <v>0</v>
      </c>
      <c r="AD49" s="1">
        <v>1</v>
      </c>
      <c r="AE49">
        <v>0</v>
      </c>
      <c r="AF49">
        <v>0</v>
      </c>
      <c r="AG49">
        <v>0</v>
      </c>
      <c r="AH49">
        <v>1</v>
      </c>
      <c r="AI49" s="1">
        <v>1</v>
      </c>
      <c r="AJ49" s="1">
        <v>2</v>
      </c>
      <c r="AK49" s="1">
        <v>1</v>
      </c>
      <c r="AL49">
        <v>0</v>
      </c>
      <c r="AM49">
        <v>0</v>
      </c>
      <c r="AN49">
        <v>0</v>
      </c>
      <c r="AO49" s="1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 s="1">
        <v>1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s="1">
        <v>1</v>
      </c>
      <c r="BT49">
        <v>0</v>
      </c>
      <c r="BU49" s="4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 s="4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 s="4">
        <v>0</v>
      </c>
      <c r="CH49" s="4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 s="1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 s="4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 s="4">
        <v>0</v>
      </c>
      <c r="EJ49">
        <v>0</v>
      </c>
      <c r="EK49">
        <v>0</v>
      </c>
      <c r="EL49" s="4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 s="1">
        <v>1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 s="4">
        <v>0</v>
      </c>
      <c r="FS49" s="1">
        <v>1</v>
      </c>
      <c r="FT49">
        <v>0</v>
      </c>
      <c r="FU49">
        <v>0</v>
      </c>
      <c r="FV49">
        <v>1</v>
      </c>
      <c r="FW49">
        <v>0</v>
      </c>
      <c r="FX49" s="4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 s="4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 s="1">
        <v>1</v>
      </c>
      <c r="GS49">
        <v>0</v>
      </c>
      <c r="GT49">
        <v>0</v>
      </c>
      <c r="GU49">
        <v>0</v>
      </c>
      <c r="GV49">
        <v>0</v>
      </c>
      <c r="GW49">
        <v>0</v>
      </c>
      <c r="GX49" s="1">
        <v>1</v>
      </c>
      <c r="GY49">
        <v>0</v>
      </c>
      <c r="GZ49">
        <v>1</v>
      </c>
      <c r="HA49">
        <v>0</v>
      </c>
      <c r="HB49">
        <v>0</v>
      </c>
      <c r="HC49" s="4">
        <v>0</v>
      </c>
      <c r="HD49">
        <v>0</v>
      </c>
      <c r="HE49">
        <v>0</v>
      </c>
      <c r="HF49">
        <v>0</v>
      </c>
      <c r="HG49">
        <v>0</v>
      </c>
      <c r="HH49" s="4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 s="1">
        <v>1</v>
      </c>
      <c r="HV49">
        <v>1</v>
      </c>
      <c r="HW49">
        <v>1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 s="4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 s="4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</v>
      </c>
      <c r="IY49">
        <v>0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 s="4">
        <v>0</v>
      </c>
      <c r="JL49">
        <v>0</v>
      </c>
      <c r="JM49" s="4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1</v>
      </c>
      <c r="JV49">
        <v>0</v>
      </c>
      <c r="JW49">
        <v>1</v>
      </c>
      <c r="JX49">
        <v>0</v>
      </c>
      <c r="JY49">
        <v>0</v>
      </c>
      <c r="JZ49">
        <v>0</v>
      </c>
      <c r="KA49" s="4">
        <v>0</v>
      </c>
      <c r="KB49" s="4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 s="1">
        <v>1</v>
      </c>
      <c r="KJ49">
        <v>0</v>
      </c>
      <c r="KK49">
        <v>0</v>
      </c>
      <c r="KL49">
        <v>0</v>
      </c>
      <c r="KM49">
        <v>1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1</v>
      </c>
      <c r="KU49">
        <v>0</v>
      </c>
      <c r="KV49" s="4">
        <v>0</v>
      </c>
      <c r="KW49">
        <v>0</v>
      </c>
      <c r="KX49">
        <v>1</v>
      </c>
      <c r="KY49" s="4">
        <v>0</v>
      </c>
      <c r="KZ49">
        <v>0</v>
      </c>
      <c r="LA49">
        <v>0</v>
      </c>
      <c r="LB49">
        <v>0</v>
      </c>
      <c r="LC49" s="4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1</v>
      </c>
      <c r="LJ49" s="1">
        <v>1</v>
      </c>
      <c r="LK49">
        <v>0</v>
      </c>
      <c r="LL49">
        <v>0</v>
      </c>
      <c r="LM49" s="4">
        <v>0</v>
      </c>
      <c r="LN49">
        <v>0</v>
      </c>
      <c r="LO49">
        <v>0</v>
      </c>
      <c r="LP49">
        <v>0</v>
      </c>
      <c r="LQ49">
        <v>0</v>
      </c>
      <c r="LR49" s="1">
        <v>1</v>
      </c>
      <c r="LS49">
        <v>0</v>
      </c>
      <c r="LT49">
        <v>0</v>
      </c>
      <c r="LU49" s="1">
        <v>1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1</v>
      </c>
      <c r="MF49">
        <v>0</v>
      </c>
      <c r="MG49">
        <v>1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 s="1">
        <v>1</v>
      </c>
      <c r="MO49">
        <v>0</v>
      </c>
      <c r="MP49">
        <v>0</v>
      </c>
      <c r="MQ49">
        <v>0</v>
      </c>
      <c r="MR49">
        <v>0</v>
      </c>
      <c r="MS49">
        <v>0</v>
      </c>
      <c r="MT49" s="4">
        <v>0</v>
      </c>
      <c r="MU49" s="1">
        <v>1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 s="4">
        <v>0</v>
      </c>
      <c r="NC49">
        <v>0</v>
      </c>
      <c r="ND49">
        <v>0</v>
      </c>
      <c r="NE49" s="1">
        <v>1</v>
      </c>
      <c r="NF49">
        <v>0</v>
      </c>
      <c r="NG49">
        <v>0</v>
      </c>
      <c r="NH49">
        <v>0</v>
      </c>
      <c r="NI49">
        <v>0</v>
      </c>
      <c r="NJ49" s="4">
        <v>0</v>
      </c>
      <c r="NK49">
        <v>0</v>
      </c>
      <c r="NL49">
        <v>0</v>
      </c>
      <c r="NM49">
        <v>0</v>
      </c>
      <c r="NN49" s="1">
        <v>1</v>
      </c>
      <c r="NO49">
        <v>0</v>
      </c>
      <c r="NP49">
        <v>0</v>
      </c>
      <c r="NQ49">
        <v>0</v>
      </c>
      <c r="NR49">
        <v>1</v>
      </c>
      <c r="NS49" s="4">
        <v>0</v>
      </c>
      <c r="NT49">
        <v>0</v>
      </c>
      <c r="NU49">
        <v>0</v>
      </c>
      <c r="NV49">
        <v>0</v>
      </c>
      <c r="NW49">
        <v>0</v>
      </c>
      <c r="NX49">
        <v>1</v>
      </c>
      <c r="NY49" s="4">
        <v>0</v>
      </c>
      <c r="NZ49">
        <v>0</v>
      </c>
      <c r="OA49">
        <v>0</v>
      </c>
      <c r="OB49">
        <v>0</v>
      </c>
      <c r="OC49">
        <v>0</v>
      </c>
      <c r="OD49" s="4">
        <v>0</v>
      </c>
      <c r="OE49">
        <v>0</v>
      </c>
      <c r="OF49">
        <v>0</v>
      </c>
      <c r="OG49">
        <v>0</v>
      </c>
      <c r="OH49">
        <v>0</v>
      </c>
      <c r="OI49">
        <v>1</v>
      </c>
      <c r="OJ49">
        <v>0</v>
      </c>
      <c r="OK49">
        <v>1</v>
      </c>
      <c r="OL49">
        <v>2</v>
      </c>
      <c r="OM49">
        <v>0</v>
      </c>
      <c r="ON49">
        <v>0</v>
      </c>
      <c r="OO49">
        <v>0</v>
      </c>
      <c r="OP49" s="4">
        <v>0</v>
      </c>
      <c r="OQ49">
        <v>0</v>
      </c>
      <c r="OS49" s="4">
        <f t="shared" si="0"/>
        <v>65</v>
      </c>
      <c r="OT49" s="4">
        <f t="shared" si="1"/>
        <v>67</v>
      </c>
    </row>
    <row r="50" spans="1:410" x14ac:dyDescent="0.3">
      <c r="A50" s="10" t="s">
        <v>662</v>
      </c>
      <c r="B50">
        <v>0</v>
      </c>
      <c r="C50">
        <v>0</v>
      </c>
      <c r="D50">
        <v>0</v>
      </c>
      <c r="E50">
        <v>0</v>
      </c>
      <c r="F50" s="1">
        <v>1</v>
      </c>
      <c r="G50" s="1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">
        <v>1</v>
      </c>
      <c r="R50">
        <v>1</v>
      </c>
      <c r="S50">
        <v>0</v>
      </c>
      <c r="T50">
        <v>0</v>
      </c>
      <c r="U50">
        <v>0</v>
      </c>
      <c r="V50" s="1">
        <v>1</v>
      </c>
      <c r="W50">
        <v>0</v>
      </c>
      <c r="X50">
        <v>1</v>
      </c>
      <c r="Y50">
        <v>0</v>
      </c>
      <c r="Z50">
        <v>0</v>
      </c>
      <c r="AA50" s="1">
        <v>1</v>
      </c>
      <c r="AB50">
        <v>0</v>
      </c>
      <c r="AC50">
        <v>0</v>
      </c>
      <c r="AD50" s="1">
        <v>1</v>
      </c>
      <c r="AE50">
        <v>0</v>
      </c>
      <c r="AF50">
        <v>0</v>
      </c>
      <c r="AG50">
        <v>0</v>
      </c>
      <c r="AH50">
        <v>0</v>
      </c>
      <c r="AI50" s="1">
        <v>1</v>
      </c>
      <c r="AJ50" s="1">
        <v>1</v>
      </c>
      <c r="AK50" s="1">
        <v>1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 s="1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s="1">
        <v>1</v>
      </c>
      <c r="BT50">
        <v>0</v>
      </c>
      <c r="BU50" s="4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s="4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 s="4">
        <v>0</v>
      </c>
      <c r="CH50" s="4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 s="1">
        <v>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 s="4">
        <v>0</v>
      </c>
      <c r="DP50">
        <v>0</v>
      </c>
      <c r="DQ50">
        <v>1</v>
      </c>
      <c r="DR50" s="1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 s="4">
        <v>0</v>
      </c>
      <c r="EJ50">
        <v>0</v>
      </c>
      <c r="EK50">
        <v>0</v>
      </c>
      <c r="EL50" s="4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 s="1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 s="4">
        <v>0</v>
      </c>
      <c r="FS50" s="1">
        <v>1</v>
      </c>
      <c r="FT50">
        <v>0</v>
      </c>
      <c r="FU50">
        <v>0</v>
      </c>
      <c r="FV50">
        <v>0</v>
      </c>
      <c r="FW50">
        <v>0</v>
      </c>
      <c r="FX50" s="4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 s="4">
        <v>0</v>
      </c>
      <c r="GE50">
        <v>0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 s="1">
        <v>1</v>
      </c>
      <c r="GS50">
        <v>0</v>
      </c>
      <c r="GT50">
        <v>0</v>
      </c>
      <c r="GU50">
        <v>0</v>
      </c>
      <c r="GV50">
        <v>0</v>
      </c>
      <c r="GW50">
        <v>0</v>
      </c>
      <c r="GX50" s="1">
        <v>1</v>
      </c>
      <c r="GY50">
        <v>0</v>
      </c>
      <c r="GZ50">
        <v>0</v>
      </c>
      <c r="HA50">
        <v>0</v>
      </c>
      <c r="HB50">
        <v>2</v>
      </c>
      <c r="HC50" s="4">
        <v>0</v>
      </c>
      <c r="HD50">
        <v>0</v>
      </c>
      <c r="HE50">
        <v>0</v>
      </c>
      <c r="HF50">
        <v>0</v>
      </c>
      <c r="HG50">
        <v>0</v>
      </c>
      <c r="HH50" s="4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 s="1">
        <v>1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 s="4">
        <v>0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1</v>
      </c>
      <c r="IQ50">
        <v>0</v>
      </c>
      <c r="IR50" s="4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 s="4">
        <v>0</v>
      </c>
      <c r="JL50">
        <v>0</v>
      </c>
      <c r="JM50" s="4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 s="4">
        <v>0</v>
      </c>
      <c r="KB50" s="4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 s="1">
        <v>1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0</v>
      </c>
      <c r="KP50">
        <v>0</v>
      </c>
      <c r="KQ50">
        <v>1</v>
      </c>
      <c r="KR50">
        <v>0</v>
      </c>
      <c r="KS50">
        <v>0</v>
      </c>
      <c r="KT50">
        <v>0</v>
      </c>
      <c r="KU50">
        <v>0</v>
      </c>
      <c r="KV50" s="4">
        <v>0</v>
      </c>
      <c r="KW50">
        <v>0</v>
      </c>
      <c r="KX50">
        <v>0</v>
      </c>
      <c r="KY50" s="4">
        <v>0</v>
      </c>
      <c r="KZ50">
        <v>0</v>
      </c>
      <c r="LA50">
        <v>0</v>
      </c>
      <c r="LB50">
        <v>0</v>
      </c>
      <c r="LC50" s="4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1</v>
      </c>
      <c r="LJ50" s="1">
        <v>1</v>
      </c>
      <c r="LK50">
        <v>0</v>
      </c>
      <c r="LL50">
        <v>0</v>
      </c>
      <c r="LM50" s="4">
        <v>0</v>
      </c>
      <c r="LN50">
        <v>0</v>
      </c>
      <c r="LO50">
        <v>0</v>
      </c>
      <c r="LP50">
        <v>0</v>
      </c>
      <c r="LQ50">
        <v>1</v>
      </c>
      <c r="LR50" s="1">
        <v>1</v>
      </c>
      <c r="LS50">
        <v>0</v>
      </c>
      <c r="LT50">
        <v>0</v>
      </c>
      <c r="LU50" s="1">
        <v>1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1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 s="1">
        <v>1</v>
      </c>
      <c r="MO50">
        <v>0</v>
      </c>
      <c r="MP50">
        <v>0</v>
      </c>
      <c r="MQ50">
        <v>0</v>
      </c>
      <c r="MR50">
        <v>0</v>
      </c>
      <c r="MS50">
        <v>0</v>
      </c>
      <c r="MT50" s="4">
        <v>0</v>
      </c>
      <c r="MU50" s="1">
        <v>1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 s="4">
        <v>0</v>
      </c>
      <c r="NC50">
        <v>0</v>
      </c>
      <c r="ND50">
        <v>0</v>
      </c>
      <c r="NE50" s="1">
        <v>1</v>
      </c>
      <c r="NF50">
        <v>0</v>
      </c>
      <c r="NG50">
        <v>0</v>
      </c>
      <c r="NH50">
        <v>0</v>
      </c>
      <c r="NI50">
        <v>0</v>
      </c>
      <c r="NJ50" s="4">
        <v>0</v>
      </c>
      <c r="NK50">
        <v>0</v>
      </c>
      <c r="NL50">
        <v>0</v>
      </c>
      <c r="NM50">
        <v>0</v>
      </c>
      <c r="NN50" s="1">
        <v>1</v>
      </c>
      <c r="NO50">
        <v>0</v>
      </c>
      <c r="NP50">
        <v>0</v>
      </c>
      <c r="NQ50">
        <v>0</v>
      </c>
      <c r="NR50">
        <v>0</v>
      </c>
      <c r="NS50" s="4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 s="4">
        <v>0</v>
      </c>
      <c r="NZ50">
        <v>0</v>
      </c>
      <c r="OA50">
        <v>0</v>
      </c>
      <c r="OB50">
        <v>0</v>
      </c>
      <c r="OC50">
        <v>0</v>
      </c>
      <c r="OD50" s="4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1</v>
      </c>
      <c r="OL50">
        <v>2</v>
      </c>
      <c r="OM50">
        <v>0</v>
      </c>
      <c r="ON50">
        <v>1</v>
      </c>
      <c r="OO50">
        <v>0</v>
      </c>
      <c r="OP50" s="4">
        <v>0</v>
      </c>
      <c r="OQ50">
        <v>0</v>
      </c>
      <c r="OS50" s="4">
        <f t="shared" si="0"/>
        <v>54</v>
      </c>
      <c r="OT50" s="4">
        <f t="shared" si="1"/>
        <v>56</v>
      </c>
    </row>
    <row r="51" spans="1:410" x14ac:dyDescent="0.3">
      <c r="A51" s="10" t="s">
        <v>663</v>
      </c>
      <c r="B51">
        <v>1</v>
      </c>
      <c r="C51">
        <v>0</v>
      </c>
      <c r="D51">
        <v>0</v>
      </c>
      <c r="E51">
        <v>1</v>
      </c>
      <c r="F51" s="1">
        <v>1</v>
      </c>
      <c r="G51" s="1">
        <v>1</v>
      </c>
      <c r="H51">
        <v>1</v>
      </c>
      <c r="I51">
        <v>0</v>
      </c>
      <c r="J51">
        <v>0</v>
      </c>
      <c r="K51">
        <v>0</v>
      </c>
      <c r="L51" s="1">
        <v>1</v>
      </c>
      <c r="M51">
        <v>0</v>
      </c>
      <c r="N51">
        <v>1</v>
      </c>
      <c r="O51">
        <v>0</v>
      </c>
      <c r="P51">
        <v>1</v>
      </c>
      <c r="Q51" s="1">
        <v>1</v>
      </c>
      <c r="R51" s="1">
        <v>1</v>
      </c>
      <c r="S51">
        <v>0</v>
      </c>
      <c r="T51">
        <v>0</v>
      </c>
      <c r="U51">
        <v>0</v>
      </c>
      <c r="V51" s="1">
        <v>1</v>
      </c>
      <c r="W51">
        <v>0</v>
      </c>
      <c r="X51">
        <v>1</v>
      </c>
      <c r="Y51">
        <v>0</v>
      </c>
      <c r="Z51">
        <v>0</v>
      </c>
      <c r="AA51" s="1">
        <v>1</v>
      </c>
      <c r="AB51">
        <v>0</v>
      </c>
      <c r="AC51">
        <v>0</v>
      </c>
      <c r="AD51" s="1">
        <v>1</v>
      </c>
      <c r="AE51">
        <v>1</v>
      </c>
      <c r="AF51">
        <v>0</v>
      </c>
      <c r="AG51">
        <v>1</v>
      </c>
      <c r="AH51">
        <v>0</v>
      </c>
      <c r="AI51" s="1">
        <v>1</v>
      </c>
      <c r="AJ51" s="1">
        <v>2</v>
      </c>
      <c r="AK51" s="1">
        <v>1</v>
      </c>
      <c r="AL51">
        <v>0</v>
      </c>
      <c r="AM51">
        <v>0</v>
      </c>
      <c r="AN51">
        <v>1</v>
      </c>
      <c r="AO51" s="1">
        <v>1</v>
      </c>
      <c r="AP51">
        <v>0</v>
      </c>
      <c r="AQ51">
        <v>1</v>
      </c>
      <c r="AR51">
        <v>1</v>
      </c>
      <c r="AS51">
        <v>0</v>
      </c>
      <c r="AT51">
        <v>0</v>
      </c>
      <c r="AU51" s="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 s="1">
        <v>1</v>
      </c>
      <c r="BT51">
        <v>0</v>
      </c>
      <c r="BU51" s="4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4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 s="4">
        <v>0</v>
      </c>
      <c r="CH51" s="4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 s="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 s="4">
        <v>0</v>
      </c>
      <c r="DP51">
        <v>0</v>
      </c>
      <c r="DQ51">
        <v>0</v>
      </c>
      <c r="DR51" s="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 s="4">
        <v>0</v>
      </c>
      <c r="EJ51">
        <v>0</v>
      </c>
      <c r="EK51">
        <v>0</v>
      </c>
      <c r="EL51" s="4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 s="1">
        <v>1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 s="4">
        <v>0</v>
      </c>
      <c r="FS51" s="1">
        <v>1</v>
      </c>
      <c r="FT51">
        <v>0</v>
      </c>
      <c r="FU51">
        <v>0</v>
      </c>
      <c r="FV51">
        <v>1</v>
      </c>
      <c r="FW51">
        <v>0</v>
      </c>
      <c r="FX51" s="4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 s="4">
        <v>0</v>
      </c>
      <c r="GE51">
        <v>0</v>
      </c>
      <c r="GF51">
        <v>0</v>
      </c>
      <c r="GG51">
        <v>1</v>
      </c>
      <c r="GH51">
        <v>0</v>
      </c>
      <c r="GI51">
        <v>1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0</v>
      </c>
      <c r="GQ51">
        <v>0</v>
      </c>
      <c r="GR51" s="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 s="1">
        <v>1</v>
      </c>
      <c r="GY51">
        <v>0</v>
      </c>
      <c r="GZ51">
        <v>1</v>
      </c>
      <c r="HA51">
        <v>0</v>
      </c>
      <c r="HB51">
        <v>0</v>
      </c>
      <c r="HC51" s="4">
        <v>0</v>
      </c>
      <c r="HD51">
        <v>0</v>
      </c>
      <c r="HE51">
        <v>0</v>
      </c>
      <c r="HF51">
        <v>0</v>
      </c>
      <c r="HG51">
        <v>0</v>
      </c>
      <c r="HH51" s="4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1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1</v>
      </c>
      <c r="IG51">
        <v>0</v>
      </c>
      <c r="IH51">
        <v>0</v>
      </c>
      <c r="II51" s="4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  <c r="IQ51">
        <v>1</v>
      </c>
      <c r="IR51" s="4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1</v>
      </c>
      <c r="JK51" s="4">
        <v>0</v>
      </c>
      <c r="JL51">
        <v>0</v>
      </c>
      <c r="JM51" s="4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</v>
      </c>
      <c r="JV51">
        <v>0</v>
      </c>
      <c r="JW51">
        <v>1</v>
      </c>
      <c r="JX51">
        <v>0</v>
      </c>
      <c r="JY51">
        <v>0</v>
      </c>
      <c r="JZ51">
        <v>0</v>
      </c>
      <c r="KA51" s="4">
        <v>0</v>
      </c>
      <c r="KB51" s="4">
        <v>0</v>
      </c>
      <c r="KC51">
        <v>0</v>
      </c>
      <c r="KD51">
        <v>1</v>
      </c>
      <c r="KE51">
        <v>0</v>
      </c>
      <c r="KF51">
        <v>0</v>
      </c>
      <c r="KG51">
        <v>0</v>
      </c>
      <c r="KH51">
        <v>0</v>
      </c>
      <c r="KI51" s="1">
        <v>1</v>
      </c>
      <c r="KJ51">
        <v>0</v>
      </c>
      <c r="KK51">
        <v>2</v>
      </c>
      <c r="KL51">
        <v>1</v>
      </c>
      <c r="KM51">
        <v>1</v>
      </c>
      <c r="KN51">
        <v>1</v>
      </c>
      <c r="KO51">
        <v>0</v>
      </c>
      <c r="KP51">
        <v>0</v>
      </c>
      <c r="KQ51">
        <v>1</v>
      </c>
      <c r="KR51">
        <v>0</v>
      </c>
      <c r="KS51">
        <v>0</v>
      </c>
      <c r="KT51">
        <v>0</v>
      </c>
      <c r="KU51">
        <v>0</v>
      </c>
      <c r="KV51" s="4">
        <v>0</v>
      </c>
      <c r="KW51">
        <v>0</v>
      </c>
      <c r="KX51">
        <v>1</v>
      </c>
      <c r="KY51" s="4">
        <v>0</v>
      </c>
      <c r="KZ51">
        <v>0</v>
      </c>
      <c r="LA51">
        <v>0</v>
      </c>
      <c r="LB51">
        <v>0</v>
      </c>
      <c r="LC51" s="4">
        <v>0</v>
      </c>
      <c r="LD51">
        <v>0</v>
      </c>
      <c r="LE51">
        <v>0</v>
      </c>
      <c r="LF51">
        <v>0</v>
      </c>
      <c r="LG51">
        <v>1</v>
      </c>
      <c r="LH51">
        <v>0</v>
      </c>
      <c r="LI51">
        <v>1</v>
      </c>
      <c r="LJ51" s="1">
        <v>1</v>
      </c>
      <c r="LK51">
        <v>1</v>
      </c>
      <c r="LL51">
        <v>0</v>
      </c>
      <c r="LM51" s="4">
        <v>0</v>
      </c>
      <c r="LN51">
        <v>0</v>
      </c>
      <c r="LO51">
        <v>0</v>
      </c>
      <c r="LP51">
        <v>0</v>
      </c>
      <c r="LQ51">
        <v>1</v>
      </c>
      <c r="LR51" s="1">
        <v>1</v>
      </c>
      <c r="LS51">
        <v>0</v>
      </c>
      <c r="LT51">
        <v>1</v>
      </c>
      <c r="LU51" s="1">
        <v>1</v>
      </c>
      <c r="LV51">
        <v>0</v>
      </c>
      <c r="LW51">
        <v>0</v>
      </c>
      <c r="LX51">
        <v>1</v>
      </c>
      <c r="LY51">
        <v>0</v>
      </c>
      <c r="LZ51">
        <v>0</v>
      </c>
      <c r="MA51">
        <v>1</v>
      </c>
      <c r="MB51">
        <v>0</v>
      </c>
      <c r="MC51">
        <v>0</v>
      </c>
      <c r="MD51">
        <v>0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1</v>
      </c>
      <c r="MM51">
        <v>0</v>
      </c>
      <c r="MN51" s="1">
        <v>1</v>
      </c>
      <c r="MO51">
        <v>1</v>
      </c>
      <c r="MP51">
        <v>0</v>
      </c>
      <c r="MQ51">
        <v>0</v>
      </c>
      <c r="MR51">
        <v>0</v>
      </c>
      <c r="MS51">
        <v>0</v>
      </c>
      <c r="MT51" s="4">
        <v>0</v>
      </c>
      <c r="MU51" s="1">
        <v>1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 s="4">
        <v>0</v>
      </c>
      <c r="NC51">
        <v>0</v>
      </c>
      <c r="ND51">
        <v>0</v>
      </c>
      <c r="NE51" s="1">
        <v>2</v>
      </c>
      <c r="NF51">
        <v>0</v>
      </c>
      <c r="NG51">
        <v>0</v>
      </c>
      <c r="NH51">
        <v>1</v>
      </c>
      <c r="NI51">
        <v>0</v>
      </c>
      <c r="NJ51" s="4">
        <v>0</v>
      </c>
      <c r="NK51">
        <v>0</v>
      </c>
      <c r="NL51">
        <v>0</v>
      </c>
      <c r="NM51">
        <v>0</v>
      </c>
      <c r="NN51" s="1">
        <v>1</v>
      </c>
      <c r="NO51">
        <v>0</v>
      </c>
      <c r="NP51">
        <v>0</v>
      </c>
      <c r="NQ51">
        <v>0</v>
      </c>
      <c r="NR51">
        <v>1</v>
      </c>
      <c r="NS51" s="4">
        <v>0</v>
      </c>
      <c r="NT51">
        <v>0</v>
      </c>
      <c r="NU51">
        <v>0</v>
      </c>
      <c r="NV51">
        <v>0</v>
      </c>
      <c r="NW51">
        <v>0</v>
      </c>
      <c r="NX51">
        <v>1</v>
      </c>
      <c r="NY51" s="4">
        <v>0</v>
      </c>
      <c r="NZ51">
        <v>0</v>
      </c>
      <c r="OA51">
        <v>0</v>
      </c>
      <c r="OB51">
        <v>0</v>
      </c>
      <c r="OC51">
        <v>1</v>
      </c>
      <c r="OD51" s="4">
        <v>0</v>
      </c>
      <c r="OE51">
        <v>0</v>
      </c>
      <c r="OF51">
        <v>0</v>
      </c>
      <c r="OG51">
        <v>0</v>
      </c>
      <c r="OH51">
        <v>0</v>
      </c>
      <c r="OI51">
        <v>1</v>
      </c>
      <c r="OJ51">
        <v>0</v>
      </c>
      <c r="OK51">
        <v>0</v>
      </c>
      <c r="OL51">
        <v>1</v>
      </c>
      <c r="OM51">
        <v>0</v>
      </c>
      <c r="ON51">
        <v>0</v>
      </c>
      <c r="OO51">
        <v>0</v>
      </c>
      <c r="OP51" s="4">
        <v>0</v>
      </c>
      <c r="OQ51">
        <v>0</v>
      </c>
      <c r="OS51" s="4">
        <f t="shared" si="0"/>
        <v>92</v>
      </c>
      <c r="OT51" s="4">
        <f t="shared" si="1"/>
        <v>95</v>
      </c>
    </row>
    <row r="52" spans="1:410" x14ac:dyDescent="0.3">
      <c r="A52" s="10" t="s">
        <v>664</v>
      </c>
      <c r="B52">
        <v>1</v>
      </c>
      <c r="C52">
        <v>0</v>
      </c>
      <c r="D52">
        <v>0</v>
      </c>
      <c r="E52">
        <v>0</v>
      </c>
      <c r="F52" s="1">
        <v>1</v>
      </c>
      <c r="G52" s="1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 s="1">
        <v>1</v>
      </c>
      <c r="R52">
        <v>1</v>
      </c>
      <c r="S52">
        <v>1</v>
      </c>
      <c r="T52">
        <v>0</v>
      </c>
      <c r="U52">
        <v>0</v>
      </c>
      <c r="V52" s="1">
        <v>1</v>
      </c>
      <c r="W52">
        <v>0</v>
      </c>
      <c r="X52">
        <v>1</v>
      </c>
      <c r="Y52">
        <v>0</v>
      </c>
      <c r="Z52">
        <v>0</v>
      </c>
      <c r="AA52" s="1">
        <v>1</v>
      </c>
      <c r="AB52" s="1">
        <v>1</v>
      </c>
      <c r="AC52">
        <v>0</v>
      </c>
      <c r="AD52" s="1">
        <v>1</v>
      </c>
      <c r="AE52">
        <v>0</v>
      </c>
      <c r="AF52">
        <v>0</v>
      </c>
      <c r="AG52">
        <v>0</v>
      </c>
      <c r="AH52">
        <v>0</v>
      </c>
      <c r="AI52" s="1">
        <v>1</v>
      </c>
      <c r="AJ52" s="1">
        <v>1</v>
      </c>
      <c r="AK52" s="1">
        <v>1</v>
      </c>
      <c r="AL52">
        <v>0</v>
      </c>
      <c r="AM52">
        <v>0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>
        <v>0</v>
      </c>
      <c r="AT52">
        <v>0</v>
      </c>
      <c r="AU52" s="1">
        <v>1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 s="1">
        <v>1</v>
      </c>
      <c r="BT52">
        <v>0</v>
      </c>
      <c r="BU52" s="4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 s="4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 s="4">
        <v>0</v>
      </c>
      <c r="CH52" s="4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 s="1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 s="4">
        <v>0</v>
      </c>
      <c r="DP52">
        <v>0</v>
      </c>
      <c r="DQ52">
        <v>0</v>
      </c>
      <c r="DR52" s="1">
        <v>2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 s="4">
        <v>0</v>
      </c>
      <c r="EJ52">
        <v>0</v>
      </c>
      <c r="EK52">
        <v>0</v>
      </c>
      <c r="EL52" s="4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 s="1">
        <v>1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 s="4">
        <v>0</v>
      </c>
      <c r="FS52" s="1">
        <v>1</v>
      </c>
      <c r="FT52">
        <v>0</v>
      </c>
      <c r="FU52">
        <v>0</v>
      </c>
      <c r="FV52">
        <v>1</v>
      </c>
      <c r="FW52">
        <v>0</v>
      </c>
      <c r="FX52" s="4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 s="4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 s="1">
        <v>1</v>
      </c>
      <c r="GS52">
        <v>0</v>
      </c>
      <c r="GT52">
        <v>0</v>
      </c>
      <c r="GU52">
        <v>0</v>
      </c>
      <c r="GV52">
        <v>1</v>
      </c>
      <c r="GW52">
        <v>0</v>
      </c>
      <c r="GX52" s="1">
        <v>1</v>
      </c>
      <c r="GY52">
        <v>0</v>
      </c>
      <c r="GZ52">
        <v>0</v>
      </c>
      <c r="HA52">
        <v>0</v>
      </c>
      <c r="HB52">
        <v>0</v>
      </c>
      <c r="HC52" s="4">
        <v>0</v>
      </c>
      <c r="HD52">
        <v>0</v>
      </c>
      <c r="HE52">
        <v>0</v>
      </c>
      <c r="HF52">
        <v>0</v>
      </c>
      <c r="HG52">
        <v>0</v>
      </c>
      <c r="HH52" s="4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</v>
      </c>
      <c r="II52" s="4">
        <v>0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1</v>
      </c>
      <c r="IQ52">
        <v>1</v>
      </c>
      <c r="IR52" s="4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1</v>
      </c>
      <c r="IY52">
        <v>1</v>
      </c>
      <c r="IZ52">
        <v>0</v>
      </c>
      <c r="JA52">
        <v>0</v>
      </c>
      <c r="JB52">
        <v>0</v>
      </c>
      <c r="JC52">
        <v>1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 s="4">
        <v>0</v>
      </c>
      <c r="JL52">
        <v>0</v>
      </c>
      <c r="JM52" s="4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1</v>
      </c>
      <c r="JV52">
        <v>0</v>
      </c>
      <c r="JW52">
        <v>1</v>
      </c>
      <c r="JX52">
        <v>0</v>
      </c>
      <c r="JY52">
        <v>0</v>
      </c>
      <c r="JZ52">
        <v>0</v>
      </c>
      <c r="KA52" s="4">
        <v>0</v>
      </c>
      <c r="KB52" s="4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 s="1">
        <v>1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 s="4">
        <v>0</v>
      </c>
      <c r="KW52">
        <v>0</v>
      </c>
      <c r="KX52">
        <v>1</v>
      </c>
      <c r="KY52" s="4">
        <v>0</v>
      </c>
      <c r="KZ52">
        <v>0</v>
      </c>
      <c r="LA52">
        <v>0</v>
      </c>
      <c r="LB52">
        <v>0</v>
      </c>
      <c r="LC52" s="4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</v>
      </c>
      <c r="LJ52" s="1">
        <v>1</v>
      </c>
      <c r="LK52">
        <v>0</v>
      </c>
      <c r="LL52">
        <v>0</v>
      </c>
      <c r="LM52" s="4">
        <v>0</v>
      </c>
      <c r="LN52">
        <v>0</v>
      </c>
      <c r="LO52">
        <v>0</v>
      </c>
      <c r="LP52">
        <v>0</v>
      </c>
      <c r="LQ52">
        <v>0</v>
      </c>
      <c r="LR52" s="1">
        <v>1</v>
      </c>
      <c r="LS52">
        <v>0</v>
      </c>
      <c r="LT52">
        <v>0</v>
      </c>
      <c r="LU52" s="1">
        <v>1</v>
      </c>
      <c r="LV52">
        <v>0</v>
      </c>
      <c r="LW52">
        <v>0</v>
      </c>
      <c r="LX52">
        <v>1</v>
      </c>
      <c r="LY52">
        <v>1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1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1</v>
      </c>
      <c r="MM52">
        <v>0</v>
      </c>
      <c r="MN52" s="1">
        <v>1</v>
      </c>
      <c r="MO52">
        <v>0</v>
      </c>
      <c r="MP52">
        <v>0</v>
      </c>
      <c r="MQ52">
        <v>0</v>
      </c>
      <c r="MR52">
        <v>0</v>
      </c>
      <c r="MS52">
        <v>0</v>
      </c>
      <c r="MT52" s="4">
        <v>0</v>
      </c>
      <c r="MU52" s="1">
        <v>1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1</v>
      </c>
      <c r="NB52" s="4">
        <v>0</v>
      </c>
      <c r="NC52">
        <v>0</v>
      </c>
      <c r="ND52">
        <v>0</v>
      </c>
      <c r="NE52" s="1">
        <v>1</v>
      </c>
      <c r="NF52">
        <v>0</v>
      </c>
      <c r="NG52">
        <v>0</v>
      </c>
      <c r="NH52">
        <v>0</v>
      </c>
      <c r="NI52">
        <v>0</v>
      </c>
      <c r="NJ52" s="4">
        <v>0</v>
      </c>
      <c r="NK52">
        <v>0</v>
      </c>
      <c r="NL52">
        <v>0</v>
      </c>
      <c r="NM52">
        <v>0</v>
      </c>
      <c r="NN52" s="1">
        <v>1</v>
      </c>
      <c r="NO52">
        <v>1</v>
      </c>
      <c r="NP52">
        <v>0</v>
      </c>
      <c r="NQ52">
        <v>0</v>
      </c>
      <c r="NR52">
        <v>0</v>
      </c>
      <c r="NS52" s="4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 s="4">
        <v>0</v>
      </c>
      <c r="NZ52">
        <v>0</v>
      </c>
      <c r="OA52">
        <v>0</v>
      </c>
      <c r="OB52">
        <v>0</v>
      </c>
      <c r="OC52">
        <v>0</v>
      </c>
      <c r="OD52" s="4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1</v>
      </c>
      <c r="OM52">
        <v>0</v>
      </c>
      <c r="ON52">
        <v>0</v>
      </c>
      <c r="OO52">
        <v>0</v>
      </c>
      <c r="OP52" s="4">
        <v>0</v>
      </c>
      <c r="OQ52">
        <v>0</v>
      </c>
      <c r="OS52" s="4">
        <f t="shared" si="0"/>
        <v>68</v>
      </c>
      <c r="OT52" s="4">
        <f t="shared" si="1"/>
        <v>69</v>
      </c>
    </row>
    <row r="53" spans="1:410" x14ac:dyDescent="0.3">
      <c r="A53" s="10" t="s">
        <v>665</v>
      </c>
      <c r="B53">
        <v>0</v>
      </c>
      <c r="C53">
        <v>0</v>
      </c>
      <c r="D53">
        <v>0</v>
      </c>
      <c r="E53">
        <v>0</v>
      </c>
      <c r="F53" s="1">
        <v>1</v>
      </c>
      <c r="G53" s="1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 s="1">
        <v>1</v>
      </c>
      <c r="R53">
        <v>1</v>
      </c>
      <c r="S53">
        <v>0</v>
      </c>
      <c r="T53">
        <v>0</v>
      </c>
      <c r="U53">
        <v>0</v>
      </c>
      <c r="V53" s="1">
        <v>1</v>
      </c>
      <c r="W53">
        <v>0</v>
      </c>
      <c r="X53">
        <v>1</v>
      </c>
      <c r="Y53">
        <v>0</v>
      </c>
      <c r="Z53">
        <v>0</v>
      </c>
      <c r="AA53" s="1">
        <v>1</v>
      </c>
      <c r="AB53">
        <v>0</v>
      </c>
      <c r="AC53">
        <v>0</v>
      </c>
      <c r="AD53" s="1">
        <v>1</v>
      </c>
      <c r="AE53">
        <v>0</v>
      </c>
      <c r="AF53">
        <v>0</v>
      </c>
      <c r="AG53">
        <v>0</v>
      </c>
      <c r="AH53">
        <v>0</v>
      </c>
      <c r="AI53" s="1">
        <v>1</v>
      </c>
      <c r="AJ53" s="1">
        <v>1</v>
      </c>
      <c r="AK53" s="1">
        <v>1</v>
      </c>
      <c r="AL53">
        <v>0</v>
      </c>
      <c r="AM53">
        <v>0</v>
      </c>
      <c r="AN53" s="1">
        <v>1</v>
      </c>
      <c r="AO53" s="1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 s="1">
        <v>1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s="1">
        <v>1</v>
      </c>
      <c r="BT53">
        <v>0</v>
      </c>
      <c r="BU53" s="4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s="4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s="4">
        <v>0</v>
      </c>
      <c r="CH53" s="4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 s="1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 s="4">
        <v>0</v>
      </c>
      <c r="DP53">
        <v>0</v>
      </c>
      <c r="DQ53">
        <v>0</v>
      </c>
      <c r="DR53" s="1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 s="4">
        <v>0</v>
      </c>
      <c r="EJ53">
        <v>0</v>
      </c>
      <c r="EK53">
        <v>0</v>
      </c>
      <c r="EL53" s="4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 s="1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 s="4">
        <v>0</v>
      </c>
      <c r="FS53" s="1">
        <v>1</v>
      </c>
      <c r="FT53">
        <v>0</v>
      </c>
      <c r="FU53">
        <v>0</v>
      </c>
      <c r="FV53">
        <v>1</v>
      </c>
      <c r="FW53">
        <v>0</v>
      </c>
      <c r="FX53" s="4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 s="4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 s="1">
        <v>1</v>
      </c>
      <c r="GS53">
        <v>0</v>
      </c>
      <c r="GT53">
        <v>0</v>
      </c>
      <c r="GU53">
        <v>0</v>
      </c>
      <c r="GV53">
        <v>0</v>
      </c>
      <c r="GW53">
        <v>0</v>
      </c>
      <c r="GX53" s="1">
        <v>1</v>
      </c>
      <c r="GY53">
        <v>0</v>
      </c>
      <c r="GZ53">
        <v>0</v>
      </c>
      <c r="HA53">
        <v>0</v>
      </c>
      <c r="HB53">
        <v>0</v>
      </c>
      <c r="HC53" s="4">
        <v>0</v>
      </c>
      <c r="HD53">
        <v>0</v>
      </c>
      <c r="HE53">
        <v>0</v>
      </c>
      <c r="HF53">
        <v>0</v>
      </c>
      <c r="HG53">
        <v>0</v>
      </c>
      <c r="HH53" s="4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 s="4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1</v>
      </c>
      <c r="IQ53">
        <v>0</v>
      </c>
      <c r="IR53" s="4">
        <v>0</v>
      </c>
      <c r="IS53">
        <v>0</v>
      </c>
      <c r="IT53">
        <v>0</v>
      </c>
      <c r="IU53">
        <v>1</v>
      </c>
      <c r="IV53">
        <v>0</v>
      </c>
      <c r="IW53">
        <v>0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0</v>
      </c>
      <c r="JK53" s="4">
        <v>0</v>
      </c>
      <c r="JL53">
        <v>0</v>
      </c>
      <c r="JM53" s="4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1</v>
      </c>
      <c r="JX53">
        <v>0</v>
      </c>
      <c r="JY53">
        <v>0</v>
      </c>
      <c r="JZ53">
        <v>0</v>
      </c>
      <c r="KA53" s="4">
        <v>0</v>
      </c>
      <c r="KB53" s="4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 s="1">
        <v>1</v>
      </c>
      <c r="KJ53">
        <v>0</v>
      </c>
      <c r="KK53">
        <v>0</v>
      </c>
      <c r="KL53">
        <v>0</v>
      </c>
      <c r="KM53">
        <v>1</v>
      </c>
      <c r="KN53">
        <v>0</v>
      </c>
      <c r="KO53">
        <v>0</v>
      </c>
      <c r="KP53">
        <v>0</v>
      </c>
      <c r="KQ53">
        <v>1</v>
      </c>
      <c r="KR53">
        <v>0</v>
      </c>
      <c r="KS53">
        <v>0</v>
      </c>
      <c r="KT53">
        <v>0</v>
      </c>
      <c r="KU53">
        <v>0</v>
      </c>
      <c r="KV53" s="4">
        <v>0</v>
      </c>
      <c r="KW53">
        <v>0</v>
      </c>
      <c r="KX53">
        <v>0</v>
      </c>
      <c r="KY53" s="4">
        <v>0</v>
      </c>
      <c r="KZ53">
        <v>0</v>
      </c>
      <c r="LA53">
        <v>0</v>
      </c>
      <c r="LB53">
        <v>0</v>
      </c>
      <c r="LC53" s="4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</v>
      </c>
      <c r="LJ53" s="1">
        <v>1</v>
      </c>
      <c r="LK53">
        <v>0</v>
      </c>
      <c r="LL53">
        <v>0</v>
      </c>
      <c r="LM53" s="4">
        <v>0</v>
      </c>
      <c r="LN53">
        <v>0</v>
      </c>
      <c r="LO53">
        <v>0</v>
      </c>
      <c r="LP53">
        <v>0</v>
      </c>
      <c r="LQ53">
        <v>0</v>
      </c>
      <c r="LR53" s="1">
        <v>1</v>
      </c>
      <c r="LS53">
        <v>0</v>
      </c>
      <c r="LT53">
        <v>1</v>
      </c>
      <c r="LU53" s="1">
        <v>1</v>
      </c>
      <c r="LV53">
        <v>0</v>
      </c>
      <c r="LW53">
        <v>0</v>
      </c>
      <c r="LX53">
        <v>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1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 s="1">
        <v>1</v>
      </c>
      <c r="MO53">
        <v>0</v>
      </c>
      <c r="MP53">
        <v>0</v>
      </c>
      <c r="MQ53">
        <v>0</v>
      </c>
      <c r="MR53">
        <v>0</v>
      </c>
      <c r="MS53">
        <v>0</v>
      </c>
      <c r="MT53" s="4">
        <v>0</v>
      </c>
      <c r="MU53" s="1">
        <v>1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 s="4">
        <v>0</v>
      </c>
      <c r="NC53">
        <v>0</v>
      </c>
      <c r="ND53">
        <v>0</v>
      </c>
      <c r="NE53" s="1">
        <v>1</v>
      </c>
      <c r="NF53">
        <v>0</v>
      </c>
      <c r="NG53">
        <v>0</v>
      </c>
      <c r="NH53">
        <v>0</v>
      </c>
      <c r="NI53">
        <v>0</v>
      </c>
      <c r="NJ53" s="4">
        <v>0</v>
      </c>
      <c r="NK53">
        <v>0</v>
      </c>
      <c r="NL53">
        <v>0</v>
      </c>
      <c r="NM53">
        <v>0</v>
      </c>
      <c r="NN53" s="1">
        <v>1</v>
      </c>
      <c r="NO53">
        <v>0</v>
      </c>
      <c r="NP53">
        <v>0</v>
      </c>
      <c r="NQ53">
        <v>0</v>
      </c>
      <c r="NR53">
        <v>1</v>
      </c>
      <c r="NS53" s="4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 s="4">
        <v>0</v>
      </c>
      <c r="NZ53">
        <v>0</v>
      </c>
      <c r="OA53">
        <v>0</v>
      </c>
      <c r="OB53">
        <v>0</v>
      </c>
      <c r="OC53">
        <v>0</v>
      </c>
      <c r="OD53" s="4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2</v>
      </c>
      <c r="OM53">
        <v>0</v>
      </c>
      <c r="ON53">
        <v>0</v>
      </c>
      <c r="OO53">
        <v>0</v>
      </c>
      <c r="OP53" s="4">
        <v>0</v>
      </c>
      <c r="OQ53">
        <v>0</v>
      </c>
      <c r="OS53" s="4">
        <f t="shared" si="0"/>
        <v>52</v>
      </c>
      <c r="OT53" s="4">
        <f t="shared" si="1"/>
        <v>53</v>
      </c>
    </row>
    <row r="54" spans="1:410" x14ac:dyDescent="0.3">
      <c r="A54" s="10" t="s">
        <v>666</v>
      </c>
      <c r="B54">
        <v>1</v>
      </c>
      <c r="C54">
        <v>0</v>
      </c>
      <c r="D54">
        <v>0</v>
      </c>
      <c r="E54">
        <v>0</v>
      </c>
      <c r="F54" s="1">
        <v>1</v>
      </c>
      <c r="G54" s="1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 s="1">
        <v>1</v>
      </c>
      <c r="R54">
        <v>1</v>
      </c>
      <c r="S54">
        <v>0</v>
      </c>
      <c r="T54">
        <v>0</v>
      </c>
      <c r="U54">
        <v>0</v>
      </c>
      <c r="V54" s="1">
        <v>1</v>
      </c>
      <c r="W54">
        <v>0</v>
      </c>
      <c r="X54">
        <v>1</v>
      </c>
      <c r="Y54">
        <v>0</v>
      </c>
      <c r="Z54">
        <v>0</v>
      </c>
      <c r="AA54" s="1">
        <v>1</v>
      </c>
      <c r="AB54" s="1">
        <v>1</v>
      </c>
      <c r="AC54">
        <v>0</v>
      </c>
      <c r="AD54" s="1">
        <v>1</v>
      </c>
      <c r="AE54">
        <v>0</v>
      </c>
      <c r="AF54">
        <v>0</v>
      </c>
      <c r="AG54">
        <v>0</v>
      </c>
      <c r="AH54">
        <v>0</v>
      </c>
      <c r="AI54" s="1">
        <v>1</v>
      </c>
      <c r="AJ54" s="1">
        <v>3</v>
      </c>
      <c r="AK54" s="1">
        <v>1</v>
      </c>
      <c r="AL54">
        <v>0</v>
      </c>
      <c r="AM54" s="1">
        <v>1</v>
      </c>
      <c r="AN54" s="1">
        <v>1</v>
      </c>
      <c r="AO54" s="1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 s="1">
        <v>2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 s="1">
        <v>1</v>
      </c>
      <c r="BT54">
        <v>0</v>
      </c>
      <c r="BU54" s="4">
        <v>0</v>
      </c>
      <c r="BV54">
        <v>0</v>
      </c>
      <c r="BW54">
        <v>0</v>
      </c>
      <c r="BX54">
        <v>0</v>
      </c>
      <c r="BY54">
        <v>2</v>
      </c>
      <c r="BZ54">
        <v>0</v>
      </c>
      <c r="CA54" s="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 s="4">
        <v>0</v>
      </c>
      <c r="CH54" s="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 s="1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 s="4">
        <v>0</v>
      </c>
      <c r="DP54">
        <v>0</v>
      </c>
      <c r="DQ54">
        <v>0</v>
      </c>
      <c r="DR54" s="1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s="4">
        <v>0</v>
      </c>
      <c r="EJ54">
        <v>0</v>
      </c>
      <c r="EK54">
        <v>0</v>
      </c>
      <c r="EL54" s="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 s="1">
        <v>1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 s="4">
        <v>0</v>
      </c>
      <c r="FS54" s="1">
        <v>1</v>
      </c>
      <c r="FT54">
        <v>0</v>
      </c>
      <c r="FU54">
        <v>0</v>
      </c>
      <c r="FV54">
        <v>0</v>
      </c>
      <c r="FW54">
        <v>0</v>
      </c>
      <c r="FX54" s="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 s="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 s="1">
        <v>1</v>
      </c>
      <c r="GS54">
        <v>0</v>
      </c>
      <c r="GT54">
        <v>0</v>
      </c>
      <c r="GU54">
        <v>0</v>
      </c>
      <c r="GV54">
        <v>0</v>
      </c>
      <c r="GW54">
        <v>0</v>
      </c>
      <c r="GX54" s="1">
        <v>1</v>
      </c>
      <c r="GY54">
        <v>0</v>
      </c>
      <c r="GZ54">
        <v>0</v>
      </c>
      <c r="HA54">
        <v>0</v>
      </c>
      <c r="HB54">
        <v>0</v>
      </c>
      <c r="HC54" s="4">
        <v>0</v>
      </c>
      <c r="HD54">
        <v>0</v>
      </c>
      <c r="HE54">
        <v>0</v>
      </c>
      <c r="HF54">
        <v>1</v>
      </c>
      <c r="HG54">
        <v>0</v>
      </c>
      <c r="HH54" s="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 s="1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s="4">
        <v>0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0</v>
      </c>
      <c r="IP54">
        <v>0</v>
      </c>
      <c r="IQ54">
        <v>1</v>
      </c>
      <c r="IR54" s="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1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1</v>
      </c>
      <c r="JK54" s="4">
        <v>0</v>
      </c>
      <c r="JL54">
        <v>0</v>
      </c>
      <c r="JM54" s="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1</v>
      </c>
      <c r="JV54">
        <v>0</v>
      </c>
      <c r="JW54">
        <v>1</v>
      </c>
      <c r="JX54">
        <v>0</v>
      </c>
      <c r="JY54">
        <v>0</v>
      </c>
      <c r="JZ54">
        <v>0</v>
      </c>
      <c r="KA54" s="4">
        <v>0</v>
      </c>
      <c r="KB54" s="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 s="1">
        <v>2</v>
      </c>
      <c r="KJ54">
        <v>0</v>
      </c>
      <c r="KK54">
        <v>2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2</v>
      </c>
      <c r="KR54">
        <v>0</v>
      </c>
      <c r="KS54">
        <v>0</v>
      </c>
      <c r="KT54">
        <v>0</v>
      </c>
      <c r="KU54">
        <v>0</v>
      </c>
      <c r="KV54" s="4">
        <v>0</v>
      </c>
      <c r="KW54">
        <v>0</v>
      </c>
      <c r="KX54">
        <v>1</v>
      </c>
      <c r="KY54" s="4">
        <v>0</v>
      </c>
      <c r="KZ54">
        <v>0</v>
      </c>
      <c r="LA54">
        <v>0</v>
      </c>
      <c r="LB54">
        <v>0</v>
      </c>
      <c r="LC54" s="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1</v>
      </c>
      <c r="LJ54" s="1">
        <v>1</v>
      </c>
      <c r="LK54">
        <v>0</v>
      </c>
      <c r="LL54">
        <v>0</v>
      </c>
      <c r="LM54" s="4">
        <v>0</v>
      </c>
      <c r="LN54">
        <v>0</v>
      </c>
      <c r="LO54">
        <v>0</v>
      </c>
      <c r="LP54">
        <v>0</v>
      </c>
      <c r="LQ54">
        <v>0</v>
      </c>
      <c r="LR54" s="1">
        <v>1</v>
      </c>
      <c r="LS54">
        <v>0</v>
      </c>
      <c r="LT54">
        <v>0</v>
      </c>
      <c r="LU54" s="1">
        <v>1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 s="1">
        <v>1</v>
      </c>
      <c r="MO54">
        <v>0</v>
      </c>
      <c r="MP54">
        <v>0</v>
      </c>
      <c r="MQ54">
        <v>0</v>
      </c>
      <c r="MR54">
        <v>0</v>
      </c>
      <c r="MS54">
        <v>0</v>
      </c>
      <c r="MT54" s="4">
        <v>0</v>
      </c>
      <c r="MU54" s="1">
        <v>1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 s="4">
        <v>0</v>
      </c>
      <c r="NC54">
        <v>0</v>
      </c>
      <c r="ND54">
        <v>0</v>
      </c>
      <c r="NE54" s="1">
        <v>1</v>
      </c>
      <c r="NF54">
        <v>0</v>
      </c>
      <c r="NG54">
        <v>0</v>
      </c>
      <c r="NH54">
        <v>0</v>
      </c>
      <c r="NI54">
        <v>0</v>
      </c>
      <c r="NJ54" s="4">
        <v>0</v>
      </c>
      <c r="NK54">
        <v>0</v>
      </c>
      <c r="NL54">
        <v>0</v>
      </c>
      <c r="NM54">
        <v>0</v>
      </c>
      <c r="NN54" s="1">
        <v>1</v>
      </c>
      <c r="NO54">
        <v>0</v>
      </c>
      <c r="NP54">
        <v>0</v>
      </c>
      <c r="NQ54">
        <v>0</v>
      </c>
      <c r="NR54">
        <v>0</v>
      </c>
      <c r="NS54" s="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 s="4">
        <v>0</v>
      </c>
      <c r="NZ54">
        <v>0</v>
      </c>
      <c r="OA54">
        <v>0</v>
      </c>
      <c r="OB54">
        <v>0</v>
      </c>
      <c r="OC54">
        <v>0</v>
      </c>
      <c r="OD54" s="4">
        <v>0</v>
      </c>
      <c r="OE54">
        <v>1</v>
      </c>
      <c r="OF54">
        <v>0</v>
      </c>
      <c r="OG54">
        <v>1</v>
      </c>
      <c r="OH54">
        <v>0</v>
      </c>
      <c r="OI54">
        <v>0</v>
      </c>
      <c r="OJ54">
        <v>0</v>
      </c>
      <c r="OK54">
        <v>0</v>
      </c>
      <c r="OL54">
        <v>1</v>
      </c>
      <c r="OM54">
        <v>0</v>
      </c>
      <c r="ON54">
        <v>0</v>
      </c>
      <c r="OO54">
        <v>0</v>
      </c>
      <c r="OP54" s="4">
        <v>0</v>
      </c>
      <c r="OQ54">
        <v>1</v>
      </c>
      <c r="OS54" s="4">
        <f t="shared" si="0"/>
        <v>59</v>
      </c>
      <c r="OT54" s="4">
        <f t="shared" si="1"/>
        <v>66</v>
      </c>
    </row>
    <row r="55" spans="1:410" x14ac:dyDescent="0.3">
      <c r="A55" s="10" t="s">
        <v>670</v>
      </c>
      <c r="B55">
        <v>0</v>
      </c>
      <c r="C55">
        <v>0</v>
      </c>
      <c r="D55">
        <v>0</v>
      </c>
      <c r="E55">
        <v>0</v>
      </c>
      <c r="F55" s="1">
        <v>1</v>
      </c>
      <c r="G55" s="1">
        <v>2</v>
      </c>
      <c r="H55">
        <v>1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 s="1">
        <v>1</v>
      </c>
      <c r="R55">
        <v>1</v>
      </c>
      <c r="S55">
        <v>0</v>
      </c>
      <c r="T55">
        <v>0</v>
      </c>
      <c r="U55">
        <v>0</v>
      </c>
      <c r="V55" s="1">
        <v>1</v>
      </c>
      <c r="W55">
        <v>0</v>
      </c>
      <c r="X55">
        <v>1</v>
      </c>
      <c r="Y55">
        <v>0</v>
      </c>
      <c r="Z55">
        <v>0</v>
      </c>
      <c r="AA55" s="1">
        <v>1</v>
      </c>
      <c r="AB55" s="1">
        <v>1</v>
      </c>
      <c r="AC55">
        <v>0</v>
      </c>
      <c r="AD55" s="1">
        <v>1</v>
      </c>
      <c r="AE55">
        <v>1</v>
      </c>
      <c r="AF55">
        <v>1</v>
      </c>
      <c r="AG55">
        <v>1</v>
      </c>
      <c r="AH55">
        <v>0</v>
      </c>
      <c r="AI55" s="1">
        <v>1</v>
      </c>
      <c r="AJ55" s="1">
        <v>1</v>
      </c>
      <c r="AK55" s="1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 s="1">
        <v>1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s="1">
        <v>1</v>
      </c>
      <c r="BT55">
        <v>0</v>
      </c>
      <c r="BU55" s="4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s="4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s="4">
        <v>0</v>
      </c>
      <c r="CH55" s="4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 s="1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 s="4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 s="4">
        <v>0</v>
      </c>
      <c r="EJ55">
        <v>0</v>
      </c>
      <c r="EK55">
        <v>0</v>
      </c>
      <c r="EL55" s="4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 s="1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 s="4">
        <v>0</v>
      </c>
      <c r="FS55" s="1">
        <v>1</v>
      </c>
      <c r="FT55">
        <v>0</v>
      </c>
      <c r="FU55">
        <v>1</v>
      </c>
      <c r="FV55">
        <v>1</v>
      </c>
      <c r="FW55">
        <v>0</v>
      </c>
      <c r="FX55" s="4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 s="4">
        <v>0</v>
      </c>
      <c r="GE55">
        <v>0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 s="1">
        <v>1</v>
      </c>
      <c r="GS55">
        <v>0</v>
      </c>
      <c r="GT55">
        <v>0</v>
      </c>
      <c r="GU55">
        <v>0</v>
      </c>
      <c r="GV55">
        <v>1</v>
      </c>
      <c r="GW55">
        <v>0</v>
      </c>
      <c r="GX55" s="1">
        <v>1</v>
      </c>
      <c r="GY55">
        <v>0</v>
      </c>
      <c r="GZ55">
        <v>1</v>
      </c>
      <c r="HA55">
        <v>0</v>
      </c>
      <c r="HB55">
        <v>0</v>
      </c>
      <c r="HC55" s="4">
        <v>0</v>
      </c>
      <c r="HD55">
        <v>0</v>
      </c>
      <c r="HE55">
        <v>0</v>
      </c>
      <c r="HF55">
        <v>0</v>
      </c>
      <c r="HG55">
        <v>0</v>
      </c>
      <c r="HH55" s="4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 s="4">
        <v>0</v>
      </c>
      <c r="IJ55">
        <v>0</v>
      </c>
      <c r="IK55">
        <v>0</v>
      </c>
      <c r="IL55">
        <v>0</v>
      </c>
      <c r="IM55">
        <v>0</v>
      </c>
      <c r="IN55">
        <v>1</v>
      </c>
      <c r="IO55">
        <v>0</v>
      </c>
      <c r="IP55">
        <v>0</v>
      </c>
      <c r="IQ55">
        <v>1</v>
      </c>
      <c r="IR55" s="4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 s="4">
        <v>0</v>
      </c>
      <c r="JL55">
        <v>1</v>
      </c>
      <c r="JM55" s="4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0</v>
      </c>
      <c r="JZ55">
        <v>1</v>
      </c>
      <c r="KA55" s="4">
        <v>0</v>
      </c>
      <c r="KB55" s="4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 s="1">
        <v>1</v>
      </c>
      <c r="KJ55">
        <v>0</v>
      </c>
      <c r="KK55">
        <v>0</v>
      </c>
      <c r="KL55">
        <v>0</v>
      </c>
      <c r="KM55">
        <v>1</v>
      </c>
      <c r="KN55">
        <v>0</v>
      </c>
      <c r="KO55">
        <v>0</v>
      </c>
      <c r="KP55">
        <v>0</v>
      </c>
      <c r="KQ55">
        <v>1</v>
      </c>
      <c r="KR55">
        <v>0</v>
      </c>
      <c r="KS55">
        <v>1</v>
      </c>
      <c r="KT55">
        <v>0</v>
      </c>
      <c r="KU55">
        <v>0</v>
      </c>
      <c r="KV55" s="4">
        <v>0</v>
      </c>
      <c r="KW55">
        <v>0</v>
      </c>
      <c r="KX55">
        <v>0</v>
      </c>
      <c r="KY55" s="4">
        <v>0</v>
      </c>
      <c r="KZ55">
        <v>0</v>
      </c>
      <c r="LA55">
        <v>0</v>
      </c>
      <c r="LB55">
        <v>0</v>
      </c>
      <c r="LC55" s="4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 s="1">
        <v>1</v>
      </c>
      <c r="LK55">
        <v>0</v>
      </c>
      <c r="LL55">
        <v>0</v>
      </c>
      <c r="LM55" s="4">
        <v>0</v>
      </c>
      <c r="LN55">
        <v>0</v>
      </c>
      <c r="LO55">
        <v>0</v>
      </c>
      <c r="LP55">
        <v>0</v>
      </c>
      <c r="LQ55">
        <v>1</v>
      </c>
      <c r="LR55" s="1">
        <v>1</v>
      </c>
      <c r="LS55">
        <v>1</v>
      </c>
      <c r="LT55">
        <v>0</v>
      </c>
      <c r="LU55" s="1">
        <v>1</v>
      </c>
      <c r="LV55">
        <v>0</v>
      </c>
      <c r="LW55">
        <v>0</v>
      </c>
      <c r="LX55">
        <v>1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 s="1">
        <v>1</v>
      </c>
      <c r="MO55">
        <v>0</v>
      </c>
      <c r="MP55">
        <v>0</v>
      </c>
      <c r="MQ55">
        <v>0</v>
      </c>
      <c r="MR55">
        <v>0</v>
      </c>
      <c r="MS55">
        <v>0</v>
      </c>
      <c r="MT55" s="4">
        <v>0</v>
      </c>
      <c r="MU55" s="1">
        <v>1</v>
      </c>
      <c r="MV55">
        <v>0</v>
      </c>
      <c r="MW55">
        <v>0</v>
      </c>
      <c r="MX55">
        <v>1</v>
      </c>
      <c r="MY55">
        <v>0</v>
      </c>
      <c r="MZ55">
        <v>0</v>
      </c>
      <c r="NA55">
        <v>0</v>
      </c>
      <c r="NB55" s="4">
        <v>0</v>
      </c>
      <c r="NC55">
        <v>0</v>
      </c>
      <c r="ND55">
        <v>0</v>
      </c>
      <c r="NE55" s="1">
        <v>1</v>
      </c>
      <c r="NF55">
        <v>0</v>
      </c>
      <c r="NG55">
        <v>0</v>
      </c>
      <c r="NH55">
        <v>0</v>
      </c>
      <c r="NI55">
        <v>0</v>
      </c>
      <c r="NJ55" s="4">
        <v>0</v>
      </c>
      <c r="NK55">
        <v>0</v>
      </c>
      <c r="NL55">
        <v>0</v>
      </c>
      <c r="NM55">
        <v>0</v>
      </c>
      <c r="NN55" s="1">
        <v>1</v>
      </c>
      <c r="NO55">
        <v>1</v>
      </c>
      <c r="NP55">
        <v>0</v>
      </c>
      <c r="NQ55">
        <v>0</v>
      </c>
      <c r="NR55">
        <v>1</v>
      </c>
      <c r="NS55" s="4">
        <v>0</v>
      </c>
      <c r="NT55">
        <v>0</v>
      </c>
      <c r="NU55">
        <v>0</v>
      </c>
      <c r="NV55">
        <v>0</v>
      </c>
      <c r="NW55">
        <v>0</v>
      </c>
      <c r="NX55">
        <v>1</v>
      </c>
      <c r="NY55" s="4">
        <v>0</v>
      </c>
      <c r="NZ55">
        <v>0</v>
      </c>
      <c r="OA55">
        <v>0</v>
      </c>
      <c r="OB55">
        <v>1</v>
      </c>
      <c r="OC55">
        <v>0</v>
      </c>
      <c r="OD55" s="4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1</v>
      </c>
      <c r="OM55">
        <v>0</v>
      </c>
      <c r="ON55">
        <v>0</v>
      </c>
      <c r="OO55">
        <v>0</v>
      </c>
      <c r="OP55" s="4">
        <v>0</v>
      </c>
      <c r="OQ55">
        <v>0</v>
      </c>
      <c r="OS55" s="4">
        <f t="shared" si="0"/>
        <v>69</v>
      </c>
      <c r="OT55" s="4">
        <f t="shared" si="1"/>
        <v>70</v>
      </c>
    </row>
    <row r="56" spans="1:410" x14ac:dyDescent="0.3">
      <c r="A56" s="10" t="s">
        <v>669</v>
      </c>
      <c r="B56">
        <v>0</v>
      </c>
      <c r="C56">
        <v>0</v>
      </c>
      <c r="D56">
        <v>0</v>
      </c>
      <c r="E56">
        <v>0</v>
      </c>
      <c r="F56" s="1">
        <v>1</v>
      </c>
      <c r="G56" s="1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 s="1">
        <v>1</v>
      </c>
      <c r="R56">
        <v>0</v>
      </c>
      <c r="S56">
        <v>0</v>
      </c>
      <c r="T56">
        <v>0</v>
      </c>
      <c r="U56">
        <v>0</v>
      </c>
      <c r="V56" s="1">
        <v>1</v>
      </c>
      <c r="W56">
        <v>0</v>
      </c>
      <c r="X56">
        <v>1</v>
      </c>
      <c r="Y56">
        <v>0</v>
      </c>
      <c r="Z56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>
        <v>0</v>
      </c>
      <c r="AG56">
        <v>1</v>
      </c>
      <c r="AH56">
        <v>1</v>
      </c>
      <c r="AI56" s="1">
        <v>1</v>
      </c>
      <c r="AJ56" s="1">
        <v>1</v>
      </c>
      <c r="AK56" s="1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 s="1">
        <v>1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 s="1">
        <v>1</v>
      </c>
      <c r="BT56" s="1">
        <v>1</v>
      </c>
      <c r="BU56" s="4">
        <v>0</v>
      </c>
      <c r="BV56" s="1">
        <v>1</v>
      </c>
      <c r="BW56" s="1">
        <v>7</v>
      </c>
      <c r="BX56">
        <v>0</v>
      </c>
      <c r="BY56">
        <v>0</v>
      </c>
      <c r="BZ56">
        <v>0</v>
      </c>
      <c r="CA56" s="4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s="4">
        <v>0</v>
      </c>
      <c r="CH56" s="4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 s="1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 s="4">
        <v>0</v>
      </c>
      <c r="DP56">
        <v>0</v>
      </c>
      <c r="DQ56">
        <v>1</v>
      </c>
      <c r="DR56" s="1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 s="4">
        <v>0</v>
      </c>
      <c r="EJ56">
        <v>1</v>
      </c>
      <c r="EK56">
        <v>0</v>
      </c>
      <c r="EL56" s="4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0</v>
      </c>
      <c r="EX56">
        <v>0</v>
      </c>
      <c r="EY56">
        <v>1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1</v>
      </c>
      <c r="FH56" s="1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 s="4">
        <v>0</v>
      </c>
      <c r="FS56" s="1">
        <v>1</v>
      </c>
      <c r="FT56">
        <v>0</v>
      </c>
      <c r="FU56">
        <v>0</v>
      </c>
      <c r="FV56">
        <v>1</v>
      </c>
      <c r="FW56">
        <v>0</v>
      </c>
      <c r="FX56" s="4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 s="4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 s="1">
        <v>1</v>
      </c>
      <c r="GS56">
        <v>0</v>
      </c>
      <c r="GT56">
        <v>0</v>
      </c>
      <c r="GU56">
        <v>0</v>
      </c>
      <c r="GV56">
        <v>0</v>
      </c>
      <c r="GW56">
        <v>0</v>
      </c>
      <c r="GX56" s="1">
        <v>1</v>
      </c>
      <c r="GY56">
        <v>0</v>
      </c>
      <c r="GZ56">
        <v>0</v>
      </c>
      <c r="HA56">
        <v>0</v>
      </c>
      <c r="HB56">
        <v>0</v>
      </c>
      <c r="HC56" s="4">
        <v>0</v>
      </c>
      <c r="HD56">
        <v>0</v>
      </c>
      <c r="HE56">
        <v>0</v>
      </c>
      <c r="HF56">
        <v>0</v>
      </c>
      <c r="HG56">
        <v>0</v>
      </c>
      <c r="HH56" s="4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1</v>
      </c>
      <c r="HS56">
        <v>0</v>
      </c>
      <c r="HT56">
        <v>0</v>
      </c>
      <c r="HU56" s="1">
        <v>1</v>
      </c>
      <c r="HV56">
        <v>0</v>
      </c>
      <c r="HW56">
        <v>0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 s="4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 s="4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 s="4">
        <v>0</v>
      </c>
      <c r="JL56">
        <v>0</v>
      </c>
      <c r="JM56" s="4">
        <v>0</v>
      </c>
      <c r="JN56">
        <v>1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 s="4">
        <v>0</v>
      </c>
      <c r="KB56" s="4">
        <v>0</v>
      </c>
      <c r="KC56">
        <v>1</v>
      </c>
      <c r="KD56">
        <v>0</v>
      </c>
      <c r="KE56">
        <v>0</v>
      </c>
      <c r="KF56">
        <v>0</v>
      </c>
      <c r="KG56">
        <v>0</v>
      </c>
      <c r="KH56">
        <v>0</v>
      </c>
      <c r="KI56" s="1">
        <v>1</v>
      </c>
      <c r="KJ56">
        <v>0</v>
      </c>
      <c r="KK56">
        <v>0</v>
      </c>
      <c r="KL56">
        <v>0</v>
      </c>
      <c r="KM56">
        <v>1</v>
      </c>
      <c r="KN56">
        <v>0</v>
      </c>
      <c r="KO56">
        <v>0</v>
      </c>
      <c r="KP56">
        <v>0</v>
      </c>
      <c r="KQ56">
        <v>1</v>
      </c>
      <c r="KR56">
        <v>1</v>
      </c>
      <c r="KS56">
        <v>0</v>
      </c>
      <c r="KT56">
        <v>0</v>
      </c>
      <c r="KU56">
        <v>0</v>
      </c>
      <c r="KV56" s="4">
        <v>0</v>
      </c>
      <c r="KW56">
        <v>0</v>
      </c>
      <c r="KX56">
        <v>0</v>
      </c>
      <c r="KY56" s="4">
        <v>0</v>
      </c>
      <c r="KZ56">
        <v>0</v>
      </c>
      <c r="LA56">
        <v>0</v>
      </c>
      <c r="LB56">
        <v>0</v>
      </c>
      <c r="LC56" s="4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1</v>
      </c>
      <c r="LJ56" s="1">
        <v>1</v>
      </c>
      <c r="LK56">
        <v>0</v>
      </c>
      <c r="LL56">
        <v>0</v>
      </c>
      <c r="LM56" s="4">
        <v>0</v>
      </c>
      <c r="LN56">
        <v>0</v>
      </c>
      <c r="LO56">
        <v>0</v>
      </c>
      <c r="LP56">
        <v>1</v>
      </c>
      <c r="LQ56">
        <v>1</v>
      </c>
      <c r="LR56" s="1">
        <v>1</v>
      </c>
      <c r="LS56">
        <v>0</v>
      </c>
      <c r="LT56">
        <v>0</v>
      </c>
      <c r="LU56" s="1">
        <v>1</v>
      </c>
      <c r="LV56">
        <v>0</v>
      </c>
      <c r="LW56">
        <v>0</v>
      </c>
      <c r="LX56">
        <v>1</v>
      </c>
      <c r="LY56">
        <v>0</v>
      </c>
      <c r="LZ56">
        <v>1</v>
      </c>
      <c r="MA56">
        <v>1</v>
      </c>
      <c r="MB56">
        <v>0</v>
      </c>
      <c r="MC56">
        <v>1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 s="1">
        <v>1</v>
      </c>
      <c r="MO56">
        <v>0</v>
      </c>
      <c r="MP56">
        <v>0</v>
      </c>
      <c r="MQ56">
        <v>0</v>
      </c>
      <c r="MR56">
        <v>0</v>
      </c>
      <c r="MS56">
        <v>0</v>
      </c>
      <c r="MT56" s="4">
        <v>0</v>
      </c>
      <c r="MU56" s="1">
        <v>1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 s="4">
        <v>0</v>
      </c>
      <c r="NC56">
        <v>0</v>
      </c>
      <c r="ND56">
        <v>0</v>
      </c>
      <c r="NE56" s="1">
        <v>1</v>
      </c>
      <c r="NF56">
        <v>0</v>
      </c>
      <c r="NG56">
        <v>0</v>
      </c>
      <c r="NH56">
        <v>0</v>
      </c>
      <c r="NI56">
        <v>0</v>
      </c>
      <c r="NJ56" s="4">
        <v>0</v>
      </c>
      <c r="NK56">
        <v>0</v>
      </c>
      <c r="NL56">
        <v>0</v>
      </c>
      <c r="NM56">
        <v>0</v>
      </c>
      <c r="NN56" s="1">
        <v>1</v>
      </c>
      <c r="NO56">
        <v>1</v>
      </c>
      <c r="NP56">
        <v>0</v>
      </c>
      <c r="NQ56">
        <v>0</v>
      </c>
      <c r="NR56">
        <v>1</v>
      </c>
      <c r="NS56" s="4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 s="4">
        <v>0</v>
      </c>
      <c r="NZ56">
        <v>0</v>
      </c>
      <c r="OA56">
        <v>0</v>
      </c>
      <c r="OB56">
        <v>0</v>
      </c>
      <c r="OC56">
        <v>1</v>
      </c>
      <c r="OD56" s="4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</v>
      </c>
      <c r="OM56">
        <v>0</v>
      </c>
      <c r="ON56">
        <v>0</v>
      </c>
      <c r="OO56">
        <v>0</v>
      </c>
      <c r="OP56" s="4">
        <v>0</v>
      </c>
      <c r="OQ56">
        <v>1</v>
      </c>
      <c r="OS56" s="4">
        <f t="shared" si="0"/>
        <v>80</v>
      </c>
      <c r="OT56" s="4">
        <f t="shared" si="1"/>
        <v>87</v>
      </c>
    </row>
    <row r="57" spans="1:410" x14ac:dyDescent="0.3">
      <c r="A57" s="10" t="s">
        <v>668</v>
      </c>
      <c r="B57">
        <v>1</v>
      </c>
      <c r="C57">
        <v>0</v>
      </c>
      <c r="D57">
        <v>0</v>
      </c>
      <c r="E57">
        <v>0</v>
      </c>
      <c r="F57" s="1">
        <v>1</v>
      </c>
      <c r="G57" s="1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s="1">
        <v>1</v>
      </c>
      <c r="R57">
        <v>0</v>
      </c>
      <c r="S57">
        <v>0</v>
      </c>
      <c r="T57">
        <v>0</v>
      </c>
      <c r="U57">
        <v>0</v>
      </c>
      <c r="V57" s="1">
        <v>1</v>
      </c>
      <c r="W57">
        <v>0</v>
      </c>
      <c r="X57">
        <v>0</v>
      </c>
      <c r="Y57">
        <v>0</v>
      </c>
      <c r="Z57">
        <v>0</v>
      </c>
      <c r="AA57" s="1">
        <v>1</v>
      </c>
      <c r="AB57" s="1">
        <v>1</v>
      </c>
      <c r="AC57">
        <v>0</v>
      </c>
      <c r="AD57" s="1">
        <v>1</v>
      </c>
      <c r="AE57">
        <v>0</v>
      </c>
      <c r="AF57">
        <v>0</v>
      </c>
      <c r="AG57">
        <v>0</v>
      </c>
      <c r="AH57">
        <v>0</v>
      </c>
      <c r="AI57" s="1">
        <v>1</v>
      </c>
      <c r="AJ57" s="1">
        <v>2</v>
      </c>
      <c r="AK57" s="1">
        <v>1</v>
      </c>
      <c r="AL57">
        <v>0</v>
      </c>
      <c r="AM57">
        <v>0</v>
      </c>
      <c r="AN57" s="1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1">
        <v>1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s="1">
        <v>1</v>
      </c>
      <c r="BT57">
        <v>0</v>
      </c>
      <c r="BU57" s="4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s="4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s="4">
        <v>0</v>
      </c>
      <c r="CH57" s="4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 s="1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 s="4">
        <v>0</v>
      </c>
      <c r="DP57">
        <v>0</v>
      </c>
      <c r="DQ57">
        <v>0</v>
      </c>
      <c r="DR57" s="1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 s="4">
        <v>0</v>
      </c>
      <c r="EJ57">
        <v>0</v>
      </c>
      <c r="EK57">
        <v>0</v>
      </c>
      <c r="EL57" s="4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s="1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 s="4">
        <v>0</v>
      </c>
      <c r="FS57" s="1">
        <v>1</v>
      </c>
      <c r="FT57">
        <v>0</v>
      </c>
      <c r="FU57">
        <v>0</v>
      </c>
      <c r="FV57">
        <v>0</v>
      </c>
      <c r="FW57">
        <v>1</v>
      </c>
      <c r="FX57" s="4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 s="4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0</v>
      </c>
      <c r="GP57">
        <v>0</v>
      </c>
      <c r="GQ57">
        <v>0</v>
      </c>
      <c r="GR57" s="1">
        <v>1</v>
      </c>
      <c r="GS57">
        <v>0</v>
      </c>
      <c r="GT57">
        <v>0</v>
      </c>
      <c r="GU57">
        <v>0</v>
      </c>
      <c r="GV57">
        <v>0</v>
      </c>
      <c r="GW57">
        <v>0</v>
      </c>
      <c r="GX57" s="1">
        <v>1</v>
      </c>
      <c r="GY57">
        <v>0</v>
      </c>
      <c r="GZ57">
        <v>0</v>
      </c>
      <c r="HA57">
        <v>0</v>
      </c>
      <c r="HB57">
        <v>0</v>
      </c>
      <c r="HC57" s="4">
        <v>0</v>
      </c>
      <c r="HD57">
        <v>0</v>
      </c>
      <c r="HE57">
        <v>0</v>
      </c>
      <c r="HF57">
        <v>0</v>
      </c>
      <c r="HG57">
        <v>0</v>
      </c>
      <c r="HH57" s="4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</v>
      </c>
      <c r="HS57">
        <v>1</v>
      </c>
      <c r="HT57">
        <v>0</v>
      </c>
      <c r="HU57" s="1">
        <v>1</v>
      </c>
      <c r="HV57" s="1">
        <v>1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 s="4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1</v>
      </c>
      <c r="IR57" s="4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 s="4">
        <v>0</v>
      </c>
      <c r="JL57">
        <v>0</v>
      </c>
      <c r="JM57" s="4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 s="4">
        <v>0</v>
      </c>
      <c r="KB57" s="4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 s="1">
        <v>1</v>
      </c>
      <c r="KJ57">
        <v>0</v>
      </c>
      <c r="KK57">
        <v>0</v>
      </c>
      <c r="KL57">
        <v>0</v>
      </c>
      <c r="KM57">
        <v>1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 s="4">
        <v>0</v>
      </c>
      <c r="KW57">
        <v>0</v>
      </c>
      <c r="KX57">
        <v>1</v>
      </c>
      <c r="KY57" s="4">
        <v>0</v>
      </c>
      <c r="KZ57">
        <v>0</v>
      </c>
      <c r="LA57">
        <v>0</v>
      </c>
      <c r="LB57">
        <v>0</v>
      </c>
      <c r="LC57" s="4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1</v>
      </c>
      <c r="LJ57" s="1">
        <v>1</v>
      </c>
      <c r="LK57">
        <v>0</v>
      </c>
      <c r="LL57">
        <v>0</v>
      </c>
      <c r="LM57" s="4">
        <v>0</v>
      </c>
      <c r="LN57">
        <v>0</v>
      </c>
      <c r="LO57">
        <v>0</v>
      </c>
      <c r="LP57">
        <v>0</v>
      </c>
      <c r="LQ57">
        <v>0</v>
      </c>
      <c r="LR57" s="1">
        <v>1</v>
      </c>
      <c r="LS57">
        <v>0</v>
      </c>
      <c r="LT57">
        <v>0</v>
      </c>
      <c r="LU57" s="1">
        <v>1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1</v>
      </c>
      <c r="MH57">
        <v>0</v>
      </c>
      <c r="MI57">
        <v>0</v>
      </c>
      <c r="MJ57">
        <v>0</v>
      </c>
      <c r="MK57">
        <v>0</v>
      </c>
      <c r="ML57">
        <v>1</v>
      </c>
      <c r="MM57">
        <v>0</v>
      </c>
      <c r="MN57" s="1">
        <v>1</v>
      </c>
      <c r="MO57">
        <v>0</v>
      </c>
      <c r="MP57">
        <v>0</v>
      </c>
      <c r="MQ57">
        <v>0</v>
      </c>
      <c r="MR57">
        <v>0</v>
      </c>
      <c r="MS57">
        <v>0</v>
      </c>
      <c r="MT57" s="4">
        <v>0</v>
      </c>
      <c r="MU57" s="1">
        <v>1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 s="4">
        <v>0</v>
      </c>
      <c r="NC57">
        <v>0</v>
      </c>
      <c r="ND57">
        <v>0</v>
      </c>
      <c r="NE57" s="1">
        <v>1</v>
      </c>
      <c r="NF57">
        <v>0</v>
      </c>
      <c r="NG57">
        <v>0</v>
      </c>
      <c r="NH57">
        <v>0</v>
      </c>
      <c r="NI57">
        <v>0</v>
      </c>
      <c r="NJ57" s="4">
        <v>0</v>
      </c>
      <c r="NK57">
        <v>0</v>
      </c>
      <c r="NL57">
        <v>0</v>
      </c>
      <c r="NM57">
        <v>0</v>
      </c>
      <c r="NN57" s="1">
        <v>1</v>
      </c>
      <c r="NO57">
        <v>0</v>
      </c>
      <c r="NP57">
        <v>0</v>
      </c>
      <c r="NQ57">
        <v>0</v>
      </c>
      <c r="NR57">
        <v>0</v>
      </c>
      <c r="NS57" s="4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 s="4">
        <v>0</v>
      </c>
      <c r="NZ57">
        <v>0</v>
      </c>
      <c r="OA57">
        <v>0</v>
      </c>
      <c r="OB57">
        <v>0</v>
      </c>
      <c r="OC57">
        <v>0</v>
      </c>
      <c r="OD57" s="4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1</v>
      </c>
      <c r="OL57">
        <v>1</v>
      </c>
      <c r="OM57">
        <v>0</v>
      </c>
      <c r="ON57">
        <v>0</v>
      </c>
      <c r="OO57">
        <v>0</v>
      </c>
      <c r="OP57" s="4">
        <v>0</v>
      </c>
      <c r="OQ57">
        <v>1</v>
      </c>
      <c r="OS57" s="4">
        <f t="shared" si="0"/>
        <v>49</v>
      </c>
      <c r="OT57" s="4">
        <f t="shared" si="1"/>
        <v>50</v>
      </c>
    </row>
    <row r="58" spans="1:410" x14ac:dyDescent="0.3">
      <c r="A58" s="10" t="s">
        <v>667</v>
      </c>
      <c r="B58">
        <v>0</v>
      </c>
      <c r="C58">
        <v>0</v>
      </c>
      <c r="D58">
        <v>0</v>
      </c>
      <c r="E58">
        <v>0</v>
      </c>
      <c r="F58" s="1">
        <v>2</v>
      </c>
      <c r="G58" s="1">
        <v>3</v>
      </c>
      <c r="H58">
        <v>1</v>
      </c>
      <c r="I58">
        <v>0</v>
      </c>
      <c r="J58">
        <v>0</v>
      </c>
      <c r="K58">
        <v>0</v>
      </c>
      <c r="L58">
        <v>2</v>
      </c>
      <c r="M58">
        <v>0</v>
      </c>
      <c r="N58">
        <v>2</v>
      </c>
      <c r="O58">
        <v>0</v>
      </c>
      <c r="P58">
        <v>1</v>
      </c>
      <c r="Q58" s="1">
        <v>1</v>
      </c>
      <c r="R58">
        <v>2</v>
      </c>
      <c r="S58">
        <v>0</v>
      </c>
      <c r="T58">
        <v>0</v>
      </c>
      <c r="U58">
        <v>0</v>
      </c>
      <c r="V58" s="1">
        <v>2</v>
      </c>
      <c r="W58">
        <v>0</v>
      </c>
      <c r="X58">
        <v>2</v>
      </c>
      <c r="Y58">
        <v>0</v>
      </c>
      <c r="Z58">
        <v>0</v>
      </c>
      <c r="AA58" s="1">
        <v>1</v>
      </c>
      <c r="AB58" s="1">
        <v>1</v>
      </c>
      <c r="AC58">
        <v>0</v>
      </c>
      <c r="AD58" s="1">
        <v>2</v>
      </c>
      <c r="AE58">
        <v>0</v>
      </c>
      <c r="AF58">
        <v>0</v>
      </c>
      <c r="AG58">
        <v>0</v>
      </c>
      <c r="AH58">
        <v>0</v>
      </c>
      <c r="AI58" s="1">
        <v>1</v>
      </c>
      <c r="AJ58" s="1">
        <v>2</v>
      </c>
      <c r="AK58" s="1">
        <v>1</v>
      </c>
      <c r="AL58">
        <v>0</v>
      </c>
      <c r="AM58">
        <v>0</v>
      </c>
      <c r="AN58" s="1">
        <v>1</v>
      </c>
      <c r="AO58" s="1">
        <v>1</v>
      </c>
      <c r="AP58">
        <v>0</v>
      </c>
      <c r="AQ58">
        <v>1</v>
      </c>
      <c r="AR58">
        <v>0</v>
      </c>
      <c r="AS58">
        <v>1</v>
      </c>
      <c r="AT58">
        <v>1</v>
      </c>
      <c r="AU58" s="1">
        <v>1</v>
      </c>
      <c r="AV58">
        <v>2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 s="1">
        <v>1</v>
      </c>
      <c r="BT58">
        <v>0</v>
      </c>
      <c r="BU58" s="4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s="4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s="4">
        <v>0</v>
      </c>
      <c r="CH58" s="4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 s="1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 s="4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 s="4">
        <v>0</v>
      </c>
      <c r="EJ58">
        <v>0</v>
      </c>
      <c r="EK58">
        <v>0</v>
      </c>
      <c r="EL58" s="4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1</v>
      </c>
      <c r="FG58">
        <v>1</v>
      </c>
      <c r="FH58" s="1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 s="4">
        <v>0</v>
      </c>
      <c r="FS58" s="1">
        <v>1</v>
      </c>
      <c r="FT58">
        <v>0</v>
      </c>
      <c r="FU58">
        <v>0</v>
      </c>
      <c r="FV58">
        <v>0</v>
      </c>
      <c r="FW58">
        <v>0</v>
      </c>
      <c r="FX58" s="4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 s="4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0</v>
      </c>
      <c r="GQ58">
        <v>0</v>
      </c>
      <c r="GR58" s="1">
        <v>1</v>
      </c>
      <c r="GS58">
        <v>0</v>
      </c>
      <c r="GT58">
        <v>0</v>
      </c>
      <c r="GU58">
        <v>0</v>
      </c>
      <c r="GV58">
        <v>1</v>
      </c>
      <c r="GW58">
        <v>0</v>
      </c>
      <c r="GX58" s="1">
        <v>1</v>
      </c>
      <c r="GY58">
        <v>0</v>
      </c>
      <c r="GZ58">
        <v>1</v>
      </c>
      <c r="HA58">
        <v>0</v>
      </c>
      <c r="HB58">
        <v>0</v>
      </c>
      <c r="HC58" s="4">
        <v>0</v>
      </c>
      <c r="HD58">
        <v>0</v>
      </c>
      <c r="HE58">
        <v>0</v>
      </c>
      <c r="HF58">
        <v>0</v>
      </c>
      <c r="HG58">
        <v>0</v>
      </c>
      <c r="HH58" s="4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 s="4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 s="4">
        <v>0</v>
      </c>
      <c r="IS58">
        <v>1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1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 s="4">
        <v>0</v>
      </c>
      <c r="JL58">
        <v>0</v>
      </c>
      <c r="JM58" s="4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 s="4">
        <v>0</v>
      </c>
      <c r="KB58" s="4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 s="1">
        <v>1</v>
      </c>
      <c r="KJ58">
        <v>0</v>
      </c>
      <c r="KK58">
        <v>0</v>
      </c>
      <c r="KL58">
        <v>0</v>
      </c>
      <c r="KM58">
        <v>1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 s="4">
        <v>0</v>
      </c>
      <c r="KW58">
        <v>0</v>
      </c>
      <c r="KX58">
        <v>0</v>
      </c>
      <c r="KY58" s="4">
        <v>0</v>
      </c>
      <c r="KZ58">
        <v>0</v>
      </c>
      <c r="LA58">
        <v>0</v>
      </c>
      <c r="LB58">
        <v>0</v>
      </c>
      <c r="LC58" s="4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1</v>
      </c>
      <c r="LJ58" s="1">
        <v>1</v>
      </c>
      <c r="LK58">
        <v>0</v>
      </c>
      <c r="LL58">
        <v>0</v>
      </c>
      <c r="LM58" s="4">
        <v>0</v>
      </c>
      <c r="LN58">
        <v>0</v>
      </c>
      <c r="LO58">
        <v>0</v>
      </c>
      <c r="LP58">
        <v>0</v>
      </c>
      <c r="LQ58">
        <v>1</v>
      </c>
      <c r="LR58" s="1">
        <v>1</v>
      </c>
      <c r="LS58">
        <v>1</v>
      </c>
      <c r="LT58">
        <v>0</v>
      </c>
      <c r="LU58" s="1">
        <v>1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 s="1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 s="4">
        <v>0</v>
      </c>
      <c r="MU58">
        <v>0</v>
      </c>
      <c r="MV58" s="1">
        <v>1</v>
      </c>
      <c r="MW58">
        <v>0</v>
      </c>
      <c r="MX58">
        <v>0</v>
      </c>
      <c r="MY58">
        <v>0</v>
      </c>
      <c r="MZ58">
        <v>0</v>
      </c>
      <c r="NA58">
        <v>0</v>
      </c>
      <c r="NB58" s="4">
        <v>0</v>
      </c>
      <c r="NC58">
        <v>0</v>
      </c>
      <c r="ND58">
        <v>0</v>
      </c>
      <c r="NE58" s="1">
        <v>1</v>
      </c>
      <c r="NF58">
        <v>0</v>
      </c>
      <c r="NG58">
        <v>0</v>
      </c>
      <c r="NH58">
        <v>0</v>
      </c>
      <c r="NI58">
        <v>0</v>
      </c>
      <c r="NJ58" s="4">
        <v>0</v>
      </c>
      <c r="NK58">
        <v>0</v>
      </c>
      <c r="NL58">
        <v>0</v>
      </c>
      <c r="NM58">
        <v>0</v>
      </c>
      <c r="NN58" s="1">
        <v>1</v>
      </c>
      <c r="NO58">
        <v>1</v>
      </c>
      <c r="NP58">
        <v>0</v>
      </c>
      <c r="NQ58">
        <v>0</v>
      </c>
      <c r="NR58">
        <v>2</v>
      </c>
      <c r="NS58" s="4">
        <v>0</v>
      </c>
      <c r="NT58">
        <v>0</v>
      </c>
      <c r="NU58">
        <v>0</v>
      </c>
      <c r="NV58">
        <v>0</v>
      </c>
      <c r="NW58">
        <v>0</v>
      </c>
      <c r="NX58">
        <v>1</v>
      </c>
      <c r="NY58" s="4">
        <v>0</v>
      </c>
      <c r="NZ58">
        <v>0</v>
      </c>
      <c r="OA58">
        <v>0</v>
      </c>
      <c r="OB58">
        <v>1</v>
      </c>
      <c r="OC58">
        <v>0</v>
      </c>
      <c r="OD58" s="4">
        <v>0</v>
      </c>
      <c r="OE58">
        <v>0</v>
      </c>
      <c r="OF58">
        <v>0</v>
      </c>
      <c r="OG58">
        <v>1</v>
      </c>
      <c r="OH58">
        <v>0</v>
      </c>
      <c r="OI58">
        <v>0</v>
      </c>
      <c r="OJ58">
        <v>0</v>
      </c>
      <c r="OK58">
        <v>0</v>
      </c>
      <c r="OL58">
        <v>1</v>
      </c>
      <c r="OM58">
        <v>0</v>
      </c>
      <c r="ON58">
        <v>0</v>
      </c>
      <c r="OO58">
        <v>0</v>
      </c>
      <c r="OP58" s="4">
        <v>0</v>
      </c>
      <c r="OQ58">
        <v>1</v>
      </c>
      <c r="OS58" s="4">
        <f t="shared" si="0"/>
        <v>64</v>
      </c>
      <c r="OT58" s="4">
        <f t="shared" si="1"/>
        <v>76</v>
      </c>
    </row>
    <row r="59" spans="1:410" x14ac:dyDescent="0.3">
      <c r="A59" s="10" t="s">
        <v>671</v>
      </c>
      <c r="B59">
        <v>0</v>
      </c>
      <c r="C59">
        <v>0</v>
      </c>
      <c r="D59">
        <v>0</v>
      </c>
      <c r="E59">
        <v>1</v>
      </c>
      <c r="F59" s="1">
        <v>1</v>
      </c>
      <c r="G59" s="1">
        <v>2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 s="1">
        <v>1</v>
      </c>
      <c r="R59">
        <v>1</v>
      </c>
      <c r="S59">
        <v>0</v>
      </c>
      <c r="T59">
        <v>0</v>
      </c>
      <c r="U59">
        <v>0</v>
      </c>
      <c r="V59" s="1">
        <v>0</v>
      </c>
      <c r="W59">
        <v>0</v>
      </c>
      <c r="X59">
        <v>0</v>
      </c>
      <c r="Y59">
        <v>0</v>
      </c>
      <c r="Z59">
        <v>0</v>
      </c>
      <c r="AA59" s="1">
        <v>1</v>
      </c>
      <c r="AB59" s="1">
        <v>1</v>
      </c>
      <c r="AC59">
        <v>0</v>
      </c>
      <c r="AD59" s="1">
        <v>1</v>
      </c>
      <c r="AE59">
        <v>0</v>
      </c>
      <c r="AF59">
        <v>0</v>
      </c>
      <c r="AG59">
        <v>0</v>
      </c>
      <c r="AH59">
        <v>0</v>
      </c>
      <c r="AI59" s="1">
        <v>1</v>
      </c>
      <c r="AJ59" s="1">
        <v>8</v>
      </c>
      <c r="AK59" s="1">
        <v>1</v>
      </c>
      <c r="AL59">
        <v>0</v>
      </c>
      <c r="AM59" s="1">
        <v>1</v>
      </c>
      <c r="AN59" s="1">
        <v>1</v>
      </c>
      <c r="AO59" s="1">
        <v>1</v>
      </c>
      <c r="AP59">
        <v>0</v>
      </c>
      <c r="AQ59">
        <v>1</v>
      </c>
      <c r="AR59">
        <v>1</v>
      </c>
      <c r="AS59">
        <v>0</v>
      </c>
      <c r="AT59">
        <v>0</v>
      </c>
      <c r="AU59" s="1">
        <v>1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 s="1">
        <v>1</v>
      </c>
      <c r="BT59">
        <v>0</v>
      </c>
      <c r="BU59" s="4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s="4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 s="4">
        <v>0</v>
      </c>
      <c r="CH59" s="4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4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 s="1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 s="4">
        <v>0</v>
      </c>
      <c r="DP59">
        <v>0</v>
      </c>
      <c r="DQ59">
        <v>0</v>
      </c>
      <c r="DR59" s="1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 s="4">
        <v>0</v>
      </c>
      <c r="EJ59">
        <v>0</v>
      </c>
      <c r="EK59">
        <v>0</v>
      </c>
      <c r="EL59" s="4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 s="1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 s="4">
        <v>0</v>
      </c>
      <c r="FS59" s="1">
        <v>1</v>
      </c>
      <c r="FT59">
        <v>0</v>
      </c>
      <c r="FU59">
        <v>0</v>
      </c>
      <c r="FV59">
        <v>0</v>
      </c>
      <c r="FW59">
        <v>0</v>
      </c>
      <c r="FX59" s="4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 s="4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 s="1">
        <v>1</v>
      </c>
      <c r="GS59">
        <v>1</v>
      </c>
      <c r="GT59">
        <v>0</v>
      </c>
      <c r="GU59">
        <v>0</v>
      </c>
      <c r="GV59">
        <v>0</v>
      </c>
      <c r="GW59">
        <v>0</v>
      </c>
      <c r="GX59" s="1">
        <v>1</v>
      </c>
      <c r="GY59">
        <v>0</v>
      </c>
      <c r="GZ59">
        <v>1</v>
      </c>
      <c r="HA59">
        <v>0</v>
      </c>
      <c r="HB59">
        <v>0</v>
      </c>
      <c r="HC59" s="4">
        <v>0</v>
      </c>
      <c r="HD59">
        <v>0</v>
      </c>
      <c r="HE59">
        <v>0</v>
      </c>
      <c r="HF59">
        <v>0</v>
      </c>
      <c r="HG59">
        <v>0</v>
      </c>
      <c r="HH59" s="4">
        <v>0</v>
      </c>
      <c r="HI59">
        <v>1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 s="1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 s="4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 s="4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1</v>
      </c>
      <c r="JH59">
        <v>0</v>
      </c>
      <c r="JI59">
        <v>1</v>
      </c>
      <c r="JJ59">
        <v>0</v>
      </c>
      <c r="JK59" s="4">
        <v>0</v>
      </c>
      <c r="JL59">
        <v>0</v>
      </c>
      <c r="JM59" s="4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 s="4">
        <v>0</v>
      </c>
      <c r="KB59" s="4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 s="1">
        <v>1</v>
      </c>
      <c r="KJ59">
        <v>0</v>
      </c>
      <c r="KK59">
        <v>0</v>
      </c>
      <c r="KL59">
        <v>0</v>
      </c>
      <c r="KM59">
        <v>1</v>
      </c>
      <c r="KN59">
        <v>0</v>
      </c>
      <c r="KO59">
        <v>0</v>
      </c>
      <c r="KP59">
        <v>0</v>
      </c>
      <c r="KQ59">
        <v>1</v>
      </c>
      <c r="KR59">
        <v>0</v>
      </c>
      <c r="KS59">
        <v>0</v>
      </c>
      <c r="KT59">
        <v>0</v>
      </c>
      <c r="KU59">
        <v>0</v>
      </c>
      <c r="KV59" s="4">
        <v>0</v>
      </c>
      <c r="KW59">
        <v>0</v>
      </c>
      <c r="KX59">
        <v>0</v>
      </c>
      <c r="KY59" s="4">
        <v>0</v>
      </c>
      <c r="KZ59">
        <v>0</v>
      </c>
      <c r="LA59">
        <v>0</v>
      </c>
      <c r="LB59">
        <v>0</v>
      </c>
      <c r="LC59" s="4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1</v>
      </c>
      <c r="LJ59" s="1">
        <v>1</v>
      </c>
      <c r="LK59">
        <v>0</v>
      </c>
      <c r="LL59">
        <v>0</v>
      </c>
      <c r="LM59" s="4">
        <v>0</v>
      </c>
      <c r="LN59">
        <v>0</v>
      </c>
      <c r="LO59">
        <v>0</v>
      </c>
      <c r="LP59">
        <v>0</v>
      </c>
      <c r="LQ59">
        <v>0</v>
      </c>
      <c r="LR59" s="1">
        <v>1</v>
      </c>
      <c r="LS59">
        <v>0</v>
      </c>
      <c r="LT59">
        <v>0</v>
      </c>
      <c r="LU59" s="1">
        <v>1</v>
      </c>
      <c r="LV59">
        <v>0</v>
      </c>
      <c r="LW59">
        <v>0</v>
      </c>
      <c r="LX59">
        <v>1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1</v>
      </c>
      <c r="MF59">
        <v>0</v>
      </c>
      <c r="MG59">
        <v>1</v>
      </c>
      <c r="MH59">
        <v>0</v>
      </c>
      <c r="MI59">
        <v>0</v>
      </c>
      <c r="MJ59">
        <v>0</v>
      </c>
      <c r="MK59">
        <v>0</v>
      </c>
      <c r="ML59">
        <v>1</v>
      </c>
      <c r="MM59">
        <v>0</v>
      </c>
      <c r="MN59" s="1">
        <v>1</v>
      </c>
      <c r="MO59">
        <v>0</v>
      </c>
      <c r="MP59">
        <v>0</v>
      </c>
      <c r="MQ59">
        <v>0</v>
      </c>
      <c r="MR59">
        <v>0</v>
      </c>
      <c r="MS59">
        <v>0</v>
      </c>
      <c r="MT59" s="4">
        <v>0</v>
      </c>
      <c r="MU59" s="1">
        <v>1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 s="4">
        <v>0</v>
      </c>
      <c r="NC59">
        <v>0</v>
      </c>
      <c r="ND59">
        <v>0</v>
      </c>
      <c r="NE59" s="1">
        <v>2</v>
      </c>
      <c r="NF59">
        <v>0</v>
      </c>
      <c r="NG59">
        <v>0</v>
      </c>
      <c r="NH59">
        <v>0</v>
      </c>
      <c r="NI59">
        <v>0</v>
      </c>
      <c r="NJ59" s="4">
        <v>0</v>
      </c>
      <c r="NK59">
        <v>0</v>
      </c>
      <c r="NL59">
        <v>0</v>
      </c>
      <c r="NM59">
        <v>0</v>
      </c>
      <c r="NN59" s="1">
        <v>1</v>
      </c>
      <c r="NO59">
        <v>0</v>
      </c>
      <c r="NP59">
        <v>0</v>
      </c>
      <c r="NQ59">
        <v>0</v>
      </c>
      <c r="NR59">
        <v>0</v>
      </c>
      <c r="NS59" s="4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 s="4">
        <v>0</v>
      </c>
      <c r="NZ59">
        <v>0</v>
      </c>
      <c r="OA59">
        <v>0</v>
      </c>
      <c r="OB59">
        <v>0</v>
      </c>
      <c r="OC59">
        <v>0</v>
      </c>
      <c r="OD59" s="4">
        <v>0</v>
      </c>
      <c r="OE59">
        <v>0</v>
      </c>
      <c r="OF59">
        <v>0</v>
      </c>
      <c r="OG59">
        <v>1</v>
      </c>
      <c r="OH59">
        <v>0</v>
      </c>
      <c r="OI59">
        <v>0</v>
      </c>
      <c r="OJ59">
        <v>0</v>
      </c>
      <c r="OK59">
        <v>0</v>
      </c>
      <c r="OL59">
        <v>1</v>
      </c>
      <c r="OM59">
        <v>0</v>
      </c>
      <c r="ON59">
        <v>1</v>
      </c>
      <c r="OO59">
        <v>0</v>
      </c>
      <c r="OP59" s="4">
        <v>0</v>
      </c>
      <c r="OQ59">
        <v>1</v>
      </c>
      <c r="OS59" s="4">
        <f t="shared" si="0"/>
        <v>61</v>
      </c>
      <c r="OT59" s="4">
        <f t="shared" si="1"/>
        <v>73</v>
      </c>
    </row>
    <row r="60" spans="1:410" x14ac:dyDescent="0.3">
      <c r="A60" s="10" t="s">
        <v>672</v>
      </c>
      <c r="B60">
        <v>0</v>
      </c>
      <c r="C60">
        <v>0</v>
      </c>
      <c r="D60">
        <v>0</v>
      </c>
      <c r="E60">
        <v>0</v>
      </c>
      <c r="F60" s="1">
        <v>1</v>
      </c>
      <c r="G60" s="1">
        <v>2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">
        <v>0</v>
      </c>
      <c r="R60">
        <v>1</v>
      </c>
      <c r="S60">
        <v>0</v>
      </c>
      <c r="T60">
        <v>0</v>
      </c>
      <c r="U60">
        <v>0</v>
      </c>
      <c r="V60" s="1">
        <v>1</v>
      </c>
      <c r="W60">
        <v>0</v>
      </c>
      <c r="X60">
        <v>0</v>
      </c>
      <c r="Y60">
        <v>0</v>
      </c>
      <c r="Z60">
        <v>0</v>
      </c>
      <c r="AA60" s="1">
        <v>1</v>
      </c>
      <c r="AB60">
        <v>0</v>
      </c>
      <c r="AC60">
        <v>0</v>
      </c>
      <c r="AD60" s="1">
        <v>1</v>
      </c>
      <c r="AE60">
        <v>0</v>
      </c>
      <c r="AF60">
        <v>0</v>
      </c>
      <c r="AG60">
        <v>0</v>
      </c>
      <c r="AH60">
        <v>0</v>
      </c>
      <c r="AI60" s="1">
        <v>1</v>
      </c>
      <c r="AJ60" s="1">
        <v>1</v>
      </c>
      <c r="AK60" s="1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1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s="1">
        <v>1</v>
      </c>
      <c r="BT60">
        <v>0</v>
      </c>
      <c r="BU60" s="4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s="4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 s="4">
        <v>0</v>
      </c>
      <c r="CH60" s="4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 s="1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 s="4">
        <v>0</v>
      </c>
      <c r="DP60">
        <v>0</v>
      </c>
      <c r="DQ60">
        <v>0</v>
      </c>
      <c r="DR60" s="1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 s="4">
        <v>0</v>
      </c>
      <c r="EJ60">
        <v>0</v>
      </c>
      <c r="EK60">
        <v>0</v>
      </c>
      <c r="EL60" s="4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 s="1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 s="4">
        <v>0</v>
      </c>
      <c r="FS60" s="1">
        <v>1</v>
      </c>
      <c r="FT60">
        <v>0</v>
      </c>
      <c r="FU60">
        <v>0</v>
      </c>
      <c r="FV60">
        <v>0</v>
      </c>
      <c r="FW60">
        <v>0</v>
      </c>
      <c r="FX60" s="4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 s="4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 s="1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 s="1">
        <v>1</v>
      </c>
      <c r="GY60">
        <v>0</v>
      </c>
      <c r="GZ60">
        <v>0</v>
      </c>
      <c r="HA60">
        <v>0</v>
      </c>
      <c r="HB60">
        <v>0</v>
      </c>
      <c r="HC60" s="4">
        <v>0</v>
      </c>
      <c r="HD60">
        <v>0</v>
      </c>
      <c r="HE60">
        <v>1</v>
      </c>
      <c r="HF60">
        <v>0</v>
      </c>
      <c r="HG60">
        <v>0</v>
      </c>
      <c r="HH60" s="4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1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 s="4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 s="4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 s="4">
        <v>0</v>
      </c>
      <c r="JL60">
        <v>0</v>
      </c>
      <c r="JM60" s="4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1</v>
      </c>
      <c r="JZ60">
        <v>0</v>
      </c>
      <c r="KA60" s="4">
        <v>0</v>
      </c>
      <c r="KB60" s="4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 s="1">
        <v>1</v>
      </c>
      <c r="KJ60">
        <v>0</v>
      </c>
      <c r="KK60">
        <v>0</v>
      </c>
      <c r="KL60">
        <v>0</v>
      </c>
      <c r="KM60">
        <v>1</v>
      </c>
      <c r="KN60">
        <v>0</v>
      </c>
      <c r="KO60">
        <v>0</v>
      </c>
      <c r="KP60">
        <v>0</v>
      </c>
      <c r="KQ60">
        <v>1</v>
      </c>
      <c r="KR60">
        <v>0</v>
      </c>
      <c r="KS60">
        <v>0</v>
      </c>
      <c r="KT60">
        <v>0</v>
      </c>
      <c r="KU60">
        <v>0</v>
      </c>
      <c r="KV60" s="4">
        <v>0</v>
      </c>
      <c r="KW60">
        <v>0</v>
      </c>
      <c r="KX60">
        <v>0</v>
      </c>
      <c r="KY60" s="4">
        <v>0</v>
      </c>
      <c r="KZ60">
        <v>0</v>
      </c>
      <c r="LA60">
        <v>0</v>
      </c>
      <c r="LB60">
        <v>0</v>
      </c>
      <c r="LC60" s="4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1</v>
      </c>
      <c r="LJ60" s="1">
        <v>3</v>
      </c>
      <c r="LK60">
        <v>0</v>
      </c>
      <c r="LL60">
        <v>0</v>
      </c>
      <c r="LM60" s="4">
        <v>0</v>
      </c>
      <c r="LN60">
        <v>0</v>
      </c>
      <c r="LO60">
        <v>0</v>
      </c>
      <c r="LP60">
        <v>0</v>
      </c>
      <c r="LQ60">
        <v>0</v>
      </c>
      <c r="LR60" s="1">
        <v>1</v>
      </c>
      <c r="LS60">
        <v>0</v>
      </c>
      <c r="LT60">
        <v>0</v>
      </c>
      <c r="LU60" s="1">
        <v>1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 s="1">
        <v>1</v>
      </c>
      <c r="MO60">
        <v>0</v>
      </c>
      <c r="MP60">
        <v>0</v>
      </c>
      <c r="MQ60">
        <v>0</v>
      </c>
      <c r="MR60">
        <v>0</v>
      </c>
      <c r="MS60">
        <v>0</v>
      </c>
      <c r="MT60" s="4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 s="4">
        <v>0</v>
      </c>
      <c r="NC60">
        <v>0</v>
      </c>
      <c r="ND60">
        <v>0</v>
      </c>
      <c r="NE60" s="1">
        <v>1</v>
      </c>
      <c r="NF60">
        <v>0</v>
      </c>
      <c r="NG60">
        <v>0</v>
      </c>
      <c r="NH60">
        <v>0</v>
      </c>
      <c r="NI60">
        <v>0</v>
      </c>
      <c r="NJ60" s="4">
        <v>0</v>
      </c>
      <c r="NK60">
        <v>0</v>
      </c>
      <c r="NL60">
        <v>0</v>
      </c>
      <c r="NM60">
        <v>0</v>
      </c>
      <c r="NN60" s="1">
        <v>1</v>
      </c>
      <c r="NO60">
        <v>0</v>
      </c>
      <c r="NP60">
        <v>0</v>
      </c>
      <c r="NQ60">
        <v>1</v>
      </c>
      <c r="NR60">
        <v>1</v>
      </c>
      <c r="NS60" s="4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 s="4">
        <v>0</v>
      </c>
      <c r="NZ60">
        <v>0</v>
      </c>
      <c r="OA60">
        <v>0</v>
      </c>
      <c r="OB60">
        <v>0</v>
      </c>
      <c r="OC60">
        <v>0</v>
      </c>
      <c r="OD60" s="4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 s="4">
        <v>0</v>
      </c>
      <c r="OQ60">
        <v>1</v>
      </c>
      <c r="OS60" s="4">
        <f t="shared" si="0"/>
        <v>42</v>
      </c>
      <c r="OT60" s="4">
        <f t="shared" si="1"/>
        <v>46</v>
      </c>
    </row>
    <row r="61" spans="1:410" x14ac:dyDescent="0.3">
      <c r="A61" s="10" t="s">
        <v>673</v>
      </c>
      <c r="B61">
        <v>0</v>
      </c>
      <c r="C61">
        <v>0</v>
      </c>
      <c r="D61">
        <v>0</v>
      </c>
      <c r="E61">
        <v>0</v>
      </c>
      <c r="F61" s="1">
        <v>1</v>
      </c>
      <c r="G61" s="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1">
        <v>1</v>
      </c>
      <c r="R61">
        <v>0</v>
      </c>
      <c r="S61">
        <v>0</v>
      </c>
      <c r="T61">
        <v>0</v>
      </c>
      <c r="U61">
        <v>0</v>
      </c>
      <c r="V61" s="1">
        <v>1</v>
      </c>
      <c r="W61">
        <v>0</v>
      </c>
      <c r="X61">
        <v>0</v>
      </c>
      <c r="Y61">
        <v>0</v>
      </c>
      <c r="Z61">
        <v>0</v>
      </c>
      <c r="AA61" s="1">
        <v>1</v>
      </c>
      <c r="AB61">
        <v>0</v>
      </c>
      <c r="AC61">
        <v>0</v>
      </c>
      <c r="AD61" s="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 s="1">
        <v>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1">
        <v>1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 s="1">
        <v>1</v>
      </c>
      <c r="BT61">
        <v>0</v>
      </c>
      <c r="BU61" s="4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s="4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 s="4">
        <v>0</v>
      </c>
      <c r="CH61" s="4">
        <v>0</v>
      </c>
      <c r="CI61">
        <v>0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 s="4">
        <v>0</v>
      </c>
      <c r="DP61">
        <v>0</v>
      </c>
      <c r="DQ61">
        <v>0</v>
      </c>
      <c r="DR61" s="1">
        <v>1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 s="4">
        <v>0</v>
      </c>
      <c r="EJ61">
        <v>0</v>
      </c>
      <c r="EK61">
        <v>0</v>
      </c>
      <c r="EL61" s="4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1</v>
      </c>
      <c r="FH61" s="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 s="4">
        <v>0</v>
      </c>
      <c r="FS61" s="1">
        <v>1</v>
      </c>
      <c r="FT61">
        <v>0</v>
      </c>
      <c r="FU61">
        <v>0</v>
      </c>
      <c r="FV61">
        <v>0</v>
      </c>
      <c r="FW61">
        <v>0</v>
      </c>
      <c r="FX61" s="4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 s="4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2</v>
      </c>
      <c r="GO61">
        <v>0</v>
      </c>
      <c r="GP61">
        <v>0</v>
      </c>
      <c r="GQ61">
        <v>0</v>
      </c>
      <c r="GR61" s="1">
        <v>1</v>
      </c>
      <c r="GS61">
        <v>0</v>
      </c>
      <c r="GT61">
        <v>0</v>
      </c>
      <c r="GU61">
        <v>0</v>
      </c>
      <c r="GV61">
        <v>1</v>
      </c>
      <c r="GW61">
        <v>0</v>
      </c>
      <c r="GX61" s="1">
        <v>1</v>
      </c>
      <c r="GY61">
        <v>0</v>
      </c>
      <c r="GZ61">
        <v>1</v>
      </c>
      <c r="HA61">
        <v>0</v>
      </c>
      <c r="HB61">
        <v>0</v>
      </c>
      <c r="HC61" s="4">
        <v>0</v>
      </c>
      <c r="HD61">
        <v>0</v>
      </c>
      <c r="HE61">
        <v>0</v>
      </c>
      <c r="HF61">
        <v>0</v>
      </c>
      <c r="HG61">
        <v>0</v>
      </c>
      <c r="HH61" s="4">
        <v>0</v>
      </c>
      <c r="HI61">
        <v>0</v>
      </c>
      <c r="HJ61">
        <v>0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 s="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 s="4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 s="4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0</v>
      </c>
      <c r="JK61" s="4">
        <v>0</v>
      </c>
      <c r="JL61">
        <v>0</v>
      </c>
      <c r="JM61" s="4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 s="4">
        <v>0</v>
      </c>
      <c r="KB61" s="4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 s="1">
        <v>2</v>
      </c>
      <c r="KJ61">
        <v>0</v>
      </c>
      <c r="KK61">
        <v>0</v>
      </c>
      <c r="KL61">
        <v>0</v>
      </c>
      <c r="KM61">
        <v>1</v>
      </c>
      <c r="KN61">
        <v>1</v>
      </c>
      <c r="KO61">
        <v>0</v>
      </c>
      <c r="KP61">
        <v>0</v>
      </c>
      <c r="KQ61">
        <v>1</v>
      </c>
      <c r="KR61">
        <v>1</v>
      </c>
      <c r="KS61">
        <v>0</v>
      </c>
      <c r="KT61">
        <v>0</v>
      </c>
      <c r="KU61">
        <v>0</v>
      </c>
      <c r="KV61" s="4">
        <v>0</v>
      </c>
      <c r="KW61">
        <v>0</v>
      </c>
      <c r="KX61">
        <v>0</v>
      </c>
      <c r="KY61" s="4">
        <v>0</v>
      </c>
      <c r="KZ61">
        <v>0</v>
      </c>
      <c r="LA61">
        <v>0</v>
      </c>
      <c r="LB61">
        <v>0</v>
      </c>
      <c r="LC61" s="4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 s="1">
        <v>1</v>
      </c>
      <c r="LK61">
        <v>0</v>
      </c>
      <c r="LL61">
        <v>0</v>
      </c>
      <c r="LM61" s="4">
        <v>0</v>
      </c>
      <c r="LN61">
        <v>0</v>
      </c>
      <c r="LO61">
        <v>0</v>
      </c>
      <c r="LP61">
        <v>0</v>
      </c>
      <c r="LQ61">
        <v>0</v>
      </c>
      <c r="LR61" s="1">
        <v>1</v>
      </c>
      <c r="LS61">
        <v>0</v>
      </c>
      <c r="LT61">
        <v>0</v>
      </c>
      <c r="LU61" s="1">
        <v>1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 s="1">
        <v>1</v>
      </c>
      <c r="MO61">
        <v>0</v>
      </c>
      <c r="MP61">
        <v>0</v>
      </c>
      <c r="MQ61">
        <v>0</v>
      </c>
      <c r="MR61">
        <v>0</v>
      </c>
      <c r="MS61">
        <v>0</v>
      </c>
      <c r="MT61" s="4">
        <v>0</v>
      </c>
      <c r="MU61" s="1">
        <v>1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 s="4">
        <v>0</v>
      </c>
      <c r="NC61">
        <v>0</v>
      </c>
      <c r="ND61">
        <v>0</v>
      </c>
      <c r="NE61" s="1">
        <v>1</v>
      </c>
      <c r="NF61">
        <v>0</v>
      </c>
      <c r="NG61">
        <v>0</v>
      </c>
      <c r="NH61">
        <v>0</v>
      </c>
      <c r="NI61">
        <v>0</v>
      </c>
      <c r="NJ61" s="4">
        <v>0</v>
      </c>
      <c r="NK61">
        <v>0</v>
      </c>
      <c r="NL61">
        <v>0</v>
      </c>
      <c r="NM61">
        <v>0</v>
      </c>
      <c r="NN61" s="1">
        <v>1</v>
      </c>
      <c r="NO61">
        <v>1</v>
      </c>
      <c r="NP61">
        <v>1</v>
      </c>
      <c r="NQ61">
        <v>0</v>
      </c>
      <c r="NR61">
        <v>1</v>
      </c>
      <c r="NS61" s="4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 s="4">
        <v>0</v>
      </c>
      <c r="NZ61">
        <v>1</v>
      </c>
      <c r="OA61">
        <v>0</v>
      </c>
      <c r="OB61">
        <v>0</v>
      </c>
      <c r="OC61">
        <v>0</v>
      </c>
      <c r="OD61" s="4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1</v>
      </c>
      <c r="OM61">
        <v>0</v>
      </c>
      <c r="ON61">
        <v>0</v>
      </c>
      <c r="OO61">
        <v>0</v>
      </c>
      <c r="OP61" s="4">
        <v>0</v>
      </c>
      <c r="OQ61">
        <v>1</v>
      </c>
      <c r="OS61" s="4">
        <f t="shared" si="0"/>
        <v>53</v>
      </c>
      <c r="OT61" s="4">
        <f t="shared" si="1"/>
        <v>56</v>
      </c>
    </row>
    <row r="62" spans="1:410" x14ac:dyDescent="0.3">
      <c r="A62" s="10" t="s">
        <v>674</v>
      </c>
      <c r="B62">
        <v>0</v>
      </c>
      <c r="C62">
        <v>0</v>
      </c>
      <c r="D62">
        <v>0</v>
      </c>
      <c r="E62">
        <v>0</v>
      </c>
      <c r="F62" s="1">
        <v>1</v>
      </c>
      <c r="G62" s="1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1</v>
      </c>
      <c r="R62">
        <v>0</v>
      </c>
      <c r="S62">
        <v>0</v>
      </c>
      <c r="T62">
        <v>0</v>
      </c>
      <c r="U62">
        <v>0</v>
      </c>
      <c r="V62" s="1">
        <v>0</v>
      </c>
      <c r="W62">
        <v>0</v>
      </c>
      <c r="X62">
        <v>0</v>
      </c>
      <c r="Y62">
        <v>0</v>
      </c>
      <c r="Z62">
        <v>0</v>
      </c>
      <c r="AA62" s="1">
        <v>1</v>
      </c>
      <c r="AB62">
        <v>0</v>
      </c>
      <c r="AC62">
        <v>0</v>
      </c>
      <c r="AD62" s="1">
        <v>1</v>
      </c>
      <c r="AE62">
        <v>0</v>
      </c>
      <c r="AF62">
        <v>0</v>
      </c>
      <c r="AG62">
        <v>0</v>
      </c>
      <c r="AH62">
        <v>0</v>
      </c>
      <c r="AI62" s="1">
        <v>1</v>
      </c>
      <c r="AJ62" s="1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1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 s="1">
        <v>1</v>
      </c>
      <c r="BT62">
        <v>0</v>
      </c>
      <c r="BU62" s="4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 s="4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 s="4">
        <v>0</v>
      </c>
      <c r="CH62" s="4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 s="1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 s="4">
        <v>0</v>
      </c>
      <c r="DP62">
        <v>0</v>
      </c>
      <c r="DQ62">
        <v>0</v>
      </c>
      <c r="DR62" s="1">
        <v>2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 s="4">
        <v>0</v>
      </c>
      <c r="EJ62">
        <v>0</v>
      </c>
      <c r="EK62">
        <v>0</v>
      </c>
      <c r="EL62" s="4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 s="1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 s="4">
        <v>0</v>
      </c>
      <c r="FS62" s="1">
        <v>1</v>
      </c>
      <c r="FT62">
        <v>0</v>
      </c>
      <c r="FU62">
        <v>0</v>
      </c>
      <c r="FV62">
        <v>1</v>
      </c>
      <c r="FW62">
        <v>1</v>
      </c>
      <c r="FX62" s="4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 s="4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1</v>
      </c>
      <c r="GO62">
        <v>0</v>
      </c>
      <c r="GP62">
        <v>0</v>
      </c>
      <c r="GQ62">
        <v>0</v>
      </c>
      <c r="GR62" s="1">
        <v>1</v>
      </c>
      <c r="GS62">
        <v>0</v>
      </c>
      <c r="GT62">
        <v>0</v>
      </c>
      <c r="GU62">
        <v>0</v>
      </c>
      <c r="GV62">
        <v>0</v>
      </c>
      <c r="GW62">
        <v>0</v>
      </c>
      <c r="GX62" s="1">
        <v>1</v>
      </c>
      <c r="GY62">
        <v>0</v>
      </c>
      <c r="GZ62">
        <v>0</v>
      </c>
      <c r="HA62">
        <v>0</v>
      </c>
      <c r="HB62">
        <v>0</v>
      </c>
      <c r="HC62" s="4">
        <v>0</v>
      </c>
      <c r="HD62">
        <v>0</v>
      </c>
      <c r="HE62">
        <v>0</v>
      </c>
      <c r="HF62">
        <v>1</v>
      </c>
      <c r="HG62">
        <v>0</v>
      </c>
      <c r="HH62" s="4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 s="1">
        <v>1</v>
      </c>
      <c r="HV62">
        <v>1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s="4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 s="4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1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1</v>
      </c>
      <c r="JK62" s="4">
        <v>0</v>
      </c>
      <c r="JL62">
        <v>0</v>
      </c>
      <c r="JM62" s="4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 s="4">
        <v>0</v>
      </c>
      <c r="KB62" s="4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 s="1">
        <v>1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 s="4">
        <v>0</v>
      </c>
      <c r="KW62">
        <v>0</v>
      </c>
      <c r="KX62">
        <v>0</v>
      </c>
      <c r="KY62" s="4">
        <v>0</v>
      </c>
      <c r="KZ62">
        <v>1</v>
      </c>
      <c r="LA62">
        <v>0</v>
      </c>
      <c r="LB62">
        <v>0</v>
      </c>
      <c r="LC62" s="4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 s="1">
        <v>2</v>
      </c>
      <c r="LK62">
        <v>0</v>
      </c>
      <c r="LL62">
        <v>0</v>
      </c>
      <c r="LM62" s="4">
        <v>0</v>
      </c>
      <c r="LN62">
        <v>0</v>
      </c>
      <c r="LO62">
        <v>0</v>
      </c>
      <c r="LP62">
        <v>0</v>
      </c>
      <c r="LQ62">
        <v>0</v>
      </c>
      <c r="LR62" s="1">
        <v>1</v>
      </c>
      <c r="LS62">
        <v>0</v>
      </c>
      <c r="LT62">
        <v>0</v>
      </c>
      <c r="LU62" s="1">
        <v>1</v>
      </c>
      <c r="LV62">
        <v>0</v>
      </c>
      <c r="LW62">
        <v>0</v>
      </c>
      <c r="LX62">
        <v>1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1</v>
      </c>
      <c r="MF62">
        <v>0</v>
      </c>
      <c r="MG62">
        <v>1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 s="1">
        <v>1</v>
      </c>
      <c r="MO62">
        <v>0</v>
      </c>
      <c r="MP62">
        <v>0</v>
      </c>
      <c r="MQ62">
        <v>0</v>
      </c>
      <c r="MR62">
        <v>0</v>
      </c>
      <c r="MS62">
        <v>0</v>
      </c>
      <c r="MT62" s="4">
        <v>0</v>
      </c>
      <c r="MU62" s="1">
        <v>1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 s="4">
        <v>0</v>
      </c>
      <c r="NC62">
        <v>0</v>
      </c>
      <c r="ND62">
        <v>0</v>
      </c>
      <c r="NE62" s="1">
        <v>1</v>
      </c>
      <c r="NF62">
        <v>0</v>
      </c>
      <c r="NG62">
        <v>0</v>
      </c>
      <c r="NH62">
        <v>0</v>
      </c>
      <c r="NI62">
        <v>0</v>
      </c>
      <c r="NJ62" s="4">
        <v>0</v>
      </c>
      <c r="NK62">
        <v>0</v>
      </c>
      <c r="NL62">
        <v>0</v>
      </c>
      <c r="NM62">
        <v>0</v>
      </c>
      <c r="NN62" s="1">
        <v>1</v>
      </c>
      <c r="NO62">
        <v>0</v>
      </c>
      <c r="NP62">
        <v>0</v>
      </c>
      <c r="NQ62">
        <v>0</v>
      </c>
      <c r="NR62">
        <v>0</v>
      </c>
      <c r="NS62" s="4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 s="4">
        <v>0</v>
      </c>
      <c r="NZ62">
        <v>0</v>
      </c>
      <c r="OA62">
        <v>0</v>
      </c>
      <c r="OB62">
        <v>0</v>
      </c>
      <c r="OC62">
        <v>0</v>
      </c>
      <c r="OD62" s="4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</v>
      </c>
      <c r="OM62">
        <v>0</v>
      </c>
      <c r="ON62">
        <v>0</v>
      </c>
      <c r="OO62">
        <v>0</v>
      </c>
      <c r="OP62" s="4">
        <v>0</v>
      </c>
      <c r="OQ62">
        <v>0</v>
      </c>
      <c r="OS62" s="4">
        <f t="shared" si="0"/>
        <v>42</v>
      </c>
      <c r="OT62" s="4">
        <f t="shared" si="1"/>
        <v>45</v>
      </c>
    </row>
    <row r="63" spans="1:410" x14ac:dyDescent="0.3">
      <c r="A63" s="10" t="s">
        <v>675</v>
      </c>
      <c r="B63">
        <v>0</v>
      </c>
      <c r="C63">
        <v>0</v>
      </c>
      <c r="D63">
        <v>0</v>
      </c>
      <c r="E63">
        <v>0</v>
      </c>
      <c r="F63" s="1">
        <v>1</v>
      </c>
      <c r="G63" s="1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">
        <v>1</v>
      </c>
      <c r="R63">
        <v>0</v>
      </c>
      <c r="S63">
        <v>0</v>
      </c>
      <c r="T63">
        <v>0</v>
      </c>
      <c r="U63">
        <v>0</v>
      </c>
      <c r="V63" s="1">
        <v>1</v>
      </c>
      <c r="W63">
        <v>0</v>
      </c>
      <c r="X63">
        <v>0</v>
      </c>
      <c r="Y63">
        <v>0</v>
      </c>
      <c r="Z63">
        <v>0</v>
      </c>
      <c r="AA63" s="1">
        <v>1</v>
      </c>
      <c r="AB63">
        <v>0</v>
      </c>
      <c r="AC63">
        <v>0</v>
      </c>
      <c r="AD63" s="1">
        <v>1</v>
      </c>
      <c r="AE63">
        <v>0</v>
      </c>
      <c r="AF63">
        <v>0</v>
      </c>
      <c r="AG63">
        <v>0</v>
      </c>
      <c r="AH63">
        <v>0</v>
      </c>
      <c r="AI63" s="1">
        <v>1</v>
      </c>
      <c r="AJ63" s="1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1">
        <v>1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 s="1">
        <v>1</v>
      </c>
      <c r="BT63">
        <v>0</v>
      </c>
      <c r="BU63" s="4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 s="4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s="4">
        <v>0</v>
      </c>
      <c r="CH63" s="4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 s="1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 s="4">
        <v>0</v>
      </c>
      <c r="DP63">
        <v>0</v>
      </c>
      <c r="DQ63">
        <v>1</v>
      </c>
      <c r="DR63" s="1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 s="4">
        <v>0</v>
      </c>
      <c r="EJ63">
        <v>0</v>
      </c>
      <c r="EK63">
        <v>0</v>
      </c>
      <c r="EL63" s="4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 s="1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 s="4">
        <v>0</v>
      </c>
      <c r="FS63" s="1">
        <v>1</v>
      </c>
      <c r="FT63">
        <v>0</v>
      </c>
      <c r="FU63">
        <v>0</v>
      </c>
      <c r="FV63">
        <v>0</v>
      </c>
      <c r="FW63">
        <v>0</v>
      </c>
      <c r="FX63" s="4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 s="4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 s="1">
        <v>1</v>
      </c>
      <c r="GS63">
        <v>0</v>
      </c>
      <c r="GT63">
        <v>0</v>
      </c>
      <c r="GU63">
        <v>0</v>
      </c>
      <c r="GV63">
        <v>0</v>
      </c>
      <c r="GW63">
        <v>0</v>
      </c>
      <c r="GX63" s="1">
        <v>1</v>
      </c>
      <c r="GY63">
        <v>0</v>
      </c>
      <c r="GZ63">
        <v>0</v>
      </c>
      <c r="HA63">
        <v>0</v>
      </c>
      <c r="HB63">
        <v>1</v>
      </c>
      <c r="HC63" s="4">
        <v>0</v>
      </c>
      <c r="HD63">
        <v>0</v>
      </c>
      <c r="HE63">
        <v>0</v>
      </c>
      <c r="HF63">
        <v>0</v>
      </c>
      <c r="HG63">
        <v>0</v>
      </c>
      <c r="HH63" s="4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 s="1">
        <v>1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0</v>
      </c>
      <c r="IE63">
        <v>0</v>
      </c>
      <c r="IF63">
        <v>0</v>
      </c>
      <c r="IG63">
        <v>0</v>
      </c>
      <c r="IH63">
        <v>0</v>
      </c>
      <c r="II63" s="4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 s="4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 s="4">
        <v>0</v>
      </c>
      <c r="JL63">
        <v>0</v>
      </c>
      <c r="JM63" s="4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 s="4">
        <v>0</v>
      </c>
      <c r="KB63" s="4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 s="1">
        <v>2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1</v>
      </c>
      <c r="KR63">
        <v>0</v>
      </c>
      <c r="KS63">
        <v>0</v>
      </c>
      <c r="KT63">
        <v>0</v>
      </c>
      <c r="KU63">
        <v>0</v>
      </c>
      <c r="KV63" s="4">
        <v>0</v>
      </c>
      <c r="KW63">
        <v>0</v>
      </c>
      <c r="KX63">
        <v>0</v>
      </c>
      <c r="KY63" s="4">
        <v>0</v>
      </c>
      <c r="KZ63">
        <v>0</v>
      </c>
      <c r="LA63">
        <v>0</v>
      </c>
      <c r="LB63">
        <v>0</v>
      </c>
      <c r="LC63" s="4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1</v>
      </c>
      <c r="LJ63" s="1">
        <v>1</v>
      </c>
      <c r="LK63">
        <v>0</v>
      </c>
      <c r="LL63">
        <v>0</v>
      </c>
      <c r="LM63" s="4">
        <v>0</v>
      </c>
      <c r="LN63">
        <v>0</v>
      </c>
      <c r="LO63">
        <v>0</v>
      </c>
      <c r="LP63">
        <v>0</v>
      </c>
      <c r="LQ63">
        <v>1</v>
      </c>
      <c r="LR63" s="1">
        <v>1</v>
      </c>
      <c r="LS63">
        <v>0</v>
      </c>
      <c r="LT63">
        <v>0</v>
      </c>
      <c r="LU63" s="1">
        <v>1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 s="1">
        <v>1</v>
      </c>
      <c r="MO63">
        <v>0</v>
      </c>
      <c r="MP63">
        <v>0</v>
      </c>
      <c r="MQ63">
        <v>0</v>
      </c>
      <c r="MR63">
        <v>0</v>
      </c>
      <c r="MS63">
        <v>0</v>
      </c>
      <c r="MT63" s="4">
        <v>0</v>
      </c>
      <c r="MU63" s="1">
        <v>1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 s="4">
        <v>0</v>
      </c>
      <c r="NC63">
        <v>0</v>
      </c>
      <c r="ND63">
        <v>0</v>
      </c>
      <c r="NE63" s="1">
        <v>1</v>
      </c>
      <c r="NF63">
        <v>0</v>
      </c>
      <c r="NG63">
        <v>0</v>
      </c>
      <c r="NH63">
        <v>0</v>
      </c>
      <c r="NI63">
        <v>0</v>
      </c>
      <c r="NJ63" s="4">
        <v>0</v>
      </c>
      <c r="NK63">
        <v>0</v>
      </c>
      <c r="NL63">
        <v>0</v>
      </c>
      <c r="NM63">
        <v>0</v>
      </c>
      <c r="NN63" s="1">
        <v>1</v>
      </c>
      <c r="NO63">
        <v>1</v>
      </c>
      <c r="NP63">
        <v>0</v>
      </c>
      <c r="NQ63">
        <v>0</v>
      </c>
      <c r="NR63">
        <v>0</v>
      </c>
      <c r="NS63" s="4">
        <v>0</v>
      </c>
      <c r="NT63">
        <v>0</v>
      </c>
      <c r="NU63">
        <v>0</v>
      </c>
      <c r="NV63">
        <v>0</v>
      </c>
      <c r="NW63">
        <v>1</v>
      </c>
      <c r="NX63">
        <v>0</v>
      </c>
      <c r="NY63" s="4">
        <v>0</v>
      </c>
      <c r="NZ63">
        <v>0</v>
      </c>
      <c r="OA63">
        <v>0</v>
      </c>
      <c r="OB63">
        <v>0</v>
      </c>
      <c r="OC63">
        <v>0</v>
      </c>
      <c r="OD63" s="4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1</v>
      </c>
      <c r="OL63">
        <v>1</v>
      </c>
      <c r="OM63">
        <v>0</v>
      </c>
      <c r="ON63">
        <v>0</v>
      </c>
      <c r="OO63">
        <v>0</v>
      </c>
      <c r="OP63" s="4">
        <v>0</v>
      </c>
      <c r="OQ63">
        <v>0</v>
      </c>
      <c r="OS63" s="4">
        <f t="shared" si="0"/>
        <v>48</v>
      </c>
      <c r="OT63" s="4">
        <f t="shared" si="1"/>
        <v>49</v>
      </c>
    </row>
    <row r="64" spans="1:410" x14ac:dyDescent="0.3">
      <c r="A64" s="10" t="s">
        <v>676</v>
      </c>
      <c r="B64">
        <v>1</v>
      </c>
      <c r="C64">
        <v>0</v>
      </c>
      <c r="D64">
        <v>0</v>
      </c>
      <c r="E64">
        <v>0</v>
      </c>
      <c r="F64" s="1">
        <v>2</v>
      </c>
      <c r="G64" s="1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1</v>
      </c>
      <c r="Q64" s="1">
        <v>1</v>
      </c>
      <c r="R64">
        <v>1</v>
      </c>
      <c r="S64">
        <v>0</v>
      </c>
      <c r="T64">
        <v>0</v>
      </c>
      <c r="U64">
        <v>0</v>
      </c>
      <c r="V64" s="1">
        <v>1</v>
      </c>
      <c r="W64">
        <v>0</v>
      </c>
      <c r="X64">
        <v>0</v>
      </c>
      <c r="Y64">
        <v>0</v>
      </c>
      <c r="Z64">
        <v>0</v>
      </c>
      <c r="AA64" s="1">
        <v>1</v>
      </c>
      <c r="AB64" s="1">
        <v>1</v>
      </c>
      <c r="AC64">
        <v>0</v>
      </c>
      <c r="AD64" s="1">
        <v>1</v>
      </c>
      <c r="AE64">
        <v>0</v>
      </c>
      <c r="AF64">
        <v>0</v>
      </c>
      <c r="AG64">
        <v>1</v>
      </c>
      <c r="AH64">
        <v>0</v>
      </c>
      <c r="AI64" s="1">
        <v>1</v>
      </c>
      <c r="AJ64" s="1">
        <v>2</v>
      </c>
      <c r="AK64" s="1">
        <v>1</v>
      </c>
      <c r="AL64">
        <v>0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 s="1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 s="1">
        <v>1</v>
      </c>
      <c r="BT64">
        <v>0</v>
      </c>
      <c r="BU64" s="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s="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 s="4">
        <v>0</v>
      </c>
      <c r="CH64" s="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 s="1">
        <v>1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 s="4">
        <v>0</v>
      </c>
      <c r="DP64">
        <v>0</v>
      </c>
      <c r="DQ64">
        <v>0</v>
      </c>
      <c r="DR64" s="1">
        <v>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 s="4">
        <v>0</v>
      </c>
      <c r="EJ64">
        <v>0</v>
      </c>
      <c r="EK64">
        <v>0</v>
      </c>
      <c r="EL64" s="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 s="1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 s="4">
        <v>0</v>
      </c>
      <c r="FS64" s="1">
        <v>1</v>
      </c>
      <c r="FT64">
        <v>0</v>
      </c>
      <c r="FU64">
        <v>0</v>
      </c>
      <c r="FV64">
        <v>1</v>
      </c>
      <c r="FW64">
        <v>0</v>
      </c>
      <c r="FX64" s="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 s="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 s="1">
        <v>1</v>
      </c>
      <c r="GS64">
        <v>0</v>
      </c>
      <c r="GT64">
        <v>0</v>
      </c>
      <c r="GU64">
        <v>0</v>
      </c>
      <c r="GV64">
        <v>0</v>
      </c>
      <c r="GW64">
        <v>0</v>
      </c>
      <c r="GX64" s="1">
        <v>1</v>
      </c>
      <c r="GY64">
        <v>0</v>
      </c>
      <c r="GZ64">
        <v>1</v>
      </c>
      <c r="HA64">
        <v>0</v>
      </c>
      <c r="HB64">
        <v>0</v>
      </c>
      <c r="HC64" s="4">
        <v>0</v>
      </c>
      <c r="HD64">
        <v>0</v>
      </c>
      <c r="HE64">
        <v>0</v>
      </c>
      <c r="HF64">
        <v>0</v>
      </c>
      <c r="HG64">
        <v>0</v>
      </c>
      <c r="HH64" s="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 s="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 s="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 s="4">
        <v>0</v>
      </c>
      <c r="JL64">
        <v>0</v>
      </c>
      <c r="JM64" s="4">
        <v>0</v>
      </c>
      <c r="JN64">
        <v>0</v>
      </c>
      <c r="JO64">
        <v>0</v>
      </c>
      <c r="JP64">
        <v>0</v>
      </c>
      <c r="JQ64">
        <v>1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 s="4">
        <v>0</v>
      </c>
      <c r="KB64" s="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 s="1">
        <v>1</v>
      </c>
      <c r="KJ64">
        <v>0</v>
      </c>
      <c r="KK64">
        <v>0</v>
      </c>
      <c r="KL64">
        <v>0</v>
      </c>
      <c r="KM64">
        <v>1</v>
      </c>
      <c r="KN64">
        <v>1</v>
      </c>
      <c r="KO64">
        <v>0</v>
      </c>
      <c r="KP64">
        <v>0</v>
      </c>
      <c r="KQ64">
        <v>3</v>
      </c>
      <c r="KR64">
        <v>0</v>
      </c>
      <c r="KS64">
        <v>0</v>
      </c>
      <c r="KT64">
        <v>0</v>
      </c>
      <c r="KU64">
        <v>0</v>
      </c>
      <c r="KV64" s="4">
        <v>0</v>
      </c>
      <c r="KW64">
        <v>0</v>
      </c>
      <c r="KX64">
        <v>0</v>
      </c>
      <c r="KY64" s="4">
        <v>0</v>
      </c>
      <c r="KZ64">
        <v>0</v>
      </c>
      <c r="LA64">
        <v>0</v>
      </c>
      <c r="LB64">
        <v>0</v>
      </c>
      <c r="LC64" s="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1</v>
      </c>
      <c r="LJ64" s="1">
        <v>1</v>
      </c>
      <c r="LK64">
        <v>0</v>
      </c>
      <c r="LL64">
        <v>0</v>
      </c>
      <c r="LM64" s="4">
        <v>0</v>
      </c>
      <c r="LN64">
        <v>0</v>
      </c>
      <c r="LO64">
        <v>0</v>
      </c>
      <c r="LP64">
        <v>0</v>
      </c>
      <c r="LQ64">
        <v>0</v>
      </c>
      <c r="LR64" s="1">
        <v>1</v>
      </c>
      <c r="LS64">
        <v>0</v>
      </c>
      <c r="LT64">
        <v>0</v>
      </c>
      <c r="LU64" s="1">
        <v>1</v>
      </c>
      <c r="LV64">
        <v>0</v>
      </c>
      <c r="LW64">
        <v>0</v>
      </c>
      <c r="LX64">
        <v>0</v>
      </c>
      <c r="LY64">
        <v>1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1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 s="1">
        <v>1</v>
      </c>
      <c r="MO64">
        <v>0</v>
      </c>
      <c r="MP64">
        <v>0</v>
      </c>
      <c r="MQ64">
        <v>0</v>
      </c>
      <c r="MR64">
        <v>0</v>
      </c>
      <c r="MS64">
        <v>0</v>
      </c>
      <c r="MT64" s="4">
        <v>0</v>
      </c>
      <c r="MU64" s="1">
        <v>1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 s="4">
        <v>0</v>
      </c>
      <c r="NC64">
        <v>0</v>
      </c>
      <c r="ND64">
        <v>0</v>
      </c>
      <c r="NE64" s="1">
        <v>1</v>
      </c>
      <c r="NF64">
        <v>0</v>
      </c>
      <c r="NG64">
        <v>0</v>
      </c>
      <c r="NH64">
        <v>0</v>
      </c>
      <c r="NI64">
        <v>0</v>
      </c>
      <c r="NJ64" s="4">
        <v>0</v>
      </c>
      <c r="NK64">
        <v>0</v>
      </c>
      <c r="NL64">
        <v>0</v>
      </c>
      <c r="NM64">
        <v>0</v>
      </c>
      <c r="NN64" s="1">
        <v>1</v>
      </c>
      <c r="NO64">
        <v>1</v>
      </c>
      <c r="NP64">
        <v>1</v>
      </c>
      <c r="NQ64">
        <v>0</v>
      </c>
      <c r="NR64">
        <v>0</v>
      </c>
      <c r="NS64" s="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 s="4">
        <v>0</v>
      </c>
      <c r="NZ64">
        <v>1</v>
      </c>
      <c r="OA64">
        <v>0</v>
      </c>
      <c r="OB64">
        <v>0</v>
      </c>
      <c r="OC64">
        <v>0</v>
      </c>
      <c r="OD64" s="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1</v>
      </c>
      <c r="OL64">
        <v>1</v>
      </c>
      <c r="OM64">
        <v>0</v>
      </c>
      <c r="ON64">
        <v>0</v>
      </c>
      <c r="OO64">
        <v>0</v>
      </c>
      <c r="OP64" s="4">
        <v>0</v>
      </c>
      <c r="OQ64">
        <v>0</v>
      </c>
      <c r="OS64" s="4">
        <f t="shared" si="0"/>
        <v>62</v>
      </c>
      <c r="OT64" s="4">
        <f t="shared" si="1"/>
        <v>66</v>
      </c>
    </row>
    <row r="65" spans="1:410" x14ac:dyDescent="0.3">
      <c r="A65" s="10" t="s">
        <v>677</v>
      </c>
      <c r="B65">
        <v>0</v>
      </c>
      <c r="C65">
        <v>0</v>
      </c>
      <c r="D65">
        <v>0</v>
      </c>
      <c r="E65">
        <v>0</v>
      </c>
      <c r="F65" s="1">
        <v>1</v>
      </c>
      <c r="G65" s="1">
        <v>1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s="1">
        <v>0</v>
      </c>
      <c r="R65">
        <v>1</v>
      </c>
      <c r="S65">
        <v>0</v>
      </c>
      <c r="T65">
        <v>0</v>
      </c>
      <c r="U65">
        <v>0</v>
      </c>
      <c r="V65" s="1">
        <v>1</v>
      </c>
      <c r="W65">
        <v>0</v>
      </c>
      <c r="X65">
        <v>0</v>
      </c>
      <c r="Y65">
        <v>0</v>
      </c>
      <c r="Z65">
        <v>0</v>
      </c>
      <c r="AA65" s="1">
        <v>1</v>
      </c>
      <c r="AB65">
        <v>0</v>
      </c>
      <c r="AC65">
        <v>0</v>
      </c>
      <c r="AD65" s="1">
        <v>1</v>
      </c>
      <c r="AE65">
        <v>0</v>
      </c>
      <c r="AF65">
        <v>0</v>
      </c>
      <c r="AG65">
        <v>0</v>
      </c>
      <c r="AH65">
        <v>0</v>
      </c>
      <c r="AI65" s="1">
        <v>1</v>
      </c>
      <c r="AJ65" s="1">
        <v>1</v>
      </c>
      <c r="AK65" s="1">
        <v>1</v>
      </c>
      <c r="AL65">
        <v>0</v>
      </c>
      <c r="AM65" s="1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1">
        <v>1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 s="1">
        <v>1</v>
      </c>
      <c r="BT65">
        <v>0</v>
      </c>
      <c r="BU65" s="4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s="4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 s="4">
        <v>0</v>
      </c>
      <c r="CH65" s="4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1</v>
      </c>
      <c r="DG65">
        <v>0</v>
      </c>
      <c r="DH65" s="1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 s="4">
        <v>0</v>
      </c>
      <c r="DP65">
        <v>0</v>
      </c>
      <c r="DQ65">
        <v>0</v>
      </c>
      <c r="DR65" s="1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 s="4">
        <v>0</v>
      </c>
      <c r="EJ65">
        <v>0</v>
      </c>
      <c r="EK65">
        <v>0</v>
      </c>
      <c r="EL65" s="4">
        <v>0</v>
      </c>
      <c r="EM65">
        <v>0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2</v>
      </c>
      <c r="FB65">
        <v>0</v>
      </c>
      <c r="FC65">
        <v>0</v>
      </c>
      <c r="FD65">
        <v>0</v>
      </c>
      <c r="FE65">
        <v>2</v>
      </c>
      <c r="FF65">
        <v>0</v>
      </c>
      <c r="FG65">
        <v>0</v>
      </c>
      <c r="FH65" s="1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 s="4">
        <v>0</v>
      </c>
      <c r="FS65" s="1">
        <v>1</v>
      </c>
      <c r="FT65">
        <v>0</v>
      </c>
      <c r="FU65">
        <v>1</v>
      </c>
      <c r="FV65">
        <v>0</v>
      </c>
      <c r="FW65">
        <v>0</v>
      </c>
      <c r="FX65" s="4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 s="4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0</v>
      </c>
      <c r="GP65">
        <v>0</v>
      </c>
      <c r="GQ65">
        <v>0</v>
      </c>
      <c r="GR65" s="1">
        <v>1</v>
      </c>
      <c r="GS65">
        <v>0</v>
      </c>
      <c r="GT65">
        <v>0</v>
      </c>
      <c r="GU65">
        <v>0</v>
      </c>
      <c r="GV65">
        <v>0</v>
      </c>
      <c r="GW65">
        <v>0</v>
      </c>
      <c r="GX65" s="1">
        <v>1</v>
      </c>
      <c r="GY65">
        <v>0</v>
      </c>
      <c r="GZ65">
        <v>0</v>
      </c>
      <c r="HA65">
        <v>0</v>
      </c>
      <c r="HB65">
        <v>0</v>
      </c>
      <c r="HC65" s="4">
        <v>0</v>
      </c>
      <c r="HD65">
        <v>0</v>
      </c>
      <c r="HE65">
        <v>1</v>
      </c>
      <c r="HF65">
        <v>0</v>
      </c>
      <c r="HG65">
        <v>0</v>
      </c>
      <c r="HH65" s="4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 s="4">
        <v>0</v>
      </c>
      <c r="IJ65">
        <v>0</v>
      </c>
      <c r="IK65">
        <v>1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1</v>
      </c>
      <c r="IR65" s="4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 s="4">
        <v>0</v>
      </c>
      <c r="JL65">
        <v>0</v>
      </c>
      <c r="JM65" s="4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1</v>
      </c>
      <c r="JZ65">
        <v>0</v>
      </c>
      <c r="KA65" s="4">
        <v>0</v>
      </c>
      <c r="KB65" s="4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 s="1">
        <v>1</v>
      </c>
      <c r="KJ65">
        <v>0</v>
      </c>
      <c r="KK65">
        <v>0</v>
      </c>
      <c r="KL65">
        <v>0</v>
      </c>
      <c r="KM65">
        <v>1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 s="4">
        <v>0</v>
      </c>
      <c r="KW65">
        <v>0</v>
      </c>
      <c r="KX65">
        <v>0</v>
      </c>
      <c r="KY65" s="4">
        <v>0</v>
      </c>
      <c r="KZ65">
        <v>0</v>
      </c>
      <c r="LA65">
        <v>0</v>
      </c>
      <c r="LB65">
        <v>0</v>
      </c>
      <c r="LC65" s="4">
        <v>0</v>
      </c>
      <c r="LD65">
        <v>0</v>
      </c>
      <c r="LE65">
        <v>0</v>
      </c>
      <c r="LF65">
        <v>0</v>
      </c>
      <c r="LG65">
        <v>1</v>
      </c>
      <c r="LH65">
        <v>0</v>
      </c>
      <c r="LI65">
        <v>1</v>
      </c>
      <c r="LJ65" s="1">
        <v>1</v>
      </c>
      <c r="LK65">
        <v>0</v>
      </c>
      <c r="LL65">
        <v>0</v>
      </c>
      <c r="LM65" s="4">
        <v>0</v>
      </c>
      <c r="LN65">
        <v>0</v>
      </c>
      <c r="LO65">
        <v>0</v>
      </c>
      <c r="LP65">
        <v>0</v>
      </c>
      <c r="LQ65">
        <v>0</v>
      </c>
      <c r="LR65" s="1">
        <v>1</v>
      </c>
      <c r="LS65">
        <v>0</v>
      </c>
      <c r="LT65">
        <v>0</v>
      </c>
      <c r="LU65" s="1">
        <v>1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 s="1">
        <v>1</v>
      </c>
      <c r="MO65">
        <v>0</v>
      </c>
      <c r="MP65">
        <v>0</v>
      </c>
      <c r="MQ65">
        <v>0</v>
      </c>
      <c r="MR65">
        <v>0</v>
      </c>
      <c r="MS65">
        <v>0</v>
      </c>
      <c r="MT65" s="4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 s="4">
        <v>0</v>
      </c>
      <c r="NC65">
        <v>0</v>
      </c>
      <c r="ND65">
        <v>0</v>
      </c>
      <c r="NE65" s="1">
        <v>1</v>
      </c>
      <c r="NF65">
        <v>0</v>
      </c>
      <c r="NG65">
        <v>0</v>
      </c>
      <c r="NH65">
        <v>0</v>
      </c>
      <c r="NI65">
        <v>0</v>
      </c>
      <c r="NJ65" s="4">
        <v>0</v>
      </c>
      <c r="NK65">
        <v>0</v>
      </c>
      <c r="NL65">
        <v>0</v>
      </c>
      <c r="NM65">
        <v>0</v>
      </c>
      <c r="NN65" s="1">
        <v>1</v>
      </c>
      <c r="NO65">
        <v>0</v>
      </c>
      <c r="NP65">
        <v>0</v>
      </c>
      <c r="NQ65">
        <v>1</v>
      </c>
      <c r="NR65">
        <v>1</v>
      </c>
      <c r="NS65" s="4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 s="4">
        <v>0</v>
      </c>
      <c r="NZ65">
        <v>0</v>
      </c>
      <c r="OA65">
        <v>0</v>
      </c>
      <c r="OB65">
        <v>0</v>
      </c>
      <c r="OC65">
        <v>1</v>
      </c>
      <c r="OD65" s="4">
        <v>0</v>
      </c>
      <c r="OE65">
        <v>0</v>
      </c>
      <c r="OF65">
        <v>0</v>
      </c>
      <c r="OG65">
        <v>1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 s="4">
        <v>0</v>
      </c>
      <c r="OQ65">
        <v>1</v>
      </c>
      <c r="OS65" s="4">
        <f t="shared" si="0"/>
        <v>50</v>
      </c>
      <c r="OT65" s="4">
        <f t="shared" si="1"/>
        <v>52</v>
      </c>
    </row>
    <row r="66" spans="1:410" x14ac:dyDescent="0.3">
      <c r="A66" s="10" t="s">
        <v>678</v>
      </c>
      <c r="B66">
        <v>1</v>
      </c>
      <c r="C66">
        <v>0</v>
      </c>
      <c r="D66">
        <v>0</v>
      </c>
      <c r="E66">
        <v>0</v>
      </c>
      <c r="F66" s="1">
        <v>1</v>
      </c>
      <c r="G66" s="1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 s="1">
        <v>1</v>
      </c>
      <c r="R66">
        <v>1</v>
      </c>
      <c r="S66">
        <v>0</v>
      </c>
      <c r="T66">
        <v>0</v>
      </c>
      <c r="U66">
        <v>0</v>
      </c>
      <c r="V66" s="1">
        <v>1</v>
      </c>
      <c r="W66">
        <v>0</v>
      </c>
      <c r="X66">
        <v>0</v>
      </c>
      <c r="Y66">
        <v>0</v>
      </c>
      <c r="Z66">
        <v>0</v>
      </c>
      <c r="AA66" s="1">
        <v>1</v>
      </c>
      <c r="AB66" s="1">
        <v>1</v>
      </c>
      <c r="AC66">
        <v>0</v>
      </c>
      <c r="AD66" s="1">
        <v>1</v>
      </c>
      <c r="AE66">
        <v>0</v>
      </c>
      <c r="AF66">
        <v>0</v>
      </c>
      <c r="AG66">
        <v>0</v>
      </c>
      <c r="AH66">
        <v>0</v>
      </c>
      <c r="AI66" s="1">
        <v>1</v>
      </c>
      <c r="AJ66" s="1">
        <v>1</v>
      </c>
      <c r="AK66" s="1">
        <v>1</v>
      </c>
      <c r="AL66">
        <v>0</v>
      </c>
      <c r="AM66">
        <v>0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 s="1">
        <v>1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s="1">
        <v>1</v>
      </c>
      <c r="BT66">
        <v>0</v>
      </c>
      <c r="BU66" s="4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s="4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s="4">
        <v>0</v>
      </c>
      <c r="CH66" s="4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 s="4">
        <v>0</v>
      </c>
      <c r="DP66">
        <v>0</v>
      </c>
      <c r="DQ66">
        <v>0</v>
      </c>
      <c r="DR66" s="1">
        <v>2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 s="4">
        <v>0</v>
      </c>
      <c r="EJ66">
        <v>0</v>
      </c>
      <c r="EK66">
        <v>0</v>
      </c>
      <c r="EL66" s="4">
        <v>0</v>
      </c>
      <c r="EM66">
        <v>0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 s="1">
        <v>0</v>
      </c>
      <c r="FI66">
        <v>1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 s="4">
        <v>0</v>
      </c>
      <c r="FS66" s="1">
        <v>1</v>
      </c>
      <c r="FT66">
        <v>0</v>
      </c>
      <c r="FU66">
        <v>0</v>
      </c>
      <c r="FV66">
        <v>1</v>
      </c>
      <c r="FW66">
        <v>0</v>
      </c>
      <c r="FX66" s="4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 s="4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0</v>
      </c>
      <c r="GP66">
        <v>0</v>
      </c>
      <c r="GQ66">
        <v>0</v>
      </c>
      <c r="GR66" s="1">
        <v>1</v>
      </c>
      <c r="GS66">
        <v>0</v>
      </c>
      <c r="GT66">
        <v>0</v>
      </c>
      <c r="GU66">
        <v>0</v>
      </c>
      <c r="GV66">
        <v>0</v>
      </c>
      <c r="GW66">
        <v>0</v>
      </c>
      <c r="GX66" s="1">
        <v>1</v>
      </c>
      <c r="GY66">
        <v>0</v>
      </c>
      <c r="GZ66">
        <v>0</v>
      </c>
      <c r="HA66">
        <v>0</v>
      </c>
      <c r="HB66">
        <v>0</v>
      </c>
      <c r="HC66" s="4">
        <v>0</v>
      </c>
      <c r="HD66">
        <v>0</v>
      </c>
      <c r="HE66">
        <v>0</v>
      </c>
      <c r="HF66">
        <v>0</v>
      </c>
      <c r="HG66">
        <v>0</v>
      </c>
      <c r="HH66" s="4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 s="4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1</v>
      </c>
      <c r="IR66" s="4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 s="4">
        <v>0</v>
      </c>
      <c r="JL66">
        <v>0</v>
      </c>
      <c r="JM66" s="4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</v>
      </c>
      <c r="JV66">
        <v>0</v>
      </c>
      <c r="JW66">
        <v>1</v>
      </c>
      <c r="JX66">
        <v>0</v>
      </c>
      <c r="JY66">
        <v>0</v>
      </c>
      <c r="JZ66">
        <v>0</v>
      </c>
      <c r="KA66" s="4">
        <v>0</v>
      </c>
      <c r="KB66" s="4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 s="1">
        <v>1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1</v>
      </c>
      <c r="KR66">
        <v>0</v>
      </c>
      <c r="KS66">
        <v>0</v>
      </c>
      <c r="KT66">
        <v>0</v>
      </c>
      <c r="KU66">
        <v>0</v>
      </c>
      <c r="KV66" s="4">
        <v>0</v>
      </c>
      <c r="KW66">
        <v>0</v>
      </c>
      <c r="KX66">
        <v>1</v>
      </c>
      <c r="KY66" s="4">
        <v>0</v>
      </c>
      <c r="KZ66">
        <v>0</v>
      </c>
      <c r="LA66">
        <v>0</v>
      </c>
      <c r="LB66">
        <v>0</v>
      </c>
      <c r="LC66" s="4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1</v>
      </c>
      <c r="LJ66" s="1">
        <v>1</v>
      </c>
      <c r="LK66">
        <v>0</v>
      </c>
      <c r="LL66">
        <v>0</v>
      </c>
      <c r="LM66" s="4">
        <v>0</v>
      </c>
      <c r="LN66">
        <v>0</v>
      </c>
      <c r="LO66">
        <v>0</v>
      </c>
      <c r="LP66">
        <v>0</v>
      </c>
      <c r="LQ66">
        <v>0</v>
      </c>
      <c r="LR66" s="1">
        <v>1</v>
      </c>
      <c r="LS66">
        <v>0</v>
      </c>
      <c r="LT66">
        <v>0</v>
      </c>
      <c r="LU66" s="1">
        <v>1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1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1</v>
      </c>
      <c r="MM66">
        <v>0</v>
      </c>
      <c r="MN66" s="1">
        <v>1</v>
      </c>
      <c r="MO66">
        <v>0</v>
      </c>
      <c r="MP66">
        <v>0</v>
      </c>
      <c r="MQ66">
        <v>0</v>
      </c>
      <c r="MR66">
        <v>0</v>
      </c>
      <c r="MS66">
        <v>0</v>
      </c>
      <c r="MT66" s="4">
        <v>0</v>
      </c>
      <c r="MU66" s="1">
        <v>1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 s="4">
        <v>0</v>
      </c>
      <c r="NC66">
        <v>1</v>
      </c>
      <c r="ND66">
        <v>0</v>
      </c>
      <c r="NE66" s="1">
        <v>1</v>
      </c>
      <c r="NF66">
        <v>0</v>
      </c>
      <c r="NG66">
        <v>0</v>
      </c>
      <c r="NH66">
        <v>0</v>
      </c>
      <c r="NI66">
        <v>0</v>
      </c>
      <c r="NJ66" s="4">
        <v>0</v>
      </c>
      <c r="NK66">
        <v>0</v>
      </c>
      <c r="NL66">
        <v>0</v>
      </c>
      <c r="NM66">
        <v>0</v>
      </c>
      <c r="NN66" s="1">
        <v>1</v>
      </c>
      <c r="NO66">
        <v>0</v>
      </c>
      <c r="NP66">
        <v>0</v>
      </c>
      <c r="NQ66">
        <v>0</v>
      </c>
      <c r="NR66">
        <v>0</v>
      </c>
      <c r="NS66" s="4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 s="4">
        <v>0</v>
      </c>
      <c r="NZ66">
        <v>0</v>
      </c>
      <c r="OA66">
        <v>0</v>
      </c>
      <c r="OB66">
        <v>0</v>
      </c>
      <c r="OC66">
        <v>0</v>
      </c>
      <c r="OD66" s="4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1</v>
      </c>
      <c r="OL66">
        <v>1</v>
      </c>
      <c r="OM66">
        <v>0</v>
      </c>
      <c r="ON66">
        <v>0</v>
      </c>
      <c r="OO66">
        <v>0</v>
      </c>
      <c r="OP66" s="4">
        <v>0</v>
      </c>
      <c r="OQ66">
        <v>0</v>
      </c>
      <c r="OS66" s="4">
        <f t="shared" si="0"/>
        <v>53</v>
      </c>
      <c r="OT66" s="4">
        <f t="shared" si="1"/>
        <v>54</v>
      </c>
    </row>
    <row r="67" spans="1:410" x14ac:dyDescent="0.3">
      <c r="A67" s="10" t="s">
        <v>679</v>
      </c>
      <c r="B67">
        <v>0</v>
      </c>
      <c r="C67">
        <v>0</v>
      </c>
      <c r="D67">
        <v>0</v>
      </c>
      <c r="E67">
        <v>2</v>
      </c>
      <c r="F67" s="1">
        <v>1</v>
      </c>
      <c r="G67" s="1">
        <v>2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 s="1">
        <v>1</v>
      </c>
      <c r="R67">
        <v>1</v>
      </c>
      <c r="S67">
        <v>0</v>
      </c>
      <c r="T67">
        <v>0</v>
      </c>
      <c r="U67">
        <v>0</v>
      </c>
      <c r="V67" s="1">
        <v>1</v>
      </c>
      <c r="W67">
        <v>0</v>
      </c>
      <c r="X67">
        <v>1</v>
      </c>
      <c r="Y67">
        <v>0</v>
      </c>
      <c r="Z67">
        <v>0</v>
      </c>
      <c r="AA67" s="1">
        <v>1</v>
      </c>
      <c r="AB67" s="1">
        <v>1</v>
      </c>
      <c r="AC67">
        <v>0</v>
      </c>
      <c r="AD67" s="1">
        <v>1</v>
      </c>
      <c r="AE67">
        <v>0</v>
      </c>
      <c r="AF67">
        <v>0</v>
      </c>
      <c r="AG67">
        <v>0</v>
      </c>
      <c r="AH67">
        <v>0</v>
      </c>
      <c r="AI67" s="1">
        <v>1</v>
      </c>
      <c r="AJ67" s="1">
        <v>2</v>
      </c>
      <c r="AK67" s="1">
        <v>1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0</v>
      </c>
      <c r="AU67" s="1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s="1">
        <v>1</v>
      </c>
      <c r="BT67">
        <v>0</v>
      </c>
      <c r="BU67" s="4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s="4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 s="4">
        <v>0</v>
      </c>
      <c r="CH67" s="4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 s="1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 s="4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 s="4">
        <v>0</v>
      </c>
      <c r="EJ67">
        <v>0</v>
      </c>
      <c r="EK67">
        <v>0</v>
      </c>
      <c r="EL67" s="4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 s="1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 s="4">
        <v>0</v>
      </c>
      <c r="FS67" s="1">
        <v>1</v>
      </c>
      <c r="FT67">
        <v>0</v>
      </c>
      <c r="FU67">
        <v>0</v>
      </c>
      <c r="FV67">
        <v>1</v>
      </c>
      <c r="FW67">
        <v>0</v>
      </c>
      <c r="FX67" s="4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 s="4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0</v>
      </c>
      <c r="GR67" s="1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 s="1">
        <v>1</v>
      </c>
      <c r="GY67">
        <v>0</v>
      </c>
      <c r="GZ67">
        <v>0</v>
      </c>
      <c r="HA67">
        <v>0</v>
      </c>
      <c r="HB67">
        <v>0</v>
      </c>
      <c r="HC67" s="4">
        <v>0</v>
      </c>
      <c r="HD67">
        <v>0</v>
      </c>
      <c r="HE67">
        <v>0</v>
      </c>
      <c r="HF67">
        <v>0</v>
      </c>
      <c r="HG67">
        <v>0</v>
      </c>
      <c r="HH67" s="4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 s="1">
        <v>1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 s="4">
        <v>0</v>
      </c>
      <c r="IJ67">
        <v>0</v>
      </c>
      <c r="IK67">
        <v>0</v>
      </c>
      <c r="IL67">
        <v>0</v>
      </c>
      <c r="IM67">
        <v>1</v>
      </c>
      <c r="IN67">
        <v>0</v>
      </c>
      <c r="IO67">
        <v>0</v>
      </c>
      <c r="IP67">
        <v>0</v>
      </c>
      <c r="IQ67">
        <v>1</v>
      </c>
      <c r="IR67" s="4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1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1</v>
      </c>
      <c r="JK67" s="4">
        <v>0</v>
      </c>
      <c r="JL67">
        <v>0</v>
      </c>
      <c r="JM67" s="4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 s="4">
        <v>0</v>
      </c>
      <c r="KB67" s="4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 s="1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1</v>
      </c>
      <c r="KR67">
        <v>0</v>
      </c>
      <c r="KS67">
        <v>0</v>
      </c>
      <c r="KT67">
        <v>0</v>
      </c>
      <c r="KU67">
        <v>0</v>
      </c>
      <c r="KV67" s="4">
        <v>0</v>
      </c>
      <c r="KW67">
        <v>0</v>
      </c>
      <c r="KX67">
        <v>0</v>
      </c>
      <c r="KY67" s="4">
        <v>0</v>
      </c>
      <c r="KZ67">
        <v>0</v>
      </c>
      <c r="LA67">
        <v>0</v>
      </c>
      <c r="LB67">
        <v>0</v>
      </c>
      <c r="LC67" s="4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1</v>
      </c>
      <c r="LJ67" s="1">
        <v>1</v>
      </c>
      <c r="LK67">
        <v>0</v>
      </c>
      <c r="LL67">
        <v>0</v>
      </c>
      <c r="LM67" s="4">
        <v>0</v>
      </c>
      <c r="LN67">
        <v>0</v>
      </c>
      <c r="LO67">
        <v>0</v>
      </c>
      <c r="LP67">
        <v>0</v>
      </c>
      <c r="LQ67">
        <v>0</v>
      </c>
      <c r="LR67" s="1">
        <v>1</v>
      </c>
      <c r="LS67">
        <v>0</v>
      </c>
      <c r="LT67">
        <v>0</v>
      </c>
      <c r="LU67" s="1">
        <v>1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1</v>
      </c>
      <c r="MF67">
        <v>0</v>
      </c>
      <c r="MG67">
        <v>1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 s="1">
        <v>1</v>
      </c>
      <c r="MO67">
        <v>0</v>
      </c>
      <c r="MP67">
        <v>0</v>
      </c>
      <c r="MQ67">
        <v>0</v>
      </c>
      <c r="MR67">
        <v>0</v>
      </c>
      <c r="MS67">
        <v>0</v>
      </c>
      <c r="MT67" s="4">
        <v>0</v>
      </c>
      <c r="MU67" s="1">
        <v>1</v>
      </c>
      <c r="MV67">
        <v>0</v>
      </c>
      <c r="MW67">
        <v>0</v>
      </c>
      <c r="MX67">
        <v>1</v>
      </c>
      <c r="MY67">
        <v>0</v>
      </c>
      <c r="MZ67">
        <v>0</v>
      </c>
      <c r="NA67">
        <v>0</v>
      </c>
      <c r="NB67" s="4">
        <v>0</v>
      </c>
      <c r="NC67">
        <v>0</v>
      </c>
      <c r="ND67">
        <v>0</v>
      </c>
      <c r="NE67" s="1">
        <v>1</v>
      </c>
      <c r="NF67">
        <v>0</v>
      </c>
      <c r="NG67">
        <v>0</v>
      </c>
      <c r="NH67">
        <v>0</v>
      </c>
      <c r="NI67">
        <v>0</v>
      </c>
      <c r="NJ67" s="4">
        <v>0</v>
      </c>
      <c r="NK67">
        <v>0</v>
      </c>
      <c r="NL67">
        <v>0</v>
      </c>
      <c r="NM67">
        <v>0</v>
      </c>
      <c r="NN67" s="1">
        <v>1</v>
      </c>
      <c r="NO67">
        <v>0</v>
      </c>
      <c r="NP67">
        <v>0</v>
      </c>
      <c r="NQ67">
        <v>0</v>
      </c>
      <c r="NR67">
        <v>1</v>
      </c>
      <c r="NS67" s="4">
        <v>0</v>
      </c>
      <c r="NT67">
        <v>0</v>
      </c>
      <c r="NU67">
        <v>0</v>
      </c>
      <c r="NV67">
        <v>1</v>
      </c>
      <c r="NW67">
        <v>0</v>
      </c>
      <c r="NX67">
        <v>0</v>
      </c>
      <c r="NY67" s="4">
        <v>0</v>
      </c>
      <c r="NZ67">
        <v>0</v>
      </c>
      <c r="OA67">
        <v>0</v>
      </c>
      <c r="OB67">
        <v>0</v>
      </c>
      <c r="OC67">
        <v>0</v>
      </c>
      <c r="OD67" s="4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1</v>
      </c>
      <c r="OL67">
        <v>1</v>
      </c>
      <c r="OM67">
        <v>0</v>
      </c>
      <c r="ON67">
        <v>0</v>
      </c>
      <c r="OO67">
        <v>0</v>
      </c>
      <c r="OP67" s="4">
        <v>0</v>
      </c>
      <c r="OQ67">
        <v>0</v>
      </c>
      <c r="OS67" s="4">
        <f t="shared" ref="OS67:OS101" si="2">406-COUNTIF(B67:OQ67,0)</f>
        <v>55</v>
      </c>
      <c r="OT67" s="4">
        <f t="shared" ref="OT67:OT101" si="3">SUM(B67:OQ67)</f>
        <v>58</v>
      </c>
    </row>
    <row r="68" spans="1:410" x14ac:dyDescent="0.3">
      <c r="A68" s="10" t="s">
        <v>680</v>
      </c>
      <c r="B68">
        <v>1</v>
      </c>
      <c r="C68">
        <v>0</v>
      </c>
      <c r="D68">
        <v>0</v>
      </c>
      <c r="E68">
        <v>1</v>
      </c>
      <c r="F68" s="1">
        <v>2</v>
      </c>
      <c r="G68" s="1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">
        <v>1</v>
      </c>
      <c r="R68">
        <v>0</v>
      </c>
      <c r="S68">
        <v>0</v>
      </c>
      <c r="T68">
        <v>0</v>
      </c>
      <c r="U68">
        <v>0</v>
      </c>
      <c r="V68" s="1">
        <v>1</v>
      </c>
      <c r="W68">
        <v>0</v>
      </c>
      <c r="X68">
        <v>0</v>
      </c>
      <c r="Y68">
        <v>0</v>
      </c>
      <c r="Z68">
        <v>0</v>
      </c>
      <c r="AA68" s="1">
        <v>1</v>
      </c>
      <c r="AB68">
        <v>0</v>
      </c>
      <c r="AC68">
        <v>0</v>
      </c>
      <c r="AD68" s="1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 s="1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1">
        <v>1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 s="1">
        <v>1</v>
      </c>
      <c r="BT68">
        <v>0</v>
      </c>
      <c r="BU68" s="4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 s="4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 s="4">
        <v>0</v>
      </c>
      <c r="CH68" s="4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 s="4">
        <v>0</v>
      </c>
      <c r="DP68">
        <v>0</v>
      </c>
      <c r="DQ68">
        <v>0</v>
      </c>
      <c r="DR68" s="1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 s="4">
        <v>0</v>
      </c>
      <c r="EJ68">
        <v>0</v>
      </c>
      <c r="EK68">
        <v>0</v>
      </c>
      <c r="EL68" s="4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1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 s="1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 s="4">
        <v>0</v>
      </c>
      <c r="FS68" s="1">
        <v>1</v>
      </c>
      <c r="FT68">
        <v>0</v>
      </c>
      <c r="FU68">
        <v>1</v>
      </c>
      <c r="FV68">
        <v>1</v>
      </c>
      <c r="FW68">
        <v>0</v>
      </c>
      <c r="FX68" s="4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 s="4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 s="1">
        <v>1</v>
      </c>
      <c r="GS68">
        <v>0</v>
      </c>
      <c r="GT68">
        <v>0</v>
      </c>
      <c r="GU68">
        <v>0</v>
      </c>
      <c r="GV68">
        <v>1</v>
      </c>
      <c r="GW68">
        <v>0</v>
      </c>
      <c r="GX68" s="1">
        <v>1</v>
      </c>
      <c r="GY68">
        <v>0</v>
      </c>
      <c r="GZ68">
        <v>1</v>
      </c>
      <c r="HA68">
        <v>0</v>
      </c>
      <c r="HB68">
        <v>0</v>
      </c>
      <c r="HC68" s="4">
        <v>0</v>
      </c>
      <c r="HD68">
        <v>0</v>
      </c>
      <c r="HE68">
        <v>0</v>
      </c>
      <c r="HF68">
        <v>0</v>
      </c>
      <c r="HG68">
        <v>0</v>
      </c>
      <c r="HH68" s="4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 s="1">
        <v>1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 s="4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1</v>
      </c>
      <c r="IR68" s="4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1</v>
      </c>
      <c r="IY68">
        <v>0</v>
      </c>
      <c r="IZ68">
        <v>0</v>
      </c>
      <c r="JA68">
        <v>0</v>
      </c>
      <c r="JB68">
        <v>1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1</v>
      </c>
      <c r="JJ68">
        <v>1</v>
      </c>
      <c r="JK68" s="4">
        <v>0</v>
      </c>
      <c r="JL68">
        <v>0</v>
      </c>
      <c r="JM68" s="4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 s="4">
        <v>0</v>
      </c>
      <c r="KB68" s="4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 s="1">
        <v>1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1</v>
      </c>
      <c r="KQ68">
        <v>0</v>
      </c>
      <c r="KR68">
        <v>0</v>
      </c>
      <c r="KS68">
        <v>0</v>
      </c>
      <c r="KT68">
        <v>0</v>
      </c>
      <c r="KU68">
        <v>0</v>
      </c>
      <c r="KV68" s="4">
        <v>0</v>
      </c>
      <c r="KW68">
        <v>0</v>
      </c>
      <c r="KX68">
        <v>1</v>
      </c>
      <c r="KY68" s="4">
        <v>0</v>
      </c>
      <c r="KZ68">
        <v>0</v>
      </c>
      <c r="LA68">
        <v>0</v>
      </c>
      <c r="LB68">
        <v>0</v>
      </c>
      <c r="LC68" s="4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 s="1">
        <v>1</v>
      </c>
      <c r="LK68">
        <v>0</v>
      </c>
      <c r="LL68">
        <v>0</v>
      </c>
      <c r="LM68" s="4">
        <v>0</v>
      </c>
      <c r="LN68">
        <v>0</v>
      </c>
      <c r="LO68">
        <v>0</v>
      </c>
      <c r="LP68">
        <v>0</v>
      </c>
      <c r="LQ68">
        <v>1</v>
      </c>
      <c r="LR68" s="1">
        <v>1</v>
      </c>
      <c r="LS68">
        <v>0</v>
      </c>
      <c r="LT68">
        <v>0</v>
      </c>
      <c r="LU68" s="1">
        <v>1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1</v>
      </c>
      <c r="MD68">
        <v>0</v>
      </c>
      <c r="ME68">
        <v>1</v>
      </c>
      <c r="MF68">
        <v>0</v>
      </c>
      <c r="MG68">
        <v>1</v>
      </c>
      <c r="MH68">
        <v>0</v>
      </c>
      <c r="MI68">
        <v>0</v>
      </c>
      <c r="MJ68">
        <v>0</v>
      </c>
      <c r="MK68">
        <v>0</v>
      </c>
      <c r="ML68">
        <v>1</v>
      </c>
      <c r="MM68">
        <v>0</v>
      </c>
      <c r="MN68" s="1">
        <v>1</v>
      </c>
      <c r="MO68">
        <v>0</v>
      </c>
      <c r="MP68">
        <v>0</v>
      </c>
      <c r="MQ68">
        <v>0</v>
      </c>
      <c r="MR68">
        <v>1</v>
      </c>
      <c r="MS68">
        <v>0</v>
      </c>
      <c r="MT68" s="4">
        <v>0</v>
      </c>
      <c r="MU68" s="1">
        <v>1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 s="4">
        <v>0</v>
      </c>
      <c r="NC68">
        <v>0</v>
      </c>
      <c r="ND68">
        <v>0</v>
      </c>
      <c r="NE68" s="1">
        <v>1</v>
      </c>
      <c r="NF68">
        <v>0</v>
      </c>
      <c r="NG68">
        <v>0</v>
      </c>
      <c r="NH68">
        <v>0</v>
      </c>
      <c r="NI68">
        <v>0</v>
      </c>
      <c r="NJ68" s="4">
        <v>0</v>
      </c>
      <c r="NK68">
        <v>0</v>
      </c>
      <c r="NL68">
        <v>0</v>
      </c>
      <c r="NM68">
        <v>0</v>
      </c>
      <c r="NN68" s="1">
        <v>1</v>
      </c>
      <c r="NO68">
        <v>0</v>
      </c>
      <c r="NP68">
        <v>0</v>
      </c>
      <c r="NQ68">
        <v>0</v>
      </c>
      <c r="NR68">
        <v>0</v>
      </c>
      <c r="NS68" s="4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 s="4">
        <v>0</v>
      </c>
      <c r="NZ68">
        <v>0</v>
      </c>
      <c r="OA68">
        <v>0</v>
      </c>
      <c r="OB68">
        <v>0</v>
      </c>
      <c r="OC68">
        <v>0</v>
      </c>
      <c r="OD68" s="4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1</v>
      </c>
      <c r="OL68">
        <v>3</v>
      </c>
      <c r="OM68">
        <v>0</v>
      </c>
      <c r="ON68">
        <v>1</v>
      </c>
      <c r="OO68">
        <v>0</v>
      </c>
      <c r="OP68" s="4">
        <v>0</v>
      </c>
      <c r="OQ68">
        <v>0</v>
      </c>
      <c r="OS68" s="4">
        <f t="shared" si="2"/>
        <v>58</v>
      </c>
      <c r="OT68" s="4">
        <f t="shared" si="3"/>
        <v>62</v>
      </c>
    </row>
    <row r="69" spans="1:410" x14ac:dyDescent="0.3">
      <c r="A69" s="10" t="s">
        <v>681</v>
      </c>
      <c r="B69">
        <v>2</v>
      </c>
      <c r="C69">
        <v>0</v>
      </c>
      <c r="D69">
        <v>0</v>
      </c>
      <c r="E69">
        <v>1</v>
      </c>
      <c r="F69" s="1">
        <v>1</v>
      </c>
      <c r="G69" s="1">
        <v>2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 s="1">
        <v>1</v>
      </c>
      <c r="R69">
        <v>1</v>
      </c>
      <c r="S69">
        <v>0</v>
      </c>
      <c r="T69">
        <v>0</v>
      </c>
      <c r="U69">
        <v>0</v>
      </c>
      <c r="V69" s="1">
        <v>1</v>
      </c>
      <c r="W69">
        <v>0</v>
      </c>
      <c r="X69">
        <v>1</v>
      </c>
      <c r="Y69">
        <v>0</v>
      </c>
      <c r="Z69">
        <v>0</v>
      </c>
      <c r="AA69" s="1">
        <v>1</v>
      </c>
      <c r="AB69" s="1">
        <v>1</v>
      </c>
      <c r="AC69">
        <v>0</v>
      </c>
      <c r="AD69" s="1">
        <v>1</v>
      </c>
      <c r="AE69">
        <v>1</v>
      </c>
      <c r="AF69">
        <v>0</v>
      </c>
      <c r="AG69">
        <v>1</v>
      </c>
      <c r="AH69">
        <v>0</v>
      </c>
      <c r="AI69" s="1">
        <v>1</v>
      </c>
      <c r="AJ69" s="1">
        <v>1</v>
      </c>
      <c r="AK69" s="1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0</v>
      </c>
      <c r="AU69" s="1">
        <v>1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s="1">
        <v>1</v>
      </c>
      <c r="BT69">
        <v>0</v>
      </c>
      <c r="BU69" s="4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 s="4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 s="4">
        <v>0</v>
      </c>
      <c r="CH69" s="4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 s="1">
        <v>1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 s="4">
        <v>0</v>
      </c>
      <c r="DP69">
        <v>0</v>
      </c>
      <c r="DQ69">
        <v>0</v>
      </c>
      <c r="DR69" s="1">
        <v>2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0</v>
      </c>
      <c r="EI69" s="4">
        <v>0</v>
      </c>
      <c r="EJ69">
        <v>0</v>
      </c>
      <c r="EK69">
        <v>0</v>
      </c>
      <c r="EL69" s="4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 s="1">
        <v>1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 s="4">
        <v>0</v>
      </c>
      <c r="FS69" s="1">
        <v>1</v>
      </c>
      <c r="FT69">
        <v>0</v>
      </c>
      <c r="FU69">
        <v>0</v>
      </c>
      <c r="FV69">
        <v>0</v>
      </c>
      <c r="FW69">
        <v>0</v>
      </c>
      <c r="FX69" s="4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 s="4">
        <v>0</v>
      </c>
      <c r="GE69">
        <v>1</v>
      </c>
      <c r="GF69">
        <v>0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 s="1">
        <v>1</v>
      </c>
      <c r="GS69">
        <v>0</v>
      </c>
      <c r="GT69">
        <v>0</v>
      </c>
      <c r="GU69">
        <v>0</v>
      </c>
      <c r="GV69">
        <v>1</v>
      </c>
      <c r="GW69">
        <v>1</v>
      </c>
      <c r="GX69" s="1">
        <v>1</v>
      </c>
      <c r="GY69">
        <v>0</v>
      </c>
      <c r="GZ69">
        <v>1</v>
      </c>
      <c r="HA69">
        <v>0</v>
      </c>
      <c r="HB69">
        <v>0</v>
      </c>
      <c r="HC69" s="4">
        <v>0</v>
      </c>
      <c r="HD69">
        <v>0</v>
      </c>
      <c r="HE69">
        <v>0</v>
      </c>
      <c r="HF69">
        <v>0</v>
      </c>
      <c r="HG69">
        <v>0</v>
      </c>
      <c r="HH69" s="4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 s="1">
        <v>1</v>
      </c>
      <c r="HV69">
        <v>1</v>
      </c>
      <c r="HW69">
        <v>0</v>
      </c>
      <c r="HX69">
        <v>0</v>
      </c>
      <c r="HY69">
        <v>1</v>
      </c>
      <c r="HZ69">
        <v>1</v>
      </c>
      <c r="IA69">
        <v>0</v>
      </c>
      <c r="IB69">
        <v>0</v>
      </c>
      <c r="IC69">
        <v>1</v>
      </c>
      <c r="ID69">
        <v>0</v>
      </c>
      <c r="IE69">
        <v>0</v>
      </c>
      <c r="IF69">
        <v>1</v>
      </c>
      <c r="IG69">
        <v>0</v>
      </c>
      <c r="IH69">
        <v>0</v>
      </c>
      <c r="II69" s="4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0</v>
      </c>
      <c r="IQ69">
        <v>1</v>
      </c>
      <c r="IR69" s="4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1</v>
      </c>
      <c r="JG69">
        <v>0</v>
      </c>
      <c r="JH69">
        <v>0</v>
      </c>
      <c r="JI69">
        <v>1</v>
      </c>
      <c r="JJ69">
        <v>1</v>
      </c>
      <c r="JK69" s="4">
        <v>0</v>
      </c>
      <c r="JL69">
        <v>1</v>
      </c>
      <c r="JM69" s="4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1</v>
      </c>
      <c r="JV69">
        <v>0</v>
      </c>
      <c r="JW69">
        <v>1</v>
      </c>
      <c r="JX69">
        <v>1</v>
      </c>
      <c r="JY69">
        <v>0</v>
      </c>
      <c r="JZ69">
        <v>0</v>
      </c>
      <c r="KA69" s="4">
        <v>0</v>
      </c>
      <c r="KB69" s="4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 s="1">
        <v>1</v>
      </c>
      <c r="KJ69">
        <v>0</v>
      </c>
      <c r="KK69">
        <v>2</v>
      </c>
      <c r="KL69">
        <v>0</v>
      </c>
      <c r="KM69">
        <v>1</v>
      </c>
      <c r="KN69">
        <v>0</v>
      </c>
      <c r="KO69">
        <v>0</v>
      </c>
      <c r="KP69">
        <v>1</v>
      </c>
      <c r="KQ69">
        <v>0</v>
      </c>
      <c r="KR69">
        <v>0</v>
      </c>
      <c r="KS69">
        <v>0</v>
      </c>
      <c r="KT69">
        <v>1</v>
      </c>
      <c r="KU69">
        <v>0</v>
      </c>
      <c r="KV69" s="4">
        <v>0</v>
      </c>
      <c r="KW69">
        <v>0</v>
      </c>
      <c r="KX69">
        <v>2</v>
      </c>
      <c r="KY69" s="4">
        <v>0</v>
      </c>
      <c r="KZ69">
        <v>0</v>
      </c>
      <c r="LA69">
        <v>0</v>
      </c>
      <c r="LB69">
        <v>0</v>
      </c>
      <c r="LC69" s="4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1</v>
      </c>
      <c r="LJ69" s="1">
        <v>2</v>
      </c>
      <c r="LK69">
        <v>0</v>
      </c>
      <c r="LL69">
        <v>1</v>
      </c>
      <c r="LM69" s="4">
        <v>0</v>
      </c>
      <c r="LN69">
        <v>0</v>
      </c>
      <c r="LO69">
        <v>0</v>
      </c>
      <c r="LP69">
        <v>0</v>
      </c>
      <c r="LQ69">
        <v>1</v>
      </c>
      <c r="LR69" s="1">
        <v>1</v>
      </c>
      <c r="LS69">
        <v>0</v>
      </c>
      <c r="LT69">
        <v>0</v>
      </c>
      <c r="LU69" s="1">
        <v>1</v>
      </c>
      <c r="LV69">
        <v>0</v>
      </c>
      <c r="LW69">
        <v>0</v>
      </c>
      <c r="LX69">
        <v>1</v>
      </c>
      <c r="LY69">
        <v>0</v>
      </c>
      <c r="LZ69">
        <v>0</v>
      </c>
      <c r="MA69">
        <v>1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1</v>
      </c>
      <c r="MI69">
        <v>0</v>
      </c>
      <c r="MJ69">
        <v>0</v>
      </c>
      <c r="MK69">
        <v>0</v>
      </c>
      <c r="ML69">
        <v>1</v>
      </c>
      <c r="MM69">
        <v>0</v>
      </c>
      <c r="MN69" s="1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 s="4">
        <v>0</v>
      </c>
      <c r="MU69" s="1">
        <v>1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 s="4">
        <v>0</v>
      </c>
      <c r="NC69">
        <v>0</v>
      </c>
      <c r="ND69">
        <v>0</v>
      </c>
      <c r="NE69" s="1">
        <v>1</v>
      </c>
      <c r="NF69">
        <v>0</v>
      </c>
      <c r="NG69">
        <v>0</v>
      </c>
      <c r="NH69">
        <v>0</v>
      </c>
      <c r="NI69">
        <v>0</v>
      </c>
      <c r="NJ69" s="4">
        <v>0</v>
      </c>
      <c r="NK69">
        <v>0</v>
      </c>
      <c r="NL69">
        <v>0</v>
      </c>
      <c r="NM69">
        <v>0</v>
      </c>
      <c r="NN69" s="1">
        <v>1</v>
      </c>
      <c r="NO69">
        <v>0</v>
      </c>
      <c r="NP69">
        <v>0</v>
      </c>
      <c r="NQ69">
        <v>0</v>
      </c>
      <c r="NR69">
        <v>0</v>
      </c>
      <c r="NS69" s="4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 s="4">
        <v>0</v>
      </c>
      <c r="NZ69">
        <v>0</v>
      </c>
      <c r="OA69">
        <v>0</v>
      </c>
      <c r="OB69">
        <v>0</v>
      </c>
      <c r="OC69">
        <v>0</v>
      </c>
      <c r="OD69" s="4">
        <v>0</v>
      </c>
      <c r="OE69">
        <v>0</v>
      </c>
      <c r="OF69">
        <v>0</v>
      </c>
      <c r="OG69">
        <v>0</v>
      </c>
      <c r="OH69">
        <v>1</v>
      </c>
      <c r="OI69">
        <v>0</v>
      </c>
      <c r="OJ69">
        <v>0</v>
      </c>
      <c r="OK69">
        <v>1</v>
      </c>
      <c r="OL69">
        <v>1</v>
      </c>
      <c r="OM69">
        <v>0</v>
      </c>
      <c r="ON69">
        <v>0</v>
      </c>
      <c r="OO69">
        <v>0</v>
      </c>
      <c r="OP69" s="4">
        <v>0</v>
      </c>
      <c r="OQ69">
        <v>0</v>
      </c>
      <c r="OS69" s="4">
        <f t="shared" si="2"/>
        <v>94</v>
      </c>
      <c r="OT69" s="4">
        <f t="shared" si="3"/>
        <v>100</v>
      </c>
    </row>
    <row r="70" spans="1:410" x14ac:dyDescent="0.3">
      <c r="A70" s="10" t="s">
        <v>682</v>
      </c>
      <c r="B70">
        <v>0</v>
      </c>
      <c r="C70">
        <v>0</v>
      </c>
      <c r="D70">
        <v>0</v>
      </c>
      <c r="E70">
        <v>0</v>
      </c>
      <c r="F70" s="1">
        <v>1</v>
      </c>
      <c r="G70" s="1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s="1">
        <v>1</v>
      </c>
      <c r="R70">
        <v>1</v>
      </c>
      <c r="S70">
        <v>0</v>
      </c>
      <c r="T70">
        <v>0</v>
      </c>
      <c r="U70">
        <v>0</v>
      </c>
      <c r="V70" s="1">
        <v>1</v>
      </c>
      <c r="W70">
        <v>0</v>
      </c>
      <c r="X70">
        <v>1</v>
      </c>
      <c r="Y70">
        <v>0</v>
      </c>
      <c r="Z70">
        <v>0</v>
      </c>
      <c r="AA70" s="1">
        <v>1</v>
      </c>
      <c r="AB70" s="1">
        <v>1</v>
      </c>
      <c r="AC70">
        <v>0</v>
      </c>
      <c r="AD70" s="1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 s="1">
        <v>0</v>
      </c>
      <c r="AK70" s="1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 s="1">
        <v>1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s="1">
        <v>1</v>
      </c>
      <c r="BT70">
        <v>0</v>
      </c>
      <c r="BU70" s="4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s="4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 s="4">
        <v>0</v>
      </c>
      <c r="CH70" s="4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 s="4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 s="4">
        <v>0</v>
      </c>
      <c r="EJ70">
        <v>0</v>
      </c>
      <c r="EK70">
        <v>0</v>
      </c>
      <c r="EL70" s="4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 s="1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 s="4">
        <v>0</v>
      </c>
      <c r="FS70" s="1">
        <v>1</v>
      </c>
      <c r="FT70">
        <v>0</v>
      </c>
      <c r="FU70">
        <v>0</v>
      </c>
      <c r="FV70">
        <v>1</v>
      </c>
      <c r="FW70">
        <v>0</v>
      </c>
      <c r="FX70" s="4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 s="4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 s="1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 s="1">
        <v>1</v>
      </c>
      <c r="GY70">
        <v>0</v>
      </c>
      <c r="GZ70">
        <v>0</v>
      </c>
      <c r="HA70">
        <v>0</v>
      </c>
      <c r="HB70">
        <v>0</v>
      </c>
      <c r="HC70" s="4">
        <v>0</v>
      </c>
      <c r="HD70">
        <v>0</v>
      </c>
      <c r="HE70">
        <v>0</v>
      </c>
      <c r="HF70">
        <v>0</v>
      </c>
      <c r="HG70">
        <v>0</v>
      </c>
      <c r="HH70" s="4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 s="1">
        <v>1</v>
      </c>
      <c r="HV70">
        <v>1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</v>
      </c>
      <c r="II70" s="4">
        <v>0</v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P70">
        <v>0</v>
      </c>
      <c r="IQ70">
        <v>0</v>
      </c>
      <c r="IR70" s="4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1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</v>
      </c>
      <c r="JJ70">
        <v>0</v>
      </c>
      <c r="JK70" s="4">
        <v>0</v>
      </c>
      <c r="JL70">
        <v>0</v>
      </c>
      <c r="JM70" s="4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1</v>
      </c>
      <c r="JV70">
        <v>0</v>
      </c>
      <c r="JW70">
        <v>1</v>
      </c>
      <c r="JX70">
        <v>0</v>
      </c>
      <c r="JY70">
        <v>0</v>
      </c>
      <c r="JZ70">
        <v>0</v>
      </c>
      <c r="KA70" s="4">
        <v>0</v>
      </c>
      <c r="KB70" s="4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 s="1">
        <v>1</v>
      </c>
      <c r="KJ70">
        <v>0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1</v>
      </c>
      <c r="KR70">
        <v>0</v>
      </c>
      <c r="KS70">
        <v>0</v>
      </c>
      <c r="KT70">
        <v>0</v>
      </c>
      <c r="KU70">
        <v>0</v>
      </c>
      <c r="KV70" s="4">
        <v>0</v>
      </c>
      <c r="KW70">
        <v>0</v>
      </c>
      <c r="KX70">
        <v>0</v>
      </c>
      <c r="KY70" s="4">
        <v>0</v>
      </c>
      <c r="KZ70">
        <v>0</v>
      </c>
      <c r="LA70">
        <v>0</v>
      </c>
      <c r="LB70">
        <v>0</v>
      </c>
      <c r="LC70" s="4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1</v>
      </c>
      <c r="LJ70" s="1">
        <v>2</v>
      </c>
      <c r="LK70">
        <v>0</v>
      </c>
      <c r="LL70">
        <v>0</v>
      </c>
      <c r="LM70" s="4">
        <v>0</v>
      </c>
      <c r="LN70">
        <v>0</v>
      </c>
      <c r="LO70">
        <v>0</v>
      </c>
      <c r="LP70">
        <v>0</v>
      </c>
      <c r="LQ70">
        <v>0</v>
      </c>
      <c r="LR70" s="1">
        <v>1</v>
      </c>
      <c r="LS70">
        <v>0</v>
      </c>
      <c r="LT70">
        <v>0</v>
      </c>
      <c r="LU70" s="1">
        <v>1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1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 s="1">
        <v>1</v>
      </c>
      <c r="MO70">
        <v>0</v>
      </c>
      <c r="MP70">
        <v>0</v>
      </c>
      <c r="MQ70">
        <v>0</v>
      </c>
      <c r="MR70">
        <v>0</v>
      </c>
      <c r="MS70">
        <v>0</v>
      </c>
      <c r="MT70" s="4">
        <v>0</v>
      </c>
      <c r="MU70" s="1">
        <v>1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 s="4">
        <v>0</v>
      </c>
      <c r="NC70">
        <v>0</v>
      </c>
      <c r="ND70">
        <v>1</v>
      </c>
      <c r="NE70" s="1">
        <v>1</v>
      </c>
      <c r="NF70">
        <v>0</v>
      </c>
      <c r="NG70">
        <v>0</v>
      </c>
      <c r="NH70">
        <v>0</v>
      </c>
      <c r="NI70">
        <v>0</v>
      </c>
      <c r="NJ70" s="4">
        <v>0</v>
      </c>
      <c r="NK70">
        <v>0</v>
      </c>
      <c r="NL70">
        <v>0</v>
      </c>
      <c r="NM70">
        <v>0</v>
      </c>
      <c r="NN70" s="1">
        <v>1</v>
      </c>
      <c r="NO70">
        <v>1</v>
      </c>
      <c r="NP70">
        <v>0</v>
      </c>
      <c r="NQ70">
        <v>0</v>
      </c>
      <c r="NR70">
        <v>1</v>
      </c>
      <c r="NS70" s="4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 s="4">
        <v>0</v>
      </c>
      <c r="NZ70">
        <v>0</v>
      </c>
      <c r="OA70">
        <v>0</v>
      </c>
      <c r="OB70">
        <v>0</v>
      </c>
      <c r="OC70">
        <v>0</v>
      </c>
      <c r="OD70" s="4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1</v>
      </c>
      <c r="OL70">
        <v>2</v>
      </c>
      <c r="OM70">
        <v>0</v>
      </c>
      <c r="ON70">
        <v>1</v>
      </c>
      <c r="OO70">
        <v>0</v>
      </c>
      <c r="OP70" s="4">
        <v>0</v>
      </c>
      <c r="OQ70">
        <v>1</v>
      </c>
      <c r="OS70" s="4">
        <f t="shared" si="2"/>
        <v>53</v>
      </c>
      <c r="OT70" s="4">
        <f t="shared" si="3"/>
        <v>55</v>
      </c>
    </row>
    <row r="71" spans="1:410" x14ac:dyDescent="0.3">
      <c r="A71" s="10" t="s">
        <v>683</v>
      </c>
      <c r="B71">
        <v>0</v>
      </c>
      <c r="C71">
        <v>0</v>
      </c>
      <c r="D71">
        <v>0</v>
      </c>
      <c r="E71">
        <v>0</v>
      </c>
      <c r="F71" s="1">
        <v>2</v>
      </c>
      <c r="G71" s="1">
        <v>2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 s="1">
        <v>1</v>
      </c>
      <c r="R71">
        <v>1</v>
      </c>
      <c r="S71">
        <v>0</v>
      </c>
      <c r="T71">
        <v>0</v>
      </c>
      <c r="U71">
        <v>0</v>
      </c>
      <c r="V71" s="1">
        <v>1</v>
      </c>
      <c r="W71">
        <v>0</v>
      </c>
      <c r="X71">
        <v>0</v>
      </c>
      <c r="Y71">
        <v>0</v>
      </c>
      <c r="Z71">
        <v>0</v>
      </c>
      <c r="AA71" s="1">
        <v>1</v>
      </c>
      <c r="AB71" s="1">
        <v>1</v>
      </c>
      <c r="AC71">
        <v>1</v>
      </c>
      <c r="AD71" s="1">
        <v>1</v>
      </c>
      <c r="AE71">
        <v>0</v>
      </c>
      <c r="AF71">
        <v>0</v>
      </c>
      <c r="AG71">
        <v>0</v>
      </c>
      <c r="AH71">
        <v>0</v>
      </c>
      <c r="AI71" s="1">
        <v>1</v>
      </c>
      <c r="AJ71" s="1">
        <v>1</v>
      </c>
      <c r="AK71" s="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 s="1">
        <v>1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 s="1">
        <v>1</v>
      </c>
      <c r="BT71">
        <v>0</v>
      </c>
      <c r="BU71" s="4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 s="4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 s="4">
        <v>0</v>
      </c>
      <c r="CH71" s="4">
        <v>0</v>
      </c>
      <c r="CI71">
        <v>1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 s="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 s="4">
        <v>0</v>
      </c>
      <c r="DP71">
        <v>0</v>
      </c>
      <c r="DQ71">
        <v>0</v>
      </c>
      <c r="DR71" s="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 s="4">
        <v>0</v>
      </c>
      <c r="EJ71">
        <v>0</v>
      </c>
      <c r="EK71">
        <v>0</v>
      </c>
      <c r="EL71" s="4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 s="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 s="4">
        <v>0</v>
      </c>
      <c r="FS71" s="1">
        <v>1</v>
      </c>
      <c r="FT71">
        <v>0</v>
      </c>
      <c r="FU71">
        <v>0</v>
      </c>
      <c r="FV71">
        <v>1</v>
      </c>
      <c r="FW71">
        <v>0</v>
      </c>
      <c r="FX71" s="4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 s="4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 s="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 s="1">
        <v>1</v>
      </c>
      <c r="GY71">
        <v>0</v>
      </c>
      <c r="GZ71">
        <v>0</v>
      </c>
      <c r="HA71">
        <v>0</v>
      </c>
      <c r="HB71">
        <v>0</v>
      </c>
      <c r="HC71" s="4">
        <v>0</v>
      </c>
      <c r="HD71">
        <v>0</v>
      </c>
      <c r="HE71">
        <v>0</v>
      </c>
      <c r="HF71">
        <v>0</v>
      </c>
      <c r="HG71">
        <v>0</v>
      </c>
      <c r="HH71" s="4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0</v>
      </c>
      <c r="HU71" s="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 s="4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1</v>
      </c>
      <c r="IR71" s="4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1</v>
      </c>
      <c r="JK71" s="4">
        <v>0</v>
      </c>
      <c r="JL71">
        <v>0</v>
      </c>
      <c r="JM71" s="4">
        <v>0</v>
      </c>
      <c r="JN71">
        <v>0</v>
      </c>
      <c r="JO71">
        <v>0</v>
      </c>
      <c r="JP71">
        <v>0</v>
      </c>
      <c r="JQ71">
        <v>1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 s="4">
        <v>0</v>
      </c>
      <c r="KB71" s="4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 s="1">
        <v>1</v>
      </c>
      <c r="KJ71">
        <v>0</v>
      </c>
      <c r="KK71">
        <v>1</v>
      </c>
      <c r="KL71">
        <v>0</v>
      </c>
      <c r="KM71">
        <v>1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 s="4">
        <v>0</v>
      </c>
      <c r="KW71">
        <v>0</v>
      </c>
      <c r="KX71">
        <v>0</v>
      </c>
      <c r="KY71" s="4">
        <v>0</v>
      </c>
      <c r="KZ71">
        <v>0</v>
      </c>
      <c r="LA71">
        <v>0</v>
      </c>
      <c r="LB71">
        <v>0</v>
      </c>
      <c r="LC71" s="4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1</v>
      </c>
      <c r="LJ71" s="1">
        <v>3</v>
      </c>
      <c r="LK71">
        <v>0</v>
      </c>
      <c r="LL71">
        <v>0</v>
      </c>
      <c r="LM71" s="4">
        <v>0</v>
      </c>
      <c r="LN71">
        <v>0</v>
      </c>
      <c r="LO71">
        <v>0</v>
      </c>
      <c r="LP71">
        <v>0</v>
      </c>
      <c r="LQ71">
        <v>0</v>
      </c>
      <c r="LR71" s="1">
        <v>1</v>
      </c>
      <c r="LS71">
        <v>0</v>
      </c>
      <c r="LT71">
        <v>0</v>
      </c>
      <c r="LU71" s="1">
        <v>1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1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 s="1">
        <v>1</v>
      </c>
      <c r="MO71">
        <v>0</v>
      </c>
      <c r="MP71">
        <v>0</v>
      </c>
      <c r="MQ71">
        <v>0</v>
      </c>
      <c r="MR71">
        <v>0</v>
      </c>
      <c r="MS71">
        <v>0</v>
      </c>
      <c r="MT71" s="4">
        <v>0</v>
      </c>
      <c r="MU71" s="1">
        <v>1</v>
      </c>
      <c r="MV71">
        <v>0</v>
      </c>
      <c r="MW71">
        <v>0</v>
      </c>
      <c r="MX71">
        <v>1</v>
      </c>
      <c r="MY71">
        <v>0</v>
      </c>
      <c r="MZ71">
        <v>0</v>
      </c>
      <c r="NA71">
        <v>0</v>
      </c>
      <c r="NB71" s="4">
        <v>0</v>
      </c>
      <c r="NC71">
        <v>0</v>
      </c>
      <c r="ND71">
        <v>0</v>
      </c>
      <c r="NE71" s="1">
        <v>1</v>
      </c>
      <c r="NF71">
        <v>0</v>
      </c>
      <c r="NG71">
        <v>0</v>
      </c>
      <c r="NH71">
        <v>0</v>
      </c>
      <c r="NI71">
        <v>0</v>
      </c>
      <c r="NJ71" s="4">
        <v>0</v>
      </c>
      <c r="NK71">
        <v>0</v>
      </c>
      <c r="NL71">
        <v>0</v>
      </c>
      <c r="NM71">
        <v>0</v>
      </c>
      <c r="NN71" s="1">
        <v>1</v>
      </c>
      <c r="NO71">
        <v>0</v>
      </c>
      <c r="NP71">
        <v>0</v>
      </c>
      <c r="NQ71">
        <v>0</v>
      </c>
      <c r="NR71">
        <v>0</v>
      </c>
      <c r="NS71" s="4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 s="4">
        <v>0</v>
      </c>
      <c r="NZ71">
        <v>0</v>
      </c>
      <c r="OA71">
        <v>0</v>
      </c>
      <c r="OB71">
        <v>0</v>
      </c>
      <c r="OC71">
        <v>0</v>
      </c>
      <c r="OD71" s="4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2</v>
      </c>
      <c r="OM71">
        <v>0</v>
      </c>
      <c r="ON71">
        <v>0</v>
      </c>
      <c r="OO71">
        <v>0</v>
      </c>
      <c r="OP71" s="4">
        <v>0</v>
      </c>
      <c r="OQ71">
        <v>1</v>
      </c>
      <c r="OS71" s="4">
        <f t="shared" si="2"/>
        <v>59</v>
      </c>
      <c r="OT71" s="4">
        <f t="shared" si="3"/>
        <v>66</v>
      </c>
    </row>
    <row r="72" spans="1:410" x14ac:dyDescent="0.3">
      <c r="A72" s="10" t="s">
        <v>684</v>
      </c>
      <c r="B72">
        <v>1</v>
      </c>
      <c r="C72">
        <v>0</v>
      </c>
      <c r="D72">
        <v>0</v>
      </c>
      <c r="E72">
        <v>0</v>
      </c>
      <c r="F72" s="1">
        <v>1</v>
      </c>
      <c r="G72" s="1">
        <v>2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 s="1">
        <v>1</v>
      </c>
      <c r="R72">
        <v>1</v>
      </c>
      <c r="S72">
        <v>0</v>
      </c>
      <c r="T72">
        <v>0</v>
      </c>
      <c r="U72">
        <v>0</v>
      </c>
      <c r="V72" s="1">
        <v>1</v>
      </c>
      <c r="W72">
        <v>0</v>
      </c>
      <c r="X72">
        <v>1</v>
      </c>
      <c r="Y72">
        <v>0</v>
      </c>
      <c r="Z72">
        <v>0</v>
      </c>
      <c r="AA72" s="1">
        <v>1</v>
      </c>
      <c r="AB72">
        <v>0</v>
      </c>
      <c r="AC72">
        <v>0</v>
      </c>
      <c r="AD72" s="1">
        <v>1</v>
      </c>
      <c r="AE72">
        <v>0</v>
      </c>
      <c r="AF72">
        <v>0</v>
      </c>
      <c r="AG72">
        <v>1</v>
      </c>
      <c r="AH72">
        <v>0</v>
      </c>
      <c r="AI72" s="1">
        <v>1</v>
      </c>
      <c r="AJ72" s="1">
        <v>2</v>
      </c>
      <c r="AK72" s="1">
        <v>1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1</v>
      </c>
      <c r="AR72">
        <v>0</v>
      </c>
      <c r="AS72">
        <v>0</v>
      </c>
      <c r="AT72">
        <v>0</v>
      </c>
      <c r="AU72" s="1">
        <v>1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 s="1">
        <v>1</v>
      </c>
      <c r="BT72">
        <v>0</v>
      </c>
      <c r="BU72" s="4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s="4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s="4">
        <v>0</v>
      </c>
      <c r="CH72" s="4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 s="1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 s="4">
        <v>0</v>
      </c>
      <c r="DP72">
        <v>0</v>
      </c>
      <c r="DQ72">
        <v>0</v>
      </c>
      <c r="DR72" s="1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 s="4">
        <v>0</v>
      </c>
      <c r="EJ72">
        <v>0</v>
      </c>
      <c r="EK72">
        <v>0</v>
      </c>
      <c r="EL72" s="4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 s="1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 s="4">
        <v>0</v>
      </c>
      <c r="FS72" s="1">
        <v>1</v>
      </c>
      <c r="FT72">
        <v>0</v>
      </c>
      <c r="FU72">
        <v>0</v>
      </c>
      <c r="FV72">
        <v>1</v>
      </c>
      <c r="FW72">
        <v>0</v>
      </c>
      <c r="FX72" s="4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 s="4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 s="1">
        <v>1</v>
      </c>
      <c r="GS72">
        <v>0</v>
      </c>
      <c r="GT72">
        <v>0</v>
      </c>
      <c r="GU72">
        <v>0</v>
      </c>
      <c r="GV72">
        <v>0</v>
      </c>
      <c r="GW72">
        <v>0</v>
      </c>
      <c r="GX72" s="1">
        <v>1</v>
      </c>
      <c r="GY72">
        <v>0</v>
      </c>
      <c r="GZ72">
        <v>0</v>
      </c>
      <c r="HA72">
        <v>0</v>
      </c>
      <c r="HB72">
        <v>0</v>
      </c>
      <c r="HC72" s="4">
        <v>0</v>
      </c>
      <c r="HD72">
        <v>0</v>
      </c>
      <c r="HE72">
        <v>0</v>
      </c>
      <c r="HF72">
        <v>0</v>
      </c>
      <c r="HG72">
        <v>0</v>
      </c>
      <c r="HH72" s="4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 s="1">
        <v>1</v>
      </c>
      <c r="HV72">
        <v>1</v>
      </c>
      <c r="HW72">
        <v>0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 s="4">
        <v>0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1</v>
      </c>
      <c r="IR72" s="4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1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2</v>
      </c>
      <c r="JK72" s="4">
        <v>0</v>
      </c>
      <c r="JL72">
        <v>0</v>
      </c>
      <c r="JM72" s="4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 s="4">
        <v>0</v>
      </c>
      <c r="KB72" s="4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 s="1">
        <v>1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1</v>
      </c>
      <c r="KR72">
        <v>0</v>
      </c>
      <c r="KS72">
        <v>0</v>
      </c>
      <c r="KT72">
        <v>0</v>
      </c>
      <c r="KU72">
        <v>0</v>
      </c>
      <c r="KV72" s="4">
        <v>0</v>
      </c>
      <c r="KW72">
        <v>0</v>
      </c>
      <c r="KX72">
        <v>1</v>
      </c>
      <c r="KY72" s="4">
        <v>0</v>
      </c>
      <c r="KZ72">
        <v>0</v>
      </c>
      <c r="LA72">
        <v>0</v>
      </c>
      <c r="LB72">
        <v>0</v>
      </c>
      <c r="LC72" s="4">
        <v>0</v>
      </c>
      <c r="LD72">
        <v>0</v>
      </c>
      <c r="LE72">
        <v>1</v>
      </c>
      <c r="LF72">
        <v>0</v>
      </c>
      <c r="LG72">
        <v>0</v>
      </c>
      <c r="LH72">
        <v>0</v>
      </c>
      <c r="LI72">
        <v>1</v>
      </c>
      <c r="LJ72" s="1">
        <v>1</v>
      </c>
      <c r="LK72">
        <v>0</v>
      </c>
      <c r="LL72">
        <v>0</v>
      </c>
      <c r="LM72" s="4">
        <v>0</v>
      </c>
      <c r="LN72">
        <v>0</v>
      </c>
      <c r="LO72">
        <v>0</v>
      </c>
      <c r="LP72">
        <v>0</v>
      </c>
      <c r="LQ72">
        <v>1</v>
      </c>
      <c r="LR72" s="1">
        <v>1</v>
      </c>
      <c r="LS72">
        <v>0</v>
      </c>
      <c r="LT72">
        <v>0</v>
      </c>
      <c r="LU72" s="1">
        <v>1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1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 s="1">
        <v>1</v>
      </c>
      <c r="MO72">
        <v>0</v>
      </c>
      <c r="MP72">
        <v>0</v>
      </c>
      <c r="MQ72">
        <v>0</v>
      </c>
      <c r="MR72">
        <v>0</v>
      </c>
      <c r="MS72">
        <v>0</v>
      </c>
      <c r="MT72" s="4">
        <v>0</v>
      </c>
      <c r="MU72" s="1">
        <v>1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 s="4">
        <v>0</v>
      </c>
      <c r="NC72">
        <v>0</v>
      </c>
      <c r="ND72">
        <v>0</v>
      </c>
      <c r="NE72" s="1">
        <v>1</v>
      </c>
      <c r="NF72">
        <v>0</v>
      </c>
      <c r="NG72">
        <v>0</v>
      </c>
      <c r="NH72">
        <v>0</v>
      </c>
      <c r="NI72">
        <v>0</v>
      </c>
      <c r="NJ72" s="4">
        <v>0</v>
      </c>
      <c r="NK72">
        <v>0</v>
      </c>
      <c r="NL72">
        <v>0</v>
      </c>
      <c r="NM72">
        <v>0</v>
      </c>
      <c r="NN72" s="1">
        <v>1</v>
      </c>
      <c r="NO72">
        <v>0</v>
      </c>
      <c r="NP72">
        <v>0</v>
      </c>
      <c r="NQ72">
        <v>0</v>
      </c>
      <c r="NR72">
        <v>0</v>
      </c>
      <c r="NS72" s="4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 s="4">
        <v>0</v>
      </c>
      <c r="NZ72">
        <v>0</v>
      </c>
      <c r="OA72">
        <v>0</v>
      </c>
      <c r="OB72">
        <v>0</v>
      </c>
      <c r="OC72">
        <v>0</v>
      </c>
      <c r="OD72" s="4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</v>
      </c>
      <c r="OM72">
        <v>0</v>
      </c>
      <c r="ON72">
        <v>0</v>
      </c>
      <c r="OO72">
        <v>0</v>
      </c>
      <c r="OP72" s="4">
        <v>0</v>
      </c>
      <c r="OQ72">
        <v>1</v>
      </c>
      <c r="OS72" s="4">
        <f t="shared" si="2"/>
        <v>56</v>
      </c>
      <c r="OT72" s="4">
        <f t="shared" si="3"/>
        <v>59</v>
      </c>
    </row>
    <row r="73" spans="1:410" x14ac:dyDescent="0.3">
      <c r="A73" s="10" t="s">
        <v>685</v>
      </c>
      <c r="B73">
        <v>0</v>
      </c>
      <c r="C73">
        <v>0</v>
      </c>
      <c r="D73">
        <v>0</v>
      </c>
      <c r="E73">
        <v>0</v>
      </c>
      <c r="F73" s="1">
        <v>1</v>
      </c>
      <c r="G73" s="1">
        <v>2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s="1">
        <v>1</v>
      </c>
      <c r="R73">
        <v>1</v>
      </c>
      <c r="S73">
        <v>0</v>
      </c>
      <c r="T73">
        <v>0</v>
      </c>
      <c r="U73">
        <v>0</v>
      </c>
      <c r="V73" s="1">
        <v>1</v>
      </c>
      <c r="W73">
        <v>0</v>
      </c>
      <c r="X73">
        <v>1</v>
      </c>
      <c r="Y73">
        <v>0</v>
      </c>
      <c r="Z73">
        <v>0</v>
      </c>
      <c r="AA73" s="1">
        <v>1</v>
      </c>
      <c r="AB73" s="1">
        <v>1</v>
      </c>
      <c r="AC73">
        <v>0</v>
      </c>
      <c r="AD73" s="1">
        <v>1</v>
      </c>
      <c r="AE73">
        <v>1</v>
      </c>
      <c r="AF73">
        <v>1</v>
      </c>
      <c r="AG73">
        <v>0</v>
      </c>
      <c r="AH73">
        <v>1</v>
      </c>
      <c r="AI73" s="1">
        <v>1</v>
      </c>
      <c r="AJ73" s="1">
        <v>0</v>
      </c>
      <c r="AK73" s="1">
        <v>1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 s="1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 s="1">
        <v>1</v>
      </c>
      <c r="BT73">
        <v>0</v>
      </c>
      <c r="BU73" s="4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s="4">
        <v>0</v>
      </c>
      <c r="CB73">
        <v>0</v>
      </c>
      <c r="CC73">
        <v>1</v>
      </c>
      <c r="CD73">
        <v>0</v>
      </c>
      <c r="CE73">
        <v>0</v>
      </c>
      <c r="CF73">
        <v>1</v>
      </c>
      <c r="CG73" s="4">
        <v>0</v>
      </c>
      <c r="CH73" s="4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 s="1">
        <v>1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 s="4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 s="4">
        <v>0</v>
      </c>
      <c r="EJ73">
        <v>0</v>
      </c>
      <c r="EK73">
        <v>0</v>
      </c>
      <c r="EL73" s="4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2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 s="1">
        <v>2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 s="4">
        <v>0</v>
      </c>
      <c r="FS73" s="1">
        <v>1</v>
      </c>
      <c r="FT73">
        <v>0</v>
      </c>
      <c r="FU73">
        <v>1</v>
      </c>
      <c r="FV73">
        <v>1</v>
      </c>
      <c r="FW73">
        <v>0</v>
      </c>
      <c r="FX73" s="4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 s="4">
        <v>0</v>
      </c>
      <c r="GE73">
        <v>1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0</v>
      </c>
      <c r="GN73">
        <v>1</v>
      </c>
      <c r="GO73">
        <v>0</v>
      </c>
      <c r="GP73">
        <v>1</v>
      </c>
      <c r="GQ73">
        <v>0</v>
      </c>
      <c r="GR73" s="1">
        <v>1</v>
      </c>
      <c r="GS73">
        <v>0</v>
      </c>
      <c r="GT73">
        <v>0</v>
      </c>
      <c r="GU73">
        <v>0</v>
      </c>
      <c r="GV73">
        <v>1</v>
      </c>
      <c r="GW73">
        <v>0</v>
      </c>
      <c r="GX73" s="1">
        <v>1</v>
      </c>
      <c r="GY73">
        <v>0</v>
      </c>
      <c r="GZ73">
        <v>0</v>
      </c>
      <c r="HA73">
        <v>0</v>
      </c>
      <c r="HB73">
        <v>0</v>
      </c>
      <c r="HC73" s="4">
        <v>0</v>
      </c>
      <c r="HD73">
        <v>0</v>
      </c>
      <c r="HE73">
        <v>1</v>
      </c>
      <c r="HF73">
        <v>0</v>
      </c>
      <c r="HG73">
        <v>0</v>
      </c>
      <c r="HH73" s="4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1</v>
      </c>
      <c r="IC73">
        <v>1</v>
      </c>
      <c r="ID73">
        <v>0</v>
      </c>
      <c r="IE73">
        <v>0</v>
      </c>
      <c r="IF73">
        <v>0</v>
      </c>
      <c r="IG73">
        <v>0</v>
      </c>
      <c r="IH73">
        <v>0</v>
      </c>
      <c r="II73" s="4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1</v>
      </c>
      <c r="IQ73">
        <v>1</v>
      </c>
      <c r="IR73" s="4">
        <v>0</v>
      </c>
      <c r="IS73">
        <v>0</v>
      </c>
      <c r="IT73">
        <v>0</v>
      </c>
      <c r="IU73">
        <v>0</v>
      </c>
      <c r="IV73">
        <v>0</v>
      </c>
      <c r="IW73">
        <v>1</v>
      </c>
      <c r="IX73">
        <v>1</v>
      </c>
      <c r="IY73">
        <v>0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1</v>
      </c>
      <c r="JJ73">
        <v>0</v>
      </c>
      <c r="JK73" s="4">
        <v>0</v>
      </c>
      <c r="JL73">
        <v>0</v>
      </c>
      <c r="JM73" s="4">
        <v>0</v>
      </c>
      <c r="JN73">
        <v>0</v>
      </c>
      <c r="JO73">
        <v>0</v>
      </c>
      <c r="JP73">
        <v>0</v>
      </c>
      <c r="JQ73">
        <v>1</v>
      </c>
      <c r="JR73">
        <v>1</v>
      </c>
      <c r="JS73">
        <v>0</v>
      </c>
      <c r="JT73">
        <v>0</v>
      </c>
      <c r="JU73">
        <v>0</v>
      </c>
      <c r="JV73">
        <v>1</v>
      </c>
      <c r="JW73">
        <v>0</v>
      </c>
      <c r="JX73">
        <v>0</v>
      </c>
      <c r="JY73">
        <v>0</v>
      </c>
      <c r="JZ73">
        <v>0</v>
      </c>
      <c r="KA73" s="4">
        <v>0</v>
      </c>
      <c r="KB73" s="4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 s="1">
        <v>1</v>
      </c>
      <c r="KJ73">
        <v>0</v>
      </c>
      <c r="KK73">
        <v>0</v>
      </c>
      <c r="KL73">
        <v>0</v>
      </c>
      <c r="KM73">
        <v>1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 s="4">
        <v>0</v>
      </c>
      <c r="KW73">
        <v>0</v>
      </c>
      <c r="KX73">
        <v>0</v>
      </c>
      <c r="KY73" s="4">
        <v>0</v>
      </c>
      <c r="KZ73">
        <v>0</v>
      </c>
      <c r="LA73">
        <v>0</v>
      </c>
      <c r="LB73">
        <v>0</v>
      </c>
      <c r="LC73" s="4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1</v>
      </c>
      <c r="LJ73" s="1">
        <v>1</v>
      </c>
      <c r="LK73">
        <v>0</v>
      </c>
      <c r="LL73">
        <v>0</v>
      </c>
      <c r="LM73" s="4">
        <v>0</v>
      </c>
      <c r="LN73">
        <v>0</v>
      </c>
      <c r="LO73">
        <v>0</v>
      </c>
      <c r="LP73">
        <v>0</v>
      </c>
      <c r="LQ73">
        <v>0</v>
      </c>
      <c r="LR73" s="1">
        <v>1</v>
      </c>
      <c r="LS73">
        <v>0</v>
      </c>
      <c r="LT73">
        <v>0</v>
      </c>
      <c r="LU73" s="1">
        <v>1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1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 s="1">
        <v>1</v>
      </c>
      <c r="MO73">
        <v>0</v>
      </c>
      <c r="MP73">
        <v>0</v>
      </c>
      <c r="MQ73">
        <v>0</v>
      </c>
      <c r="MR73">
        <v>0</v>
      </c>
      <c r="MS73">
        <v>0</v>
      </c>
      <c r="MT73" s="4">
        <v>0</v>
      </c>
      <c r="MU73" s="1">
        <v>1</v>
      </c>
      <c r="MV73">
        <v>0</v>
      </c>
      <c r="MW73">
        <v>0</v>
      </c>
      <c r="MX73">
        <v>1</v>
      </c>
      <c r="MY73">
        <v>0</v>
      </c>
      <c r="MZ73">
        <v>0</v>
      </c>
      <c r="NA73">
        <v>0</v>
      </c>
      <c r="NB73" s="4">
        <v>0</v>
      </c>
      <c r="NC73">
        <v>0</v>
      </c>
      <c r="ND73">
        <v>0</v>
      </c>
      <c r="NE73" s="1">
        <v>1</v>
      </c>
      <c r="NF73">
        <v>0</v>
      </c>
      <c r="NG73">
        <v>0</v>
      </c>
      <c r="NH73">
        <v>1</v>
      </c>
      <c r="NI73">
        <v>0</v>
      </c>
      <c r="NJ73" s="4">
        <v>0</v>
      </c>
      <c r="NK73">
        <v>0</v>
      </c>
      <c r="NL73">
        <v>0</v>
      </c>
      <c r="NM73">
        <v>0</v>
      </c>
      <c r="NN73" s="1">
        <v>1</v>
      </c>
      <c r="NO73">
        <v>0</v>
      </c>
      <c r="NP73">
        <v>0</v>
      </c>
      <c r="NQ73">
        <v>0</v>
      </c>
      <c r="NR73">
        <v>0</v>
      </c>
      <c r="NS73" s="4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 s="4">
        <v>0</v>
      </c>
      <c r="NZ73">
        <v>0</v>
      </c>
      <c r="OA73">
        <v>0</v>
      </c>
      <c r="OB73">
        <v>0</v>
      </c>
      <c r="OC73">
        <v>0</v>
      </c>
      <c r="OD73" s="4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2</v>
      </c>
      <c r="OM73">
        <v>0</v>
      </c>
      <c r="ON73">
        <v>1</v>
      </c>
      <c r="OO73">
        <v>0</v>
      </c>
      <c r="OP73" s="4">
        <v>0</v>
      </c>
      <c r="OQ73">
        <v>1</v>
      </c>
      <c r="OS73" s="4">
        <f t="shared" si="2"/>
        <v>69</v>
      </c>
      <c r="OT73" s="4">
        <f t="shared" si="3"/>
        <v>73</v>
      </c>
    </row>
    <row r="74" spans="1:410" x14ac:dyDescent="0.3">
      <c r="A74" s="10" t="s">
        <v>686</v>
      </c>
      <c r="B74">
        <v>0</v>
      </c>
      <c r="C74">
        <v>0</v>
      </c>
      <c r="D74">
        <v>0</v>
      </c>
      <c r="E74">
        <v>0</v>
      </c>
      <c r="F74" s="1">
        <v>1</v>
      </c>
      <c r="G74" s="1">
        <v>1</v>
      </c>
      <c r="H74">
        <v>0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1</v>
      </c>
      <c r="Q74" s="1">
        <v>1</v>
      </c>
      <c r="R74">
        <v>1</v>
      </c>
      <c r="S74">
        <v>0</v>
      </c>
      <c r="T74">
        <v>0</v>
      </c>
      <c r="U74">
        <v>0</v>
      </c>
      <c r="V74" s="1">
        <v>1</v>
      </c>
      <c r="W74">
        <v>0</v>
      </c>
      <c r="X74">
        <v>1</v>
      </c>
      <c r="Y74">
        <v>0</v>
      </c>
      <c r="Z74">
        <v>0</v>
      </c>
      <c r="AA74" s="1">
        <v>1</v>
      </c>
      <c r="AB74" s="1">
        <v>1</v>
      </c>
      <c r="AC74">
        <v>0</v>
      </c>
      <c r="AD74" s="1">
        <v>1</v>
      </c>
      <c r="AE74">
        <v>0</v>
      </c>
      <c r="AF74">
        <v>0</v>
      </c>
      <c r="AG74">
        <v>0</v>
      </c>
      <c r="AH74">
        <v>0</v>
      </c>
      <c r="AI74" s="1">
        <v>1</v>
      </c>
      <c r="AJ74" s="1">
        <v>1</v>
      </c>
      <c r="AK74" s="1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0</v>
      </c>
      <c r="AS74">
        <v>0</v>
      </c>
      <c r="AT74">
        <v>0</v>
      </c>
      <c r="AU74" s="1">
        <v>1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 s="1">
        <v>1</v>
      </c>
      <c r="BT74">
        <v>0</v>
      </c>
      <c r="BU74" s="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s="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 s="4">
        <v>0</v>
      </c>
      <c r="CH74" s="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 s="1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 s="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 s="4">
        <v>0</v>
      </c>
      <c r="EJ74">
        <v>0</v>
      </c>
      <c r="EK74">
        <v>0</v>
      </c>
      <c r="EL74" s="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 s="1">
        <v>0</v>
      </c>
      <c r="FI74">
        <v>1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 s="4">
        <v>0</v>
      </c>
      <c r="FS74" s="1">
        <v>1</v>
      </c>
      <c r="FT74">
        <v>0</v>
      </c>
      <c r="FU74">
        <v>0</v>
      </c>
      <c r="FV74">
        <v>0</v>
      </c>
      <c r="FW74">
        <v>0</v>
      </c>
      <c r="FX74" s="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 s="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0</v>
      </c>
      <c r="GR74" s="1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 s="1">
        <v>1</v>
      </c>
      <c r="GY74">
        <v>0</v>
      </c>
      <c r="GZ74">
        <v>1</v>
      </c>
      <c r="HA74">
        <v>0</v>
      </c>
      <c r="HB74">
        <v>1</v>
      </c>
      <c r="HC74" s="4">
        <v>0</v>
      </c>
      <c r="HD74">
        <v>0</v>
      </c>
      <c r="HE74">
        <v>0</v>
      </c>
      <c r="HF74">
        <v>0</v>
      </c>
      <c r="HG74">
        <v>0</v>
      </c>
      <c r="HH74" s="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 s="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 s="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1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 s="4">
        <v>0</v>
      </c>
      <c r="JL74">
        <v>0</v>
      </c>
      <c r="JM74" s="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 s="4">
        <v>0</v>
      </c>
      <c r="KB74" s="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 s="1">
        <v>1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1</v>
      </c>
      <c r="KR74">
        <v>0</v>
      </c>
      <c r="KS74">
        <v>0</v>
      </c>
      <c r="KT74">
        <v>1</v>
      </c>
      <c r="KU74">
        <v>0</v>
      </c>
      <c r="KV74" s="4">
        <v>0</v>
      </c>
      <c r="KW74">
        <v>0</v>
      </c>
      <c r="KX74">
        <v>0</v>
      </c>
      <c r="KY74" s="4">
        <v>0</v>
      </c>
      <c r="KZ74">
        <v>0</v>
      </c>
      <c r="LA74">
        <v>0</v>
      </c>
      <c r="LB74">
        <v>0</v>
      </c>
      <c r="LC74" s="4">
        <v>0</v>
      </c>
      <c r="LD74">
        <v>0</v>
      </c>
      <c r="LE74">
        <v>0</v>
      </c>
      <c r="LF74">
        <v>0</v>
      </c>
      <c r="LG74">
        <v>2</v>
      </c>
      <c r="LH74">
        <v>0</v>
      </c>
      <c r="LI74">
        <v>1</v>
      </c>
      <c r="LJ74" s="1">
        <v>2</v>
      </c>
      <c r="LK74">
        <v>0</v>
      </c>
      <c r="LL74">
        <v>0</v>
      </c>
      <c r="LM74" s="4">
        <v>0</v>
      </c>
      <c r="LN74">
        <v>0</v>
      </c>
      <c r="LO74">
        <v>0</v>
      </c>
      <c r="LP74">
        <v>0</v>
      </c>
      <c r="LQ74">
        <v>1</v>
      </c>
      <c r="LR74" s="1">
        <v>1</v>
      </c>
      <c r="LS74">
        <v>0</v>
      </c>
      <c r="LT74">
        <v>0</v>
      </c>
      <c r="LU74" s="1">
        <v>1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 s="1">
        <v>1</v>
      </c>
      <c r="MO74">
        <v>0</v>
      </c>
      <c r="MP74">
        <v>0</v>
      </c>
      <c r="MQ74">
        <v>0</v>
      </c>
      <c r="MR74">
        <v>0</v>
      </c>
      <c r="MS74">
        <v>0</v>
      </c>
      <c r="MT74" s="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 s="4">
        <v>0</v>
      </c>
      <c r="NC74">
        <v>0</v>
      </c>
      <c r="ND74">
        <v>0</v>
      </c>
      <c r="NE74" s="1">
        <v>1</v>
      </c>
      <c r="NF74">
        <v>0</v>
      </c>
      <c r="NG74">
        <v>0</v>
      </c>
      <c r="NH74">
        <v>0</v>
      </c>
      <c r="NI74">
        <v>0</v>
      </c>
      <c r="NJ74" s="4">
        <v>0</v>
      </c>
      <c r="NK74">
        <v>0</v>
      </c>
      <c r="NL74">
        <v>0</v>
      </c>
      <c r="NM74">
        <v>0</v>
      </c>
      <c r="NN74" s="1">
        <v>1</v>
      </c>
      <c r="NO74">
        <v>0</v>
      </c>
      <c r="NP74">
        <v>0</v>
      </c>
      <c r="NQ74">
        <v>0</v>
      </c>
      <c r="NR74">
        <v>0</v>
      </c>
      <c r="NS74" s="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 s="4">
        <v>0</v>
      </c>
      <c r="NZ74">
        <v>0</v>
      </c>
      <c r="OA74">
        <v>0</v>
      </c>
      <c r="OB74">
        <v>0</v>
      </c>
      <c r="OC74">
        <v>1</v>
      </c>
      <c r="OD74" s="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 s="4">
        <v>0</v>
      </c>
      <c r="OQ74">
        <v>0</v>
      </c>
      <c r="OS74" s="4">
        <f t="shared" si="2"/>
        <v>50</v>
      </c>
      <c r="OT74" s="4">
        <f t="shared" si="3"/>
        <v>52</v>
      </c>
    </row>
    <row r="75" spans="1:410" x14ac:dyDescent="0.3">
      <c r="A75" s="10" t="s">
        <v>687</v>
      </c>
      <c r="B75">
        <v>1</v>
      </c>
      <c r="C75">
        <v>0</v>
      </c>
      <c r="D75">
        <v>0</v>
      </c>
      <c r="E75">
        <v>0</v>
      </c>
      <c r="F75" s="1">
        <v>1</v>
      </c>
      <c r="G75" s="1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1">
        <v>1</v>
      </c>
      <c r="R75">
        <v>0</v>
      </c>
      <c r="S75">
        <v>0</v>
      </c>
      <c r="T75">
        <v>0</v>
      </c>
      <c r="U75">
        <v>0</v>
      </c>
      <c r="V75" s="1">
        <v>1</v>
      </c>
      <c r="W75">
        <v>0</v>
      </c>
      <c r="X75">
        <v>0</v>
      </c>
      <c r="Y75">
        <v>0</v>
      </c>
      <c r="Z75">
        <v>0</v>
      </c>
      <c r="AA75" s="1">
        <v>1</v>
      </c>
      <c r="AB75">
        <v>0</v>
      </c>
      <c r="AC75">
        <v>0</v>
      </c>
      <c r="AD75" s="1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 s="1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1">
        <v>1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s="1">
        <v>1</v>
      </c>
      <c r="BT75">
        <v>0</v>
      </c>
      <c r="BU75" s="4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s="4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 s="4">
        <v>0</v>
      </c>
      <c r="CH75" s="4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 s="4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1</v>
      </c>
      <c r="EI75" s="4">
        <v>0</v>
      </c>
      <c r="EJ75">
        <v>0</v>
      </c>
      <c r="EK75">
        <v>1</v>
      </c>
      <c r="EL75" s="4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1</v>
      </c>
      <c r="FB75">
        <v>0</v>
      </c>
      <c r="FC75">
        <v>0</v>
      </c>
      <c r="FD75">
        <v>1</v>
      </c>
      <c r="FE75">
        <v>1</v>
      </c>
      <c r="FF75">
        <v>1</v>
      </c>
      <c r="FG75">
        <v>1</v>
      </c>
      <c r="FH75" s="1">
        <v>1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 s="4">
        <v>0</v>
      </c>
      <c r="FS75" s="1">
        <v>1</v>
      </c>
      <c r="FT75">
        <v>0</v>
      </c>
      <c r="FU75">
        <v>0</v>
      </c>
      <c r="FV75">
        <v>0</v>
      </c>
      <c r="FW75">
        <v>0</v>
      </c>
      <c r="FX75" s="4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 s="4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>
        <v>0</v>
      </c>
      <c r="GR75" s="1">
        <v>1</v>
      </c>
      <c r="GS75">
        <v>0</v>
      </c>
      <c r="GT75">
        <v>0</v>
      </c>
      <c r="GU75">
        <v>0</v>
      </c>
      <c r="GV75">
        <v>1</v>
      </c>
      <c r="GW75">
        <v>0</v>
      </c>
      <c r="GX75" s="1">
        <v>1</v>
      </c>
      <c r="GY75">
        <v>0</v>
      </c>
      <c r="GZ75">
        <v>1</v>
      </c>
      <c r="HA75">
        <v>0</v>
      </c>
      <c r="HB75">
        <v>0</v>
      </c>
      <c r="HC75" s="4">
        <v>0</v>
      </c>
      <c r="HD75">
        <v>0</v>
      </c>
      <c r="HE75">
        <v>0</v>
      </c>
      <c r="HF75">
        <v>1</v>
      </c>
      <c r="HG75">
        <v>0</v>
      </c>
      <c r="HH75" s="4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1</v>
      </c>
      <c r="HT75">
        <v>0</v>
      </c>
      <c r="HU75" s="1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 s="4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 s="4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 s="4">
        <v>0</v>
      </c>
      <c r="JL75">
        <v>0</v>
      </c>
      <c r="JM75" s="4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1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 s="4">
        <v>0</v>
      </c>
      <c r="KB75" s="4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 s="1">
        <v>1</v>
      </c>
      <c r="KJ75">
        <v>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1</v>
      </c>
      <c r="KR75">
        <v>0</v>
      </c>
      <c r="KS75">
        <v>0</v>
      </c>
      <c r="KT75">
        <v>0</v>
      </c>
      <c r="KU75">
        <v>0</v>
      </c>
      <c r="KV75" s="4">
        <v>0</v>
      </c>
      <c r="KW75">
        <v>0</v>
      </c>
      <c r="KX75">
        <v>0</v>
      </c>
      <c r="KY75" s="4">
        <v>0</v>
      </c>
      <c r="KZ75">
        <v>0</v>
      </c>
      <c r="LA75">
        <v>0</v>
      </c>
      <c r="LB75">
        <v>0</v>
      </c>
      <c r="LC75" s="4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</v>
      </c>
      <c r="LJ75" s="1">
        <v>1</v>
      </c>
      <c r="LK75">
        <v>0</v>
      </c>
      <c r="LL75">
        <v>0</v>
      </c>
      <c r="LM75" s="4">
        <v>0</v>
      </c>
      <c r="LN75">
        <v>0</v>
      </c>
      <c r="LO75">
        <v>0</v>
      </c>
      <c r="LP75">
        <v>0</v>
      </c>
      <c r="LQ75">
        <v>1</v>
      </c>
      <c r="LR75" s="1">
        <v>1</v>
      </c>
      <c r="LS75">
        <v>0</v>
      </c>
      <c r="LT75">
        <v>0</v>
      </c>
      <c r="LU75" s="1">
        <v>1</v>
      </c>
      <c r="LV75">
        <v>0</v>
      </c>
      <c r="LW75">
        <v>0</v>
      </c>
      <c r="LX75">
        <v>0</v>
      </c>
      <c r="LY75">
        <v>1</v>
      </c>
      <c r="LZ75">
        <v>0</v>
      </c>
      <c r="MA75">
        <v>0</v>
      </c>
      <c r="MB75">
        <v>0</v>
      </c>
      <c r="MC75">
        <v>1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 s="1">
        <v>1</v>
      </c>
      <c r="MO75">
        <v>0</v>
      </c>
      <c r="MP75">
        <v>0</v>
      </c>
      <c r="MQ75">
        <v>0</v>
      </c>
      <c r="MR75">
        <v>1</v>
      </c>
      <c r="MS75">
        <v>0</v>
      </c>
      <c r="MT75" s="4">
        <v>0</v>
      </c>
      <c r="MU75">
        <v>0</v>
      </c>
      <c r="MV75">
        <v>0</v>
      </c>
      <c r="MW75">
        <v>0</v>
      </c>
      <c r="MX75">
        <v>1</v>
      </c>
      <c r="MY75">
        <v>0</v>
      </c>
      <c r="MZ75">
        <v>0</v>
      </c>
      <c r="NA75">
        <v>0</v>
      </c>
      <c r="NB75" s="4">
        <v>0</v>
      </c>
      <c r="NC75">
        <v>0</v>
      </c>
      <c r="ND75">
        <v>0</v>
      </c>
      <c r="NE75" s="1">
        <v>1</v>
      </c>
      <c r="NF75">
        <v>0</v>
      </c>
      <c r="NG75">
        <v>0</v>
      </c>
      <c r="NH75">
        <v>0</v>
      </c>
      <c r="NI75">
        <v>1</v>
      </c>
      <c r="NJ75" s="4">
        <v>0</v>
      </c>
      <c r="NK75">
        <v>0</v>
      </c>
      <c r="NL75">
        <v>0</v>
      </c>
      <c r="NM75">
        <v>0</v>
      </c>
      <c r="NN75" s="1">
        <v>1</v>
      </c>
      <c r="NO75">
        <v>1</v>
      </c>
      <c r="NP75">
        <v>0</v>
      </c>
      <c r="NQ75">
        <v>0</v>
      </c>
      <c r="NR75">
        <v>1</v>
      </c>
      <c r="NS75" s="4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 s="4">
        <v>0</v>
      </c>
      <c r="NZ75">
        <v>0</v>
      </c>
      <c r="OA75">
        <v>0</v>
      </c>
      <c r="OB75">
        <v>0</v>
      </c>
      <c r="OC75">
        <v>0</v>
      </c>
      <c r="OD75" s="4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2</v>
      </c>
      <c r="OM75">
        <v>0</v>
      </c>
      <c r="ON75">
        <v>1</v>
      </c>
      <c r="OO75">
        <v>0</v>
      </c>
      <c r="OP75" s="4">
        <v>0</v>
      </c>
      <c r="OQ75">
        <v>0</v>
      </c>
      <c r="OS75" s="4">
        <f t="shared" si="2"/>
        <v>59</v>
      </c>
      <c r="OT75" s="4">
        <f t="shared" si="3"/>
        <v>60</v>
      </c>
    </row>
    <row r="76" spans="1:410" x14ac:dyDescent="0.3">
      <c r="A76" s="10" t="s">
        <v>688</v>
      </c>
      <c r="B76">
        <v>1</v>
      </c>
      <c r="C76">
        <v>0</v>
      </c>
      <c r="D76">
        <v>0</v>
      </c>
      <c r="E76">
        <v>0</v>
      </c>
      <c r="F76" s="1">
        <v>1</v>
      </c>
      <c r="G76" s="1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1</v>
      </c>
      <c r="Q76" s="1">
        <v>1</v>
      </c>
      <c r="R76">
        <v>1</v>
      </c>
      <c r="S76">
        <v>0</v>
      </c>
      <c r="T76">
        <v>0</v>
      </c>
      <c r="U76">
        <v>0</v>
      </c>
      <c r="V76" s="1">
        <v>1</v>
      </c>
      <c r="W76" s="1">
        <v>1</v>
      </c>
      <c r="X76">
        <v>0</v>
      </c>
      <c r="Y76">
        <v>0</v>
      </c>
      <c r="Z76">
        <v>0</v>
      </c>
      <c r="AA76" s="1">
        <v>1</v>
      </c>
      <c r="AB76" s="1">
        <v>1</v>
      </c>
      <c r="AC76">
        <v>0</v>
      </c>
      <c r="AD76" s="1">
        <v>1</v>
      </c>
      <c r="AE76">
        <v>1</v>
      </c>
      <c r="AF76">
        <v>0</v>
      </c>
      <c r="AG76">
        <v>0</v>
      </c>
      <c r="AH76">
        <v>0</v>
      </c>
      <c r="AI76" s="1">
        <v>1</v>
      </c>
      <c r="AJ76" s="1">
        <v>3</v>
      </c>
      <c r="AK76" s="1">
        <v>1</v>
      </c>
      <c r="AL76">
        <v>0</v>
      </c>
      <c r="AM76">
        <v>0</v>
      </c>
      <c r="AN76">
        <v>1</v>
      </c>
      <c r="AO76">
        <v>1</v>
      </c>
      <c r="AP76">
        <v>1</v>
      </c>
      <c r="AQ76">
        <v>2</v>
      </c>
      <c r="AR76">
        <v>0</v>
      </c>
      <c r="AS76">
        <v>0</v>
      </c>
      <c r="AT76">
        <v>0</v>
      </c>
      <c r="AU76" s="1">
        <v>1</v>
      </c>
      <c r="AV76">
        <v>0</v>
      </c>
      <c r="AW76">
        <v>0</v>
      </c>
      <c r="AX76">
        <v>1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 s="1">
        <v>1</v>
      </c>
      <c r="BT76">
        <v>0</v>
      </c>
      <c r="BU76" s="4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s="4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 s="4">
        <v>0</v>
      </c>
      <c r="CH76" s="4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 s="1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 s="4">
        <v>0</v>
      </c>
      <c r="DP76">
        <v>0</v>
      </c>
      <c r="DQ76">
        <v>0</v>
      </c>
      <c r="DR76" s="1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 s="4">
        <v>0</v>
      </c>
      <c r="EJ76">
        <v>0</v>
      </c>
      <c r="EK76">
        <v>0</v>
      </c>
      <c r="EL76" s="4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</v>
      </c>
      <c r="FG76">
        <v>0</v>
      </c>
      <c r="FH76" s="1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 s="4">
        <v>0</v>
      </c>
      <c r="FS76" s="1">
        <v>1</v>
      </c>
      <c r="FT76">
        <v>0</v>
      </c>
      <c r="FU76">
        <v>0</v>
      </c>
      <c r="FV76">
        <v>0</v>
      </c>
      <c r="FW76">
        <v>0</v>
      </c>
      <c r="FX76" s="4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 s="4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 s="1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 s="1">
        <v>1</v>
      </c>
      <c r="GY76">
        <v>0</v>
      </c>
      <c r="GZ76">
        <v>0</v>
      </c>
      <c r="HA76">
        <v>0</v>
      </c>
      <c r="HB76">
        <v>0</v>
      </c>
      <c r="HC76" s="4">
        <v>0</v>
      </c>
      <c r="HD76">
        <v>0</v>
      </c>
      <c r="HE76">
        <v>0</v>
      </c>
      <c r="HF76">
        <v>0</v>
      </c>
      <c r="HG76">
        <v>0</v>
      </c>
      <c r="HH76" s="4">
        <v>0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 s="1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1</v>
      </c>
      <c r="IG76">
        <v>0</v>
      </c>
      <c r="IH76">
        <v>1</v>
      </c>
      <c r="II76" s="4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1</v>
      </c>
      <c r="IQ76">
        <v>1</v>
      </c>
      <c r="IR76" s="4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1</v>
      </c>
      <c r="JJ76">
        <v>0</v>
      </c>
      <c r="JK76" s="4">
        <v>0</v>
      </c>
      <c r="JL76">
        <v>0</v>
      </c>
      <c r="JM76" s="4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 s="4">
        <v>0</v>
      </c>
      <c r="KB76" s="4">
        <v>0</v>
      </c>
      <c r="KC76">
        <v>0</v>
      </c>
      <c r="KD76">
        <v>0</v>
      </c>
      <c r="KE76">
        <v>0</v>
      </c>
      <c r="KF76">
        <v>0</v>
      </c>
      <c r="KG76">
        <v>1</v>
      </c>
      <c r="KH76">
        <v>0</v>
      </c>
      <c r="KI76" s="1">
        <v>1</v>
      </c>
      <c r="KJ76">
        <v>0</v>
      </c>
      <c r="KK76">
        <v>0</v>
      </c>
      <c r="KL76">
        <v>0</v>
      </c>
      <c r="KM76">
        <v>1</v>
      </c>
      <c r="KN76">
        <v>1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 s="4">
        <v>0</v>
      </c>
      <c r="KW76">
        <v>0</v>
      </c>
      <c r="KX76">
        <v>0</v>
      </c>
      <c r="KY76" s="4">
        <v>0</v>
      </c>
      <c r="KZ76">
        <v>0</v>
      </c>
      <c r="LA76">
        <v>0</v>
      </c>
      <c r="LB76">
        <v>0</v>
      </c>
      <c r="LC76" s="4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1</v>
      </c>
      <c r="LJ76" s="1">
        <v>1</v>
      </c>
      <c r="LK76">
        <v>0</v>
      </c>
      <c r="LL76">
        <v>0</v>
      </c>
      <c r="LM76" s="4">
        <v>0</v>
      </c>
      <c r="LN76">
        <v>0</v>
      </c>
      <c r="LO76">
        <v>0</v>
      </c>
      <c r="LP76">
        <v>0</v>
      </c>
      <c r="LQ76">
        <v>1</v>
      </c>
      <c r="LR76" s="1">
        <v>1</v>
      </c>
      <c r="LS76">
        <v>0</v>
      </c>
      <c r="LT76">
        <v>0</v>
      </c>
      <c r="LU76" s="1">
        <v>1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1</v>
      </c>
      <c r="MD76">
        <v>0</v>
      </c>
      <c r="ME76">
        <v>0</v>
      </c>
      <c r="MF76">
        <v>0</v>
      </c>
      <c r="MG76">
        <v>1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 s="1">
        <v>1</v>
      </c>
      <c r="MO76">
        <v>0</v>
      </c>
      <c r="MP76">
        <v>0</v>
      </c>
      <c r="MQ76">
        <v>0</v>
      </c>
      <c r="MR76">
        <v>0</v>
      </c>
      <c r="MS76">
        <v>0</v>
      </c>
      <c r="MT76" s="4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 s="4">
        <v>0</v>
      </c>
      <c r="NC76">
        <v>0</v>
      </c>
      <c r="ND76">
        <v>0</v>
      </c>
      <c r="NE76" s="1">
        <v>1</v>
      </c>
      <c r="NF76">
        <v>0</v>
      </c>
      <c r="NG76">
        <v>0</v>
      </c>
      <c r="NH76">
        <v>0</v>
      </c>
      <c r="NI76">
        <v>0</v>
      </c>
      <c r="NJ76" s="4">
        <v>0</v>
      </c>
      <c r="NK76">
        <v>0</v>
      </c>
      <c r="NL76">
        <v>0</v>
      </c>
      <c r="NM76">
        <v>0</v>
      </c>
      <c r="NN76" s="1">
        <v>1</v>
      </c>
      <c r="NO76">
        <v>1</v>
      </c>
      <c r="NP76">
        <v>0</v>
      </c>
      <c r="NQ76">
        <v>0</v>
      </c>
      <c r="NR76">
        <v>1</v>
      </c>
      <c r="NS76" s="4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 s="4">
        <v>0</v>
      </c>
      <c r="NZ76">
        <v>0</v>
      </c>
      <c r="OA76">
        <v>0</v>
      </c>
      <c r="OB76">
        <v>0</v>
      </c>
      <c r="OC76">
        <v>1</v>
      </c>
      <c r="OD76" s="4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1</v>
      </c>
      <c r="OM76">
        <v>0</v>
      </c>
      <c r="ON76">
        <v>1</v>
      </c>
      <c r="OO76">
        <v>0</v>
      </c>
      <c r="OP76" s="4">
        <v>0</v>
      </c>
      <c r="OQ76">
        <v>0</v>
      </c>
      <c r="OS76" s="4">
        <f t="shared" si="2"/>
        <v>71</v>
      </c>
      <c r="OT76" s="4">
        <f t="shared" si="3"/>
        <v>74</v>
      </c>
    </row>
    <row r="77" spans="1:410" x14ac:dyDescent="0.3">
      <c r="A77" s="10" t="s">
        <v>689</v>
      </c>
      <c r="B77" s="4">
        <v>0</v>
      </c>
      <c r="C77" s="4">
        <v>0</v>
      </c>
      <c r="D77" s="4">
        <v>0</v>
      </c>
      <c r="E77" s="4">
        <v>1</v>
      </c>
      <c r="F77" s="1">
        <v>1</v>
      </c>
      <c r="G77" s="1">
        <v>2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1">
        <v>1</v>
      </c>
      <c r="R77" s="4">
        <v>1</v>
      </c>
      <c r="S77" s="4">
        <v>0</v>
      </c>
      <c r="T77" s="4">
        <v>0</v>
      </c>
      <c r="U77" s="4">
        <v>0</v>
      </c>
      <c r="V77" s="1">
        <v>1</v>
      </c>
      <c r="W77" s="4">
        <v>0</v>
      </c>
      <c r="X77" s="4">
        <v>0</v>
      </c>
      <c r="Y77" s="4">
        <v>0</v>
      </c>
      <c r="Z77" s="4">
        <v>0</v>
      </c>
      <c r="AA77" s="1">
        <v>1</v>
      </c>
      <c r="AB77" s="4">
        <v>1</v>
      </c>
      <c r="AC77" s="4">
        <v>0</v>
      </c>
      <c r="AD77" s="1">
        <v>1</v>
      </c>
      <c r="AE77" s="4">
        <v>0</v>
      </c>
      <c r="AF77" s="4">
        <v>0</v>
      </c>
      <c r="AG77" s="4">
        <v>0</v>
      </c>
      <c r="AH77" s="4">
        <v>0</v>
      </c>
      <c r="AI77" s="4">
        <v>1</v>
      </c>
      <c r="AJ77" s="1">
        <v>1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1</v>
      </c>
      <c r="AR77" s="4">
        <v>0</v>
      </c>
      <c r="AS77" s="4">
        <v>0</v>
      </c>
      <c r="AT77" s="4">
        <v>0</v>
      </c>
      <c r="AU77" s="1">
        <v>1</v>
      </c>
      <c r="AV77" s="4">
        <v>0</v>
      </c>
      <c r="AW77" s="4">
        <v>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1">
        <v>1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1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1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1</v>
      </c>
      <c r="FD77" s="4">
        <v>0</v>
      </c>
      <c r="FE77" s="4">
        <v>0</v>
      </c>
      <c r="FF77" s="4">
        <v>0</v>
      </c>
      <c r="FG77" s="4">
        <v>0</v>
      </c>
      <c r="FH77" s="1">
        <v>1</v>
      </c>
      <c r="FI77" s="4">
        <v>1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1">
        <v>1</v>
      </c>
      <c r="FT77" s="4">
        <v>0</v>
      </c>
      <c r="FU77" s="4">
        <v>0</v>
      </c>
      <c r="FV77" s="4">
        <v>1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1</v>
      </c>
      <c r="GO77" s="4">
        <v>0</v>
      </c>
      <c r="GP77" s="4">
        <v>0</v>
      </c>
      <c r="GQ77" s="4">
        <v>0</v>
      </c>
      <c r="GR77" s="1">
        <v>1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1">
        <v>1</v>
      </c>
      <c r="GY77" s="4">
        <v>0</v>
      </c>
      <c r="GZ77" s="4">
        <v>0</v>
      </c>
      <c r="HA77" s="4">
        <v>0</v>
      </c>
      <c r="HB77" s="4">
        <v>1</v>
      </c>
      <c r="HC77" s="4">
        <v>0</v>
      </c>
      <c r="HD77" s="4">
        <v>0</v>
      </c>
      <c r="HE77" s="4">
        <v>1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1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1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1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1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1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1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1">
        <v>1</v>
      </c>
      <c r="KJ77" s="4">
        <v>0</v>
      </c>
      <c r="KK77" s="4">
        <v>0</v>
      </c>
      <c r="KL77" s="4">
        <v>1</v>
      </c>
      <c r="KM77" s="4">
        <v>1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1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1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1</v>
      </c>
      <c r="LJ77" s="1">
        <v>1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1">
        <v>1</v>
      </c>
      <c r="LS77" s="4">
        <v>0</v>
      </c>
      <c r="LT77" s="4">
        <v>0</v>
      </c>
      <c r="LU77" s="1">
        <v>1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1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1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1</v>
      </c>
      <c r="NC77" s="4">
        <v>0</v>
      </c>
      <c r="ND77" s="4">
        <v>0</v>
      </c>
      <c r="NE77" s="1">
        <v>1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1">
        <v>1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1</v>
      </c>
      <c r="OE77" s="4">
        <v>1</v>
      </c>
      <c r="OF77" s="4">
        <v>0</v>
      </c>
      <c r="OG77" s="4">
        <v>1</v>
      </c>
      <c r="OH77" s="4">
        <v>0</v>
      </c>
      <c r="OI77" s="4">
        <v>0</v>
      </c>
      <c r="OJ77" s="4">
        <v>0</v>
      </c>
      <c r="OK77" s="4">
        <v>0</v>
      </c>
      <c r="OL77" s="4">
        <v>1</v>
      </c>
      <c r="OM77" s="4">
        <v>0</v>
      </c>
      <c r="ON77" s="4">
        <v>1</v>
      </c>
      <c r="OO77" s="4">
        <v>0</v>
      </c>
      <c r="OP77" s="4">
        <v>0</v>
      </c>
      <c r="OQ77" s="4">
        <v>0</v>
      </c>
      <c r="OS77" s="4">
        <f t="shared" si="2"/>
        <v>53</v>
      </c>
      <c r="OT77" s="4">
        <f t="shared" si="3"/>
        <v>54</v>
      </c>
    </row>
    <row r="78" spans="1:410" x14ac:dyDescent="0.3">
      <c r="A78" s="10" t="s">
        <v>691</v>
      </c>
      <c r="B78" s="4">
        <v>0</v>
      </c>
      <c r="C78" s="4">
        <v>0</v>
      </c>
      <c r="D78" s="4">
        <v>0</v>
      </c>
      <c r="E78" s="4">
        <v>0</v>
      </c>
      <c r="F78" s="1">
        <v>2</v>
      </c>
      <c r="G78" s="1">
        <v>2</v>
      </c>
      <c r="H78" s="4">
        <v>1</v>
      </c>
      <c r="I78" s="4">
        <v>1</v>
      </c>
      <c r="J78" s="4">
        <v>0</v>
      </c>
      <c r="K78" s="4">
        <v>0</v>
      </c>
      <c r="L78" s="4">
        <v>1</v>
      </c>
      <c r="M78" s="4">
        <v>0</v>
      </c>
      <c r="N78" s="4">
        <v>1</v>
      </c>
      <c r="O78" s="4">
        <v>0</v>
      </c>
      <c r="P78" s="4">
        <v>1</v>
      </c>
      <c r="Q78" s="1">
        <v>1</v>
      </c>
      <c r="R78" s="4">
        <v>1</v>
      </c>
      <c r="S78" s="4">
        <v>1</v>
      </c>
      <c r="T78" s="4">
        <v>0</v>
      </c>
      <c r="U78" s="4">
        <v>0</v>
      </c>
      <c r="V78" s="1">
        <v>1</v>
      </c>
      <c r="W78" s="4">
        <v>0</v>
      </c>
      <c r="X78" s="4">
        <v>0</v>
      </c>
      <c r="Y78" s="4">
        <v>0</v>
      </c>
      <c r="Z78" s="4">
        <v>1</v>
      </c>
      <c r="AA78" s="1">
        <v>1</v>
      </c>
      <c r="AB78" s="4">
        <v>1</v>
      </c>
      <c r="AC78" s="4">
        <v>0</v>
      </c>
      <c r="AD78" s="1">
        <v>2</v>
      </c>
      <c r="AE78" s="4">
        <v>0</v>
      </c>
      <c r="AF78" s="4">
        <v>0</v>
      </c>
      <c r="AG78" s="4">
        <v>1</v>
      </c>
      <c r="AH78" s="4">
        <v>0</v>
      </c>
      <c r="AI78" s="4">
        <v>1</v>
      </c>
      <c r="AJ78" s="1">
        <v>2</v>
      </c>
      <c r="AK78" s="4">
        <v>1</v>
      </c>
      <c r="AL78" s="4">
        <v>0</v>
      </c>
      <c r="AM78" s="4">
        <v>0</v>
      </c>
      <c r="AN78" s="4">
        <v>1</v>
      </c>
      <c r="AO78" s="4">
        <v>1</v>
      </c>
      <c r="AP78" s="4">
        <v>2</v>
      </c>
      <c r="AQ78" s="4">
        <v>1</v>
      </c>
      <c r="AR78" s="4">
        <v>0</v>
      </c>
      <c r="AS78" s="4">
        <v>0</v>
      </c>
      <c r="AT78" s="4">
        <v>0</v>
      </c>
      <c r="AU78" s="1">
        <v>1</v>
      </c>
      <c r="AV78" s="4">
        <v>0</v>
      </c>
      <c r="AW78" s="4">
        <v>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4">
        <v>1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1">
        <v>1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1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1</v>
      </c>
      <c r="DB78" s="4">
        <v>0</v>
      </c>
      <c r="DC78" s="4">
        <v>1</v>
      </c>
      <c r="DD78" s="4">
        <v>0</v>
      </c>
      <c r="DE78" s="4">
        <v>0</v>
      </c>
      <c r="DF78" s="4">
        <v>0</v>
      </c>
      <c r="DG78" s="4">
        <v>0</v>
      </c>
      <c r="DH78" s="4">
        <v>1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1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1</v>
      </c>
      <c r="EI78" s="4">
        <v>0</v>
      </c>
      <c r="EJ78" s="4">
        <v>0</v>
      </c>
      <c r="EK78" s="4">
        <v>0</v>
      </c>
      <c r="EL78" s="4">
        <v>1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1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1</v>
      </c>
      <c r="FE78" s="4">
        <v>1</v>
      </c>
      <c r="FF78" s="4">
        <v>0</v>
      </c>
      <c r="FG78" s="4">
        <v>1</v>
      </c>
      <c r="FH78" s="1">
        <v>1</v>
      </c>
      <c r="FI78" s="4">
        <v>1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1">
        <v>1</v>
      </c>
      <c r="FT78" s="4">
        <v>0</v>
      </c>
      <c r="FU78" s="4">
        <v>0</v>
      </c>
      <c r="FV78" s="4">
        <v>1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1</v>
      </c>
      <c r="GO78" s="4">
        <v>0</v>
      </c>
      <c r="GP78" s="4">
        <v>0</v>
      </c>
      <c r="GQ78" s="4">
        <v>0</v>
      </c>
      <c r="GR78" s="1">
        <v>1</v>
      </c>
      <c r="GS78" s="4">
        <v>0</v>
      </c>
      <c r="GT78" s="4">
        <v>1</v>
      </c>
      <c r="GU78" s="4">
        <v>1</v>
      </c>
      <c r="GV78" s="4">
        <v>0</v>
      </c>
      <c r="GW78" s="4">
        <v>0</v>
      </c>
      <c r="GX78" s="1">
        <v>1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1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1</v>
      </c>
      <c r="IM78" s="4">
        <v>0</v>
      </c>
      <c r="IN78" s="4">
        <v>0</v>
      </c>
      <c r="IO78" s="4">
        <v>0</v>
      </c>
      <c r="IP78" s="4">
        <v>0</v>
      </c>
      <c r="IQ78" s="4">
        <v>1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1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1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1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1">
        <v>1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2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1</v>
      </c>
      <c r="LH78" s="4">
        <v>0</v>
      </c>
      <c r="LI78" s="4">
        <v>1</v>
      </c>
      <c r="LJ78" s="1">
        <v>1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1">
        <v>1</v>
      </c>
      <c r="LS78" s="4">
        <v>0</v>
      </c>
      <c r="LT78" s="4">
        <v>0</v>
      </c>
      <c r="LU78" s="1">
        <v>1</v>
      </c>
      <c r="LV78" s="4">
        <v>0</v>
      </c>
      <c r="LW78" s="4">
        <v>0</v>
      </c>
      <c r="LX78" s="4">
        <v>1</v>
      </c>
      <c r="LY78" s="4">
        <v>0</v>
      </c>
      <c r="LZ78" s="4">
        <v>0</v>
      </c>
      <c r="MA78" s="4">
        <v>0</v>
      </c>
      <c r="MB78" s="4">
        <v>0</v>
      </c>
      <c r="MC78" s="4">
        <v>1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1">
        <v>1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  <c r="ND78" s="4">
        <v>0</v>
      </c>
      <c r="NE78" s="1">
        <v>1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  <c r="NL78" s="4">
        <v>0</v>
      </c>
      <c r="NM78" s="4">
        <v>0</v>
      </c>
      <c r="NN78" s="1">
        <v>1</v>
      </c>
      <c r="NO78" s="4">
        <v>0</v>
      </c>
      <c r="NP78" s="4">
        <v>0</v>
      </c>
      <c r="NQ78" s="4">
        <v>0</v>
      </c>
      <c r="NR78" s="4">
        <v>1</v>
      </c>
      <c r="NS78" s="4">
        <v>0</v>
      </c>
      <c r="NT78" s="4">
        <v>0</v>
      </c>
      <c r="NU78" s="4">
        <v>0</v>
      </c>
      <c r="NV78" s="4">
        <v>0</v>
      </c>
      <c r="NW78" s="4">
        <v>0</v>
      </c>
      <c r="NX78" s="4">
        <v>2</v>
      </c>
      <c r="NY78" s="4">
        <v>0</v>
      </c>
      <c r="NZ78" s="4">
        <v>0</v>
      </c>
      <c r="OA78" s="4">
        <v>0</v>
      </c>
      <c r="OB78" s="4">
        <v>0</v>
      </c>
      <c r="OC78" s="4">
        <v>0</v>
      </c>
      <c r="OD78" s="4">
        <v>0</v>
      </c>
      <c r="OE78" s="4">
        <v>0</v>
      </c>
      <c r="OF78" s="4">
        <v>0</v>
      </c>
      <c r="OG78" s="4">
        <v>0</v>
      </c>
      <c r="OH78" s="4">
        <v>0</v>
      </c>
      <c r="OI78" s="4">
        <v>0</v>
      </c>
      <c r="OJ78" s="4">
        <v>0</v>
      </c>
      <c r="OK78" s="4">
        <v>0</v>
      </c>
      <c r="OL78" s="4">
        <v>2</v>
      </c>
      <c r="OM78" s="4">
        <v>0</v>
      </c>
      <c r="ON78" s="4">
        <v>1</v>
      </c>
      <c r="OO78" s="4">
        <v>0</v>
      </c>
      <c r="OP78" s="4">
        <v>0</v>
      </c>
      <c r="OQ78" s="4">
        <v>0</v>
      </c>
      <c r="OS78" s="4">
        <f t="shared" si="2"/>
        <v>70</v>
      </c>
      <c r="OT78" s="4">
        <f t="shared" si="3"/>
        <v>78</v>
      </c>
    </row>
    <row r="79" spans="1:410" x14ac:dyDescent="0.3">
      <c r="A79" s="10" t="s">
        <v>690</v>
      </c>
      <c r="B79" s="4">
        <v>1</v>
      </c>
      <c r="C79" s="4">
        <v>0</v>
      </c>
      <c r="D79" s="4">
        <v>0</v>
      </c>
      <c r="E79" s="4">
        <v>0</v>
      </c>
      <c r="F79" s="1">
        <v>1</v>
      </c>
      <c r="G79" s="1">
        <v>1</v>
      </c>
      <c r="H79" s="4">
        <v>0</v>
      </c>
      <c r="I79" s="4">
        <v>0</v>
      </c>
      <c r="J79" s="4"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1">
        <v>1</v>
      </c>
      <c r="R79" s="4">
        <v>0</v>
      </c>
      <c r="S79" s="4">
        <v>0</v>
      </c>
      <c r="T79" s="4">
        <v>0</v>
      </c>
      <c r="U79" s="4">
        <v>0</v>
      </c>
      <c r="V79" s="1">
        <v>1</v>
      </c>
      <c r="W79" s="4">
        <v>0</v>
      </c>
      <c r="X79" s="4">
        <v>0</v>
      </c>
      <c r="Y79" s="4">
        <v>0</v>
      </c>
      <c r="Z79" s="4">
        <v>0</v>
      </c>
      <c r="AA79" s="1">
        <v>1</v>
      </c>
      <c r="AB79" s="4">
        <v>0</v>
      </c>
      <c r="AC79" s="4">
        <v>0</v>
      </c>
      <c r="AD79" s="1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1">
        <v>2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1">
        <v>1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1">
        <v>1</v>
      </c>
      <c r="BT79" s="4">
        <v>0</v>
      </c>
      <c r="BU79" s="4">
        <v>0</v>
      </c>
      <c r="BV79" s="4">
        <v>0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1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1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1</v>
      </c>
      <c r="EE79" s="4">
        <v>0</v>
      </c>
      <c r="EF79" s="4">
        <v>0</v>
      </c>
      <c r="EG79" s="4">
        <v>0</v>
      </c>
      <c r="EH79" s="4">
        <v>1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1</v>
      </c>
      <c r="EW79" s="4">
        <v>0</v>
      </c>
      <c r="EX79" s="4">
        <v>0</v>
      </c>
      <c r="EY79" s="4">
        <v>0</v>
      </c>
      <c r="EZ79" s="4">
        <v>0</v>
      </c>
      <c r="FA79" s="4">
        <v>1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1">
        <v>1</v>
      </c>
      <c r="FI79" s="4">
        <v>1</v>
      </c>
      <c r="FJ79" s="4">
        <v>1</v>
      </c>
      <c r="FK79" s="4">
        <v>0</v>
      </c>
      <c r="FL79" s="4">
        <v>0</v>
      </c>
      <c r="FM79" s="4">
        <v>0</v>
      </c>
      <c r="FN79" s="4">
        <v>0</v>
      </c>
      <c r="FO79" s="4">
        <v>1</v>
      </c>
      <c r="FP79" s="4">
        <v>0</v>
      </c>
      <c r="FQ79" s="4">
        <v>0</v>
      </c>
      <c r="FR79" s="4">
        <v>0</v>
      </c>
      <c r="FS79" s="1">
        <v>1</v>
      </c>
      <c r="FT79" s="4">
        <v>0</v>
      </c>
      <c r="FU79" s="4">
        <v>0</v>
      </c>
      <c r="FV79" s="4">
        <v>1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1</v>
      </c>
      <c r="GO79" s="4">
        <v>0</v>
      </c>
      <c r="GP79" s="4">
        <v>0</v>
      </c>
      <c r="GQ79" s="4">
        <v>0</v>
      </c>
      <c r="GR79" s="1">
        <v>1</v>
      </c>
      <c r="GS79" s="4">
        <v>0</v>
      </c>
      <c r="GT79" s="4">
        <v>0</v>
      </c>
      <c r="GU79" s="4">
        <v>0</v>
      </c>
      <c r="GV79" s="4">
        <v>1</v>
      </c>
      <c r="GW79" s="4">
        <v>0</v>
      </c>
      <c r="GX79" s="1">
        <v>1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1</v>
      </c>
      <c r="HV79" s="4">
        <v>1</v>
      </c>
      <c r="HW79" s="4">
        <v>1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1</v>
      </c>
      <c r="IG79" s="4">
        <v>0</v>
      </c>
      <c r="IH79" s="4">
        <v>0</v>
      </c>
      <c r="II79" s="4">
        <v>0</v>
      </c>
      <c r="IJ79" s="4">
        <v>1</v>
      </c>
      <c r="IK79" s="4">
        <v>1</v>
      </c>
      <c r="IL79" s="4">
        <v>0</v>
      </c>
      <c r="IM79" s="4">
        <v>1</v>
      </c>
      <c r="IN79" s="4">
        <v>0</v>
      </c>
      <c r="IO79" s="4">
        <v>0</v>
      </c>
      <c r="IP79" s="4">
        <v>0</v>
      </c>
      <c r="IQ79" s="4">
        <v>1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1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1</v>
      </c>
      <c r="JJ79" s="4">
        <v>0</v>
      </c>
      <c r="JK79" s="4">
        <v>0</v>
      </c>
      <c r="JL79" s="4">
        <v>0</v>
      </c>
      <c r="JM79" s="4">
        <v>0</v>
      </c>
      <c r="JN79" s="4">
        <v>1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1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1">
        <v>1</v>
      </c>
      <c r="KJ79" s="4">
        <v>0</v>
      </c>
      <c r="KK79" s="4">
        <v>0</v>
      </c>
      <c r="KL79" s="4">
        <v>0</v>
      </c>
      <c r="KM79" s="4">
        <v>1</v>
      </c>
      <c r="KN79" s="4">
        <v>0</v>
      </c>
      <c r="KO79" s="4">
        <v>0</v>
      </c>
      <c r="KP79" s="4">
        <v>0</v>
      </c>
      <c r="KQ79" s="4">
        <v>1</v>
      </c>
      <c r="KR79" s="4">
        <v>0</v>
      </c>
      <c r="KS79" s="4">
        <v>0</v>
      </c>
      <c r="KT79" s="4">
        <v>1</v>
      </c>
      <c r="KU79" s="4">
        <v>0</v>
      </c>
      <c r="KV79" s="4">
        <v>0</v>
      </c>
      <c r="KW79" s="4">
        <v>0</v>
      </c>
      <c r="KX79" s="4">
        <v>1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4">
        <v>1</v>
      </c>
      <c r="LJ79" s="1">
        <v>1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1">
        <v>1</v>
      </c>
      <c r="LS79" s="4">
        <v>0</v>
      </c>
      <c r="LT79" s="4">
        <v>0</v>
      </c>
      <c r="LU79" s="1">
        <v>1</v>
      </c>
      <c r="LV79" s="4">
        <v>0</v>
      </c>
      <c r="LW79" s="4">
        <v>0</v>
      </c>
      <c r="LX79" s="4">
        <v>1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1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1">
        <v>1</v>
      </c>
      <c r="MO79" s="4">
        <v>1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1</v>
      </c>
      <c r="MV79" s="4">
        <v>0</v>
      </c>
      <c r="MW79" s="4">
        <v>0</v>
      </c>
      <c r="MX79" s="4">
        <v>0</v>
      </c>
      <c r="MY79" s="4">
        <v>1</v>
      </c>
      <c r="MZ79" s="4">
        <v>0</v>
      </c>
      <c r="NA79" s="4">
        <v>0</v>
      </c>
      <c r="NB79" s="4">
        <v>0</v>
      </c>
      <c r="NC79" s="4">
        <v>0</v>
      </c>
      <c r="ND79" s="4">
        <v>0</v>
      </c>
      <c r="NE79" s="1">
        <v>1</v>
      </c>
      <c r="NF79" s="4">
        <v>0</v>
      </c>
      <c r="NG79" s="4">
        <v>0</v>
      </c>
      <c r="NH79" s="4">
        <v>1</v>
      </c>
      <c r="NI79" s="4">
        <v>0</v>
      </c>
      <c r="NJ79" s="4">
        <v>0</v>
      </c>
      <c r="NK79" s="4">
        <v>0</v>
      </c>
      <c r="NL79" s="4">
        <v>0</v>
      </c>
      <c r="NM79" s="4">
        <v>0</v>
      </c>
      <c r="NN79" s="1">
        <v>1</v>
      </c>
      <c r="NO79" s="4">
        <v>0</v>
      </c>
      <c r="NP79" s="4">
        <v>0</v>
      </c>
      <c r="NQ79" s="4">
        <v>0</v>
      </c>
      <c r="NR79" s="4">
        <v>1</v>
      </c>
      <c r="NS79" s="4">
        <v>0</v>
      </c>
      <c r="NT79" s="4">
        <v>0</v>
      </c>
      <c r="NU79" s="4">
        <v>0</v>
      </c>
      <c r="NV79" s="4">
        <v>0</v>
      </c>
      <c r="NW79" s="4">
        <v>0</v>
      </c>
      <c r="NX79" s="4">
        <v>0</v>
      </c>
      <c r="NY79" s="4">
        <v>0</v>
      </c>
      <c r="NZ79" s="4">
        <v>0</v>
      </c>
      <c r="OA79" s="4">
        <v>0</v>
      </c>
      <c r="OB79" s="4">
        <v>1</v>
      </c>
      <c r="OC79" s="4">
        <v>0</v>
      </c>
      <c r="OD79" s="4">
        <v>0</v>
      </c>
      <c r="OE79" s="4">
        <v>0</v>
      </c>
      <c r="OF79" s="4">
        <v>0</v>
      </c>
      <c r="OG79" s="4">
        <v>0</v>
      </c>
      <c r="OH79" s="4">
        <v>0</v>
      </c>
      <c r="OI79" s="4">
        <v>1</v>
      </c>
      <c r="OJ79" s="4">
        <v>0</v>
      </c>
      <c r="OK79" s="4">
        <v>1</v>
      </c>
      <c r="OL79" s="4">
        <v>1</v>
      </c>
      <c r="OM79" s="4">
        <v>0</v>
      </c>
      <c r="ON79" s="4">
        <v>1</v>
      </c>
      <c r="OO79" s="4">
        <v>0</v>
      </c>
      <c r="OP79" s="4">
        <v>0</v>
      </c>
      <c r="OQ79" s="4">
        <v>1</v>
      </c>
      <c r="OS79" s="4">
        <f t="shared" si="2"/>
        <v>66</v>
      </c>
      <c r="OT79" s="4">
        <f t="shared" si="3"/>
        <v>67</v>
      </c>
    </row>
    <row r="80" spans="1:410" x14ac:dyDescent="0.3">
      <c r="A80" s="10" t="s">
        <v>694</v>
      </c>
      <c r="B80" s="4">
        <v>0</v>
      </c>
      <c r="C80" s="4">
        <v>0</v>
      </c>
      <c r="D80" s="4">
        <v>0</v>
      </c>
      <c r="E80" s="4">
        <v>0</v>
      </c>
      <c r="F80" s="1">
        <v>1</v>
      </c>
      <c r="G80" s="1">
        <v>1</v>
      </c>
      <c r="H80" s="4">
        <v>1</v>
      </c>
      <c r="I80" s="4">
        <v>1</v>
      </c>
      <c r="J80" s="4">
        <v>0</v>
      </c>
      <c r="K80" s="4">
        <v>0</v>
      </c>
      <c r="L80" s="4">
        <v>1</v>
      </c>
      <c r="M80" s="4">
        <v>0</v>
      </c>
      <c r="N80" s="4">
        <v>1</v>
      </c>
      <c r="O80" s="4">
        <v>0</v>
      </c>
      <c r="P80" s="4">
        <v>0</v>
      </c>
      <c r="Q80" s="1">
        <v>1</v>
      </c>
      <c r="R80" s="4">
        <v>1</v>
      </c>
      <c r="S80" s="4">
        <v>0</v>
      </c>
      <c r="T80" s="4">
        <v>0</v>
      </c>
      <c r="U80" s="4">
        <v>0</v>
      </c>
      <c r="V80" s="1">
        <v>1</v>
      </c>
      <c r="W80" s="4">
        <v>0</v>
      </c>
      <c r="X80" s="4">
        <v>1</v>
      </c>
      <c r="Y80" s="4">
        <v>0</v>
      </c>
      <c r="Z80" s="4">
        <v>1</v>
      </c>
      <c r="AA80" s="1">
        <v>1</v>
      </c>
      <c r="AB80" s="4">
        <v>1</v>
      </c>
      <c r="AC80" s="4">
        <v>0</v>
      </c>
      <c r="AD80" s="1">
        <v>1</v>
      </c>
      <c r="AE80" s="4">
        <v>1</v>
      </c>
      <c r="AF80" s="4">
        <v>0</v>
      </c>
      <c r="AG80" s="4">
        <v>1</v>
      </c>
      <c r="AH80" s="4">
        <v>0</v>
      </c>
      <c r="AI80" s="4">
        <v>1</v>
      </c>
      <c r="AJ80" s="1">
        <v>1</v>
      </c>
      <c r="AK80" s="4">
        <v>1</v>
      </c>
      <c r="AL80" s="4">
        <v>0</v>
      </c>
      <c r="AM80" s="4">
        <v>0</v>
      </c>
      <c r="AN80" s="4">
        <v>1</v>
      </c>
      <c r="AO80" s="4">
        <v>1</v>
      </c>
      <c r="AP80" s="4">
        <v>1</v>
      </c>
      <c r="AQ80" s="4">
        <v>1</v>
      </c>
      <c r="AR80" s="4">
        <v>0</v>
      </c>
      <c r="AS80" s="4">
        <v>0</v>
      </c>
      <c r="AT80" s="4">
        <v>0</v>
      </c>
      <c r="AU80" s="1">
        <v>1</v>
      </c>
      <c r="AV80" s="4">
        <v>1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1">
        <v>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1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1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1</v>
      </c>
      <c r="EI80" s="4">
        <v>0</v>
      </c>
      <c r="EJ80" s="4">
        <v>0</v>
      </c>
      <c r="EK80" s="4">
        <v>0</v>
      </c>
      <c r="EL80" s="4">
        <v>0</v>
      </c>
      <c r="EM80" s="4">
        <v>1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1</v>
      </c>
      <c r="FF80" s="4">
        <v>1</v>
      </c>
      <c r="FG80" s="4">
        <v>1</v>
      </c>
      <c r="FH80" s="1">
        <v>1</v>
      </c>
      <c r="FI80" s="4">
        <v>1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1</v>
      </c>
      <c r="FP80" s="4">
        <v>0</v>
      </c>
      <c r="FQ80" s="4">
        <v>0</v>
      </c>
      <c r="FR80" s="4">
        <v>0</v>
      </c>
      <c r="FS80" s="1">
        <v>1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1</v>
      </c>
      <c r="GO80" s="4">
        <v>0</v>
      </c>
      <c r="GP80" s="4">
        <v>0</v>
      </c>
      <c r="GQ80" s="4">
        <v>0</v>
      </c>
      <c r="GR80" s="1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1">
        <v>1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1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1</v>
      </c>
      <c r="IL80" s="4">
        <v>0</v>
      </c>
      <c r="IM80" s="4">
        <v>0</v>
      </c>
      <c r="IN80" s="4">
        <v>0</v>
      </c>
      <c r="IO80" s="4">
        <v>0</v>
      </c>
      <c r="IP80" s="4">
        <v>1</v>
      </c>
      <c r="IQ80" s="4">
        <v>0</v>
      </c>
      <c r="IR80" s="4">
        <v>0</v>
      </c>
      <c r="IS80" s="4">
        <v>1</v>
      </c>
      <c r="IT80" s="4">
        <v>0</v>
      </c>
      <c r="IU80" s="4">
        <v>0</v>
      </c>
      <c r="IV80" s="4">
        <v>0</v>
      </c>
      <c r="IW80" s="4">
        <v>0</v>
      </c>
      <c r="IX80" s="4">
        <v>1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1</v>
      </c>
      <c r="JX80" s="4">
        <v>0</v>
      </c>
      <c r="JY80" s="4">
        <v>0</v>
      </c>
      <c r="JZ80" s="4">
        <v>1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1">
        <v>1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2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1</v>
      </c>
      <c r="LJ80" s="1">
        <v>1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1</v>
      </c>
      <c r="LR80" s="1">
        <v>1</v>
      </c>
      <c r="LS80" s="4">
        <v>1</v>
      </c>
      <c r="LT80" s="4">
        <v>0</v>
      </c>
      <c r="LU80" s="1">
        <v>1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1">
        <v>1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1</v>
      </c>
      <c r="MU80" s="4">
        <v>0</v>
      </c>
      <c r="MV80" s="4">
        <v>0</v>
      </c>
      <c r="MW80" s="4">
        <v>0</v>
      </c>
      <c r="MX80" s="4">
        <v>1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  <c r="ND80" s="4">
        <v>0</v>
      </c>
      <c r="NE80" s="1">
        <v>1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  <c r="NL80" s="4">
        <v>0</v>
      </c>
      <c r="NM80" s="4">
        <v>0</v>
      </c>
      <c r="NN80" s="1">
        <v>1</v>
      </c>
      <c r="NO80" s="4">
        <v>1</v>
      </c>
      <c r="NP80" s="4">
        <v>0</v>
      </c>
      <c r="NQ80" s="4">
        <v>0</v>
      </c>
      <c r="NR80" s="4">
        <v>1</v>
      </c>
      <c r="NS80" s="4">
        <v>0</v>
      </c>
      <c r="NT80" s="4">
        <v>0</v>
      </c>
      <c r="NU80" s="4">
        <v>0</v>
      </c>
      <c r="NV80" s="4">
        <v>0</v>
      </c>
      <c r="NW80" s="4">
        <v>0</v>
      </c>
      <c r="NX80" s="4">
        <v>1</v>
      </c>
      <c r="NY80" s="4">
        <v>0</v>
      </c>
      <c r="NZ80" s="4">
        <v>0</v>
      </c>
      <c r="OA80" s="4">
        <v>0</v>
      </c>
      <c r="OB80" s="4">
        <v>1</v>
      </c>
      <c r="OC80" s="4">
        <v>0</v>
      </c>
      <c r="OD80" s="4">
        <v>0</v>
      </c>
      <c r="OE80" s="4">
        <v>0</v>
      </c>
      <c r="OF80" s="4">
        <v>0</v>
      </c>
      <c r="OG80" s="4">
        <v>0</v>
      </c>
      <c r="OH80" s="4">
        <v>0</v>
      </c>
      <c r="OI80" s="4">
        <v>0</v>
      </c>
      <c r="OJ80" s="4">
        <v>0</v>
      </c>
      <c r="OK80" s="4">
        <v>0</v>
      </c>
      <c r="OL80" s="4">
        <v>2</v>
      </c>
      <c r="OM80" s="4">
        <v>0</v>
      </c>
      <c r="ON80" s="4">
        <v>0</v>
      </c>
      <c r="OO80" s="4">
        <v>0</v>
      </c>
      <c r="OP80" s="4">
        <v>0</v>
      </c>
      <c r="OQ80" s="4">
        <v>0</v>
      </c>
      <c r="OS80" s="4">
        <f t="shared" si="2"/>
        <v>66</v>
      </c>
      <c r="OT80" s="4">
        <f t="shared" si="3"/>
        <v>68</v>
      </c>
    </row>
    <row r="81" spans="1:410" x14ac:dyDescent="0.3">
      <c r="A81" s="10" t="s">
        <v>693</v>
      </c>
      <c r="B81" s="4">
        <v>0</v>
      </c>
      <c r="C81" s="4">
        <v>0</v>
      </c>
      <c r="D81" s="4">
        <v>0</v>
      </c>
      <c r="E81" s="4">
        <v>0</v>
      </c>
      <c r="F81" s="1">
        <v>1</v>
      </c>
      <c r="G81" s="1">
        <v>2</v>
      </c>
      <c r="H81" s="4">
        <v>0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  <c r="N81" s="4">
        <v>1</v>
      </c>
      <c r="O81" s="4">
        <v>0</v>
      </c>
      <c r="P81" s="4">
        <v>0</v>
      </c>
      <c r="Q81" s="1">
        <v>1</v>
      </c>
      <c r="R81" s="4">
        <v>1</v>
      </c>
      <c r="S81" s="4">
        <v>0</v>
      </c>
      <c r="T81" s="4">
        <v>0</v>
      </c>
      <c r="U81" s="4">
        <v>0</v>
      </c>
      <c r="V81" s="1">
        <v>1</v>
      </c>
      <c r="W81" s="4">
        <v>0</v>
      </c>
      <c r="X81" s="4">
        <v>0</v>
      </c>
      <c r="Y81" s="4">
        <v>0</v>
      </c>
      <c r="Z81" s="4">
        <v>1</v>
      </c>
      <c r="AA81" s="1">
        <v>1</v>
      </c>
      <c r="AB81" s="4">
        <v>1</v>
      </c>
      <c r="AC81" s="4">
        <v>0</v>
      </c>
      <c r="AD81" s="1">
        <v>1</v>
      </c>
      <c r="AE81" s="4">
        <v>0</v>
      </c>
      <c r="AF81" s="4">
        <v>0</v>
      </c>
      <c r="AG81" s="4">
        <v>0</v>
      </c>
      <c r="AH81" s="4">
        <v>1</v>
      </c>
      <c r="AI81" s="4">
        <v>1</v>
      </c>
      <c r="AJ81" s="1">
        <v>1</v>
      </c>
      <c r="AK81" s="4">
        <v>1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1</v>
      </c>
      <c r="AR81" s="4">
        <v>0</v>
      </c>
      <c r="AS81" s="4">
        <v>0</v>
      </c>
      <c r="AT81" s="4">
        <v>0</v>
      </c>
      <c r="AU81" s="1">
        <v>1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1">
        <v>1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1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1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1">
        <v>1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1">
        <v>1</v>
      </c>
      <c r="FT81" s="4">
        <v>0</v>
      </c>
      <c r="FU81" s="4">
        <v>0</v>
      </c>
      <c r="FV81" s="4">
        <v>1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1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1</v>
      </c>
      <c r="GO81" s="4">
        <v>0</v>
      </c>
      <c r="GP81" s="4">
        <v>0</v>
      </c>
      <c r="GQ81" s="4">
        <v>0</v>
      </c>
      <c r="GR81" s="1">
        <v>1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1">
        <v>1</v>
      </c>
      <c r="GY81" s="4">
        <v>0</v>
      </c>
      <c r="GZ81" s="4">
        <v>1</v>
      </c>
      <c r="HA81" s="4">
        <v>0</v>
      </c>
      <c r="HB81" s="4">
        <v>2</v>
      </c>
      <c r="HC81" s="4">
        <v>0</v>
      </c>
      <c r="HD81" s="4">
        <v>0</v>
      </c>
      <c r="HE81" s="4">
        <v>1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1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1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1</v>
      </c>
      <c r="JX81" s="4">
        <v>0</v>
      </c>
      <c r="JY81" s="4">
        <v>1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1">
        <v>1</v>
      </c>
      <c r="KJ81" s="4">
        <v>0</v>
      </c>
      <c r="KK81" s="4">
        <v>0</v>
      </c>
      <c r="KL81" s="4">
        <v>1</v>
      </c>
      <c r="KM81" s="4">
        <v>1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1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1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1</v>
      </c>
      <c r="LJ81" s="1">
        <v>2</v>
      </c>
      <c r="LK81" s="4">
        <v>1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1">
        <v>1</v>
      </c>
      <c r="LS81" s="4">
        <v>0</v>
      </c>
      <c r="LT81" s="4">
        <v>0</v>
      </c>
      <c r="LU81" s="1">
        <v>1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1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1">
        <v>1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1</v>
      </c>
      <c r="MV81" s="4">
        <v>0</v>
      </c>
      <c r="MW81" s="4">
        <v>0</v>
      </c>
      <c r="MX81" s="4">
        <v>1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  <c r="ND81" s="4">
        <v>0</v>
      </c>
      <c r="NE81" s="1">
        <v>1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  <c r="NL81" s="4">
        <v>0</v>
      </c>
      <c r="NM81" s="4">
        <v>0</v>
      </c>
      <c r="NN81" s="1">
        <v>1</v>
      </c>
      <c r="NO81" s="4">
        <v>1</v>
      </c>
      <c r="NP81" s="4">
        <v>0</v>
      </c>
      <c r="NQ81" s="4">
        <v>0</v>
      </c>
      <c r="NR81" s="4">
        <v>0</v>
      </c>
      <c r="NS81" s="4">
        <v>0</v>
      </c>
      <c r="NT81" s="4">
        <v>0</v>
      </c>
      <c r="NU81" s="4">
        <v>0</v>
      </c>
      <c r="NV81" s="4">
        <v>0</v>
      </c>
      <c r="NW81" s="4">
        <v>0</v>
      </c>
      <c r="NX81" s="4">
        <v>0</v>
      </c>
      <c r="NY81" s="4">
        <v>0</v>
      </c>
      <c r="NZ81" s="4">
        <v>0</v>
      </c>
      <c r="OA81" s="4">
        <v>0</v>
      </c>
      <c r="OB81" s="4">
        <v>0</v>
      </c>
      <c r="OC81" s="4">
        <v>0</v>
      </c>
      <c r="OD81" s="4">
        <v>1</v>
      </c>
      <c r="OE81" s="4">
        <v>0</v>
      </c>
      <c r="OF81" s="4">
        <v>0</v>
      </c>
      <c r="OG81" s="4">
        <v>0</v>
      </c>
      <c r="OH81" s="4">
        <v>0</v>
      </c>
      <c r="OI81" s="4">
        <v>0</v>
      </c>
      <c r="OJ81" s="4">
        <v>0</v>
      </c>
      <c r="OK81" s="4">
        <v>0</v>
      </c>
      <c r="OL81" s="4">
        <v>1</v>
      </c>
      <c r="OM81" s="4">
        <v>0</v>
      </c>
      <c r="ON81" s="4">
        <v>0</v>
      </c>
      <c r="OO81" s="4">
        <v>1</v>
      </c>
      <c r="OP81" s="4">
        <v>1</v>
      </c>
      <c r="OQ81" s="4">
        <v>0</v>
      </c>
      <c r="OS81" s="4">
        <f t="shared" si="2"/>
        <v>57</v>
      </c>
      <c r="OT81" s="4">
        <f t="shared" si="3"/>
        <v>60</v>
      </c>
    </row>
    <row r="82" spans="1:410" x14ac:dyDescent="0.3">
      <c r="A82" s="10" t="s">
        <v>692</v>
      </c>
      <c r="B82" s="4">
        <v>0</v>
      </c>
      <c r="C82" s="4">
        <v>0</v>
      </c>
      <c r="D82" s="4">
        <v>0</v>
      </c>
      <c r="E82" s="4">
        <v>0</v>
      </c>
      <c r="F82" s="1">
        <v>1</v>
      </c>
      <c r="G82" s="1">
        <v>2</v>
      </c>
      <c r="H82" s="4">
        <v>1</v>
      </c>
      <c r="I82" s="4">
        <v>0</v>
      </c>
      <c r="J82" s="4">
        <v>0</v>
      </c>
      <c r="K82" s="4">
        <v>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1">
        <v>1</v>
      </c>
      <c r="R82" s="4">
        <v>0</v>
      </c>
      <c r="S82" s="4">
        <v>0</v>
      </c>
      <c r="T82" s="4">
        <v>0</v>
      </c>
      <c r="U82" s="4">
        <v>0</v>
      </c>
      <c r="V82" s="1">
        <v>1</v>
      </c>
      <c r="W82" s="4">
        <v>0</v>
      </c>
      <c r="X82" s="4">
        <v>0</v>
      </c>
      <c r="Y82" s="4">
        <v>0</v>
      </c>
      <c r="Z82" s="4">
        <v>0</v>
      </c>
      <c r="AA82" s="1">
        <v>1</v>
      </c>
      <c r="AB82" s="4">
        <v>1</v>
      </c>
      <c r="AC82" s="4">
        <v>0</v>
      </c>
      <c r="AD82" s="1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1">
        <v>1</v>
      </c>
      <c r="AK82" s="4">
        <v>1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1">
        <v>1</v>
      </c>
      <c r="AV82" s="4">
        <v>0</v>
      </c>
      <c r="AW82" s="4">
        <v>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1</v>
      </c>
      <c r="BE82" s="4">
        <v>0</v>
      </c>
      <c r="BF82" s="4">
        <v>0</v>
      </c>
      <c r="BG82" s="4">
        <v>1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1">
        <v>1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1</v>
      </c>
      <c r="FF82" s="4">
        <v>0</v>
      </c>
      <c r="FG82" s="4">
        <v>0</v>
      </c>
      <c r="FH82" s="1">
        <v>1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1</v>
      </c>
      <c r="FP82" s="4">
        <v>0</v>
      </c>
      <c r="FQ82" s="4">
        <v>0</v>
      </c>
      <c r="FR82" s="4">
        <v>0</v>
      </c>
      <c r="FS82" s="1">
        <v>1</v>
      </c>
      <c r="FT82" s="4">
        <v>0</v>
      </c>
      <c r="FU82" s="4">
        <v>0</v>
      </c>
      <c r="FV82" s="4">
        <v>1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1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1">
        <v>1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1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1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1</v>
      </c>
      <c r="IL82" s="4">
        <v>0</v>
      </c>
      <c r="IM82" s="4">
        <v>0</v>
      </c>
      <c r="IN82" s="4">
        <v>1</v>
      </c>
      <c r="IO82" s="4">
        <v>0</v>
      </c>
      <c r="IP82" s="4">
        <v>0</v>
      </c>
      <c r="IQ82" s="4">
        <v>0</v>
      </c>
      <c r="IR82" s="4">
        <v>0</v>
      </c>
      <c r="IS82" s="4">
        <v>1</v>
      </c>
      <c r="IT82" s="4">
        <v>0</v>
      </c>
      <c r="IU82" s="4">
        <v>0</v>
      </c>
      <c r="IV82" s="4">
        <v>0</v>
      </c>
      <c r="IW82" s="4">
        <v>0</v>
      </c>
      <c r="IX82" s="4">
        <v>1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1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1</v>
      </c>
      <c r="JX82" s="4">
        <v>0</v>
      </c>
      <c r="JY82" s="4">
        <v>0</v>
      </c>
      <c r="JZ82" s="4">
        <v>1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1">
        <v>1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1</v>
      </c>
      <c r="LJ82" s="1">
        <v>2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1</v>
      </c>
      <c r="LR82" s="1">
        <v>1</v>
      </c>
      <c r="LS82" s="4">
        <v>1</v>
      </c>
      <c r="LT82" s="4">
        <v>0</v>
      </c>
      <c r="LU82" s="1">
        <v>1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1">
        <v>1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0</v>
      </c>
      <c r="MV82" s="4">
        <v>0</v>
      </c>
      <c r="MW82" s="4">
        <v>0</v>
      </c>
      <c r="MX82" s="4">
        <v>0</v>
      </c>
      <c r="MY82" s="4">
        <v>0</v>
      </c>
      <c r="MZ82" s="4">
        <v>0</v>
      </c>
      <c r="NA82" s="4">
        <v>0</v>
      </c>
      <c r="NB82" s="4">
        <v>0</v>
      </c>
      <c r="NC82" s="4">
        <v>0</v>
      </c>
      <c r="ND82" s="4">
        <v>0</v>
      </c>
      <c r="NE82" s="1">
        <v>1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  <c r="NL82" s="4">
        <v>0</v>
      </c>
      <c r="NM82" s="4">
        <v>0</v>
      </c>
      <c r="NN82" s="1">
        <v>1</v>
      </c>
      <c r="NO82" s="4">
        <v>1</v>
      </c>
      <c r="NP82" s="4">
        <v>0</v>
      </c>
      <c r="NQ82" s="4">
        <v>0</v>
      </c>
      <c r="NR82" s="4">
        <v>0</v>
      </c>
      <c r="NS82" s="4">
        <v>0</v>
      </c>
      <c r="NT82" s="4">
        <v>0</v>
      </c>
      <c r="NU82" s="4">
        <v>0</v>
      </c>
      <c r="NV82" s="4">
        <v>0</v>
      </c>
      <c r="NW82" s="4">
        <v>0</v>
      </c>
      <c r="NX82" s="4">
        <v>1</v>
      </c>
      <c r="NY82" s="4">
        <v>0</v>
      </c>
      <c r="NZ82" s="4">
        <v>0</v>
      </c>
      <c r="OA82" s="4">
        <v>0</v>
      </c>
      <c r="OB82" s="4">
        <v>1</v>
      </c>
      <c r="OC82" s="4">
        <v>0</v>
      </c>
      <c r="OD82" s="4">
        <v>0</v>
      </c>
      <c r="OE82" s="4">
        <v>0</v>
      </c>
      <c r="OF82" s="4">
        <v>0</v>
      </c>
      <c r="OG82" s="4">
        <v>0</v>
      </c>
      <c r="OH82" s="4">
        <v>0</v>
      </c>
      <c r="OI82" s="4">
        <v>0</v>
      </c>
      <c r="OJ82" s="4">
        <v>0</v>
      </c>
      <c r="OK82" s="4">
        <v>0</v>
      </c>
      <c r="OL82" s="4">
        <v>1</v>
      </c>
      <c r="OM82" s="4">
        <v>0</v>
      </c>
      <c r="ON82" s="4">
        <v>0</v>
      </c>
      <c r="OO82" s="4">
        <v>0</v>
      </c>
      <c r="OP82" s="4">
        <v>0</v>
      </c>
      <c r="OQ82" s="4">
        <v>0</v>
      </c>
      <c r="OS82" s="4">
        <f t="shared" si="2"/>
        <v>46</v>
      </c>
      <c r="OT82" s="4">
        <f t="shared" si="3"/>
        <v>48</v>
      </c>
    </row>
    <row r="83" spans="1:410" x14ac:dyDescent="0.3">
      <c r="A83" s="10" t="s">
        <v>695</v>
      </c>
      <c r="B83" s="4">
        <v>0</v>
      </c>
      <c r="C83" s="4">
        <v>0</v>
      </c>
      <c r="D83" s="4">
        <v>0</v>
      </c>
      <c r="E83" s="4">
        <v>0</v>
      </c>
      <c r="F83" s="1">
        <v>1</v>
      </c>
      <c r="G83" s="1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1">
        <v>1</v>
      </c>
      <c r="R83" s="4">
        <v>0</v>
      </c>
      <c r="S83" s="4">
        <v>0</v>
      </c>
      <c r="T83" s="4">
        <v>0</v>
      </c>
      <c r="U83" s="4">
        <v>0</v>
      </c>
      <c r="V83" s="1">
        <v>0</v>
      </c>
      <c r="W83" s="4">
        <v>0</v>
      </c>
      <c r="X83" s="4">
        <v>0</v>
      </c>
      <c r="Y83" s="4">
        <v>0</v>
      </c>
      <c r="Z83" s="4">
        <v>0</v>
      </c>
      <c r="AA83" s="1">
        <v>1</v>
      </c>
      <c r="AB83" s="4">
        <v>0</v>
      </c>
      <c r="AC83" s="4">
        <v>0</v>
      </c>
      <c r="AD83" s="1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1">
        <v>3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1">
        <v>1</v>
      </c>
      <c r="AV83" s="4">
        <v>0</v>
      </c>
      <c r="AW83" s="4">
        <v>0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1">
        <v>1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1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1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1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1">
        <v>1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1">
        <v>1</v>
      </c>
      <c r="FT83" s="4">
        <v>0</v>
      </c>
      <c r="FU83" s="4">
        <v>0</v>
      </c>
      <c r="FV83" s="4">
        <v>1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1</v>
      </c>
      <c r="GO83" s="4">
        <v>0</v>
      </c>
      <c r="GP83" s="4">
        <v>0</v>
      </c>
      <c r="GQ83" s="4">
        <v>0</v>
      </c>
      <c r="GR83" s="1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1">
        <v>1</v>
      </c>
      <c r="GY83" s="4">
        <v>0</v>
      </c>
      <c r="GZ83" s="4">
        <v>0</v>
      </c>
      <c r="HA83" s="4">
        <v>0</v>
      </c>
      <c r="HB83" s="4">
        <v>1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1</v>
      </c>
      <c r="HV83" s="4">
        <v>1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1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1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1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1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1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1">
        <v>1</v>
      </c>
      <c r="KJ83" s="4">
        <v>0</v>
      </c>
      <c r="KK83" s="4">
        <v>0</v>
      </c>
      <c r="KL83" s="4">
        <v>0</v>
      </c>
      <c r="KM83" s="4">
        <v>1</v>
      </c>
      <c r="KN83" s="4">
        <v>0</v>
      </c>
      <c r="KO83" s="4">
        <v>0</v>
      </c>
      <c r="KP83" s="4">
        <v>0</v>
      </c>
      <c r="KQ83" s="4">
        <v>1</v>
      </c>
      <c r="KR83" s="4">
        <v>1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1</v>
      </c>
      <c r="LH83" s="4">
        <v>0</v>
      </c>
      <c r="LI83" s="4">
        <v>1</v>
      </c>
      <c r="LJ83" s="1">
        <v>1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1">
        <v>1</v>
      </c>
      <c r="LS83" s="4">
        <v>0</v>
      </c>
      <c r="LT83" s="4">
        <v>0</v>
      </c>
      <c r="LU83" s="1">
        <v>1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1</v>
      </c>
      <c r="MF83" s="4">
        <v>0</v>
      </c>
      <c r="MG83" s="4">
        <v>1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1">
        <v>1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1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  <c r="NB83" s="4">
        <v>0</v>
      </c>
      <c r="NC83" s="4">
        <v>0</v>
      </c>
      <c r="ND83" s="4">
        <v>0</v>
      </c>
      <c r="NE83" s="1">
        <v>1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  <c r="NL83" s="4">
        <v>0</v>
      </c>
      <c r="NM83" s="4">
        <v>0</v>
      </c>
      <c r="NN83" s="1">
        <v>1</v>
      </c>
      <c r="NO83" s="4">
        <v>0</v>
      </c>
      <c r="NP83" s="4">
        <v>0</v>
      </c>
      <c r="NQ83" s="4">
        <v>0</v>
      </c>
      <c r="NR83" s="4">
        <v>0</v>
      </c>
      <c r="NS83" s="4">
        <v>0</v>
      </c>
      <c r="NT83" s="4">
        <v>0</v>
      </c>
      <c r="NU83" s="4">
        <v>0</v>
      </c>
      <c r="NV83" s="4">
        <v>0</v>
      </c>
      <c r="NW83" s="4">
        <v>0</v>
      </c>
      <c r="NX83" s="4">
        <v>0</v>
      </c>
      <c r="NY83" s="4">
        <v>0</v>
      </c>
      <c r="NZ83" s="4">
        <v>0</v>
      </c>
      <c r="OA83" s="4">
        <v>0</v>
      </c>
      <c r="OB83" s="4">
        <v>0</v>
      </c>
      <c r="OC83" s="4">
        <v>0</v>
      </c>
      <c r="OD83" s="4">
        <v>0</v>
      </c>
      <c r="OE83" s="4">
        <v>0</v>
      </c>
      <c r="OF83" s="4">
        <v>0</v>
      </c>
      <c r="OG83" s="4">
        <v>0</v>
      </c>
      <c r="OH83" s="4">
        <v>0</v>
      </c>
      <c r="OI83" s="4">
        <v>0</v>
      </c>
      <c r="OJ83" s="4">
        <v>0</v>
      </c>
      <c r="OK83" s="4">
        <v>1</v>
      </c>
      <c r="OL83" s="4">
        <v>1</v>
      </c>
      <c r="OM83" s="4">
        <v>0</v>
      </c>
      <c r="ON83" s="4">
        <v>0</v>
      </c>
      <c r="OO83" s="4">
        <v>0</v>
      </c>
      <c r="OP83" s="4">
        <v>0</v>
      </c>
      <c r="OQ83" s="4">
        <v>1</v>
      </c>
      <c r="OS83" s="4">
        <f t="shared" si="2"/>
        <v>43</v>
      </c>
      <c r="OT83" s="4">
        <f t="shared" si="3"/>
        <v>45</v>
      </c>
    </row>
    <row r="84" spans="1:410" x14ac:dyDescent="0.3">
      <c r="A84" s="10" t="s">
        <v>696</v>
      </c>
      <c r="B84" s="4">
        <v>0</v>
      </c>
      <c r="C84" s="4">
        <v>0</v>
      </c>
      <c r="D84" s="4">
        <v>0</v>
      </c>
      <c r="E84" s="4">
        <v>0</v>
      </c>
      <c r="F84" s="1">
        <v>1</v>
      </c>
      <c r="G84" s="1">
        <v>2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1</v>
      </c>
      <c r="O84" s="4">
        <v>0</v>
      </c>
      <c r="P84" s="4">
        <v>1</v>
      </c>
      <c r="Q84" s="1">
        <v>1</v>
      </c>
      <c r="R84" s="4">
        <v>1</v>
      </c>
      <c r="S84" s="4">
        <v>0</v>
      </c>
      <c r="T84" s="4">
        <v>0</v>
      </c>
      <c r="U84" s="4">
        <v>0</v>
      </c>
      <c r="V84" s="1">
        <v>1</v>
      </c>
      <c r="W84" s="4">
        <v>0</v>
      </c>
      <c r="X84" s="4">
        <v>0</v>
      </c>
      <c r="Y84" s="4">
        <v>0</v>
      </c>
      <c r="Z84" s="4">
        <v>0</v>
      </c>
      <c r="AA84" s="1">
        <v>1</v>
      </c>
      <c r="AB84" s="4">
        <v>2</v>
      </c>
      <c r="AC84" s="4">
        <v>0</v>
      </c>
      <c r="AD84" s="1">
        <v>1</v>
      </c>
      <c r="AE84" s="4">
        <v>1</v>
      </c>
      <c r="AF84" s="4">
        <v>0</v>
      </c>
      <c r="AG84" s="4">
        <v>0</v>
      </c>
      <c r="AH84" s="4">
        <v>0</v>
      </c>
      <c r="AI84" s="4">
        <v>1</v>
      </c>
      <c r="AJ84" s="1">
        <v>2</v>
      </c>
      <c r="AK84" s="4">
        <v>1</v>
      </c>
      <c r="AL84" s="4">
        <v>0</v>
      </c>
      <c r="AM84" s="4">
        <v>1</v>
      </c>
      <c r="AN84" s="4">
        <v>1</v>
      </c>
      <c r="AO84" s="4">
        <v>1</v>
      </c>
      <c r="AP84" s="4">
        <v>0</v>
      </c>
      <c r="AQ84" s="4">
        <v>1</v>
      </c>
      <c r="AR84" s="4">
        <v>1</v>
      </c>
      <c r="AS84" s="4">
        <v>0</v>
      </c>
      <c r="AT84" s="4">
        <v>0</v>
      </c>
      <c r="AU84" s="1">
        <v>1</v>
      </c>
      <c r="AV84" s="4">
        <v>0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1">
        <v>1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1</v>
      </c>
      <c r="CH84" s="4">
        <v>1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1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1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1</v>
      </c>
      <c r="FF84" s="4">
        <v>0</v>
      </c>
      <c r="FG84" s="4">
        <v>1</v>
      </c>
      <c r="FH84" s="1">
        <v>1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1">
        <v>1</v>
      </c>
      <c r="FT84" s="4">
        <v>0</v>
      </c>
      <c r="FU84" s="4">
        <v>0</v>
      </c>
      <c r="FV84" s="4">
        <v>1</v>
      </c>
      <c r="FW84" s="4">
        <v>0</v>
      </c>
      <c r="FX84" s="4">
        <v>1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1</v>
      </c>
      <c r="GN84" s="4">
        <v>1</v>
      </c>
      <c r="GO84" s="4">
        <v>0</v>
      </c>
      <c r="GP84" s="4">
        <v>0</v>
      </c>
      <c r="GQ84" s="4">
        <v>0</v>
      </c>
      <c r="GR84" s="1">
        <v>1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1">
        <v>1</v>
      </c>
      <c r="GY84" s="4">
        <v>0</v>
      </c>
      <c r="GZ84" s="4">
        <v>1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1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1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1</v>
      </c>
      <c r="IR84" s="4">
        <v>0</v>
      </c>
      <c r="IS84" s="4">
        <v>2</v>
      </c>
      <c r="IT84" s="4">
        <v>0</v>
      </c>
      <c r="IU84" s="4">
        <v>0</v>
      </c>
      <c r="IV84" s="4">
        <v>0</v>
      </c>
      <c r="IW84" s="4">
        <v>0</v>
      </c>
      <c r="IX84" s="4">
        <v>1</v>
      </c>
      <c r="IY84" s="4">
        <v>0</v>
      </c>
      <c r="IZ84" s="4">
        <v>0</v>
      </c>
      <c r="JA84" s="4">
        <v>0</v>
      </c>
      <c r="JB84" s="4">
        <v>0</v>
      </c>
      <c r="JC84" s="4">
        <v>1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1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1">
        <v>1</v>
      </c>
      <c r="KJ84" s="4">
        <v>0</v>
      </c>
      <c r="KK84" s="4">
        <v>0</v>
      </c>
      <c r="KL84" s="4">
        <v>0</v>
      </c>
      <c r="KM84" s="4">
        <v>1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1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4">
        <v>1</v>
      </c>
      <c r="LJ84" s="1">
        <v>1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1</v>
      </c>
      <c r="LR84" s="1">
        <v>1</v>
      </c>
      <c r="LS84" s="4">
        <v>0</v>
      </c>
      <c r="LT84" s="4">
        <v>0</v>
      </c>
      <c r="LU84" s="1">
        <v>1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1">
        <v>1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0</v>
      </c>
      <c r="MV84" s="4">
        <v>0</v>
      </c>
      <c r="MW84" s="4">
        <v>0</v>
      </c>
      <c r="MX84" s="4">
        <v>0</v>
      </c>
      <c r="MY84" s="4">
        <v>0</v>
      </c>
      <c r="MZ84" s="4">
        <v>0</v>
      </c>
      <c r="NA84" s="4">
        <v>0</v>
      </c>
      <c r="NB84" s="4">
        <v>0</v>
      </c>
      <c r="NC84" s="4">
        <v>0</v>
      </c>
      <c r="ND84" s="4">
        <v>0</v>
      </c>
      <c r="NE84" s="1">
        <v>1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  <c r="NL84" s="4">
        <v>0</v>
      </c>
      <c r="NM84" s="4">
        <v>0</v>
      </c>
      <c r="NN84" s="1">
        <v>1</v>
      </c>
      <c r="NO84" s="4">
        <v>0</v>
      </c>
      <c r="NP84" s="4">
        <v>0</v>
      </c>
      <c r="NQ84" s="4">
        <v>0</v>
      </c>
      <c r="NR84" s="4">
        <v>1</v>
      </c>
      <c r="NS84" s="4">
        <v>0</v>
      </c>
      <c r="NT84" s="4">
        <v>0</v>
      </c>
      <c r="NU84" s="4">
        <v>0</v>
      </c>
      <c r="NV84" s="4">
        <v>0</v>
      </c>
      <c r="NW84" s="4">
        <v>0</v>
      </c>
      <c r="NX84" s="4">
        <v>0</v>
      </c>
      <c r="NY84" s="4">
        <v>0</v>
      </c>
      <c r="NZ84" s="4">
        <v>0</v>
      </c>
      <c r="OA84" s="4">
        <v>0</v>
      </c>
      <c r="OB84" s="4">
        <v>0</v>
      </c>
      <c r="OC84" s="4">
        <v>0</v>
      </c>
      <c r="OD84" s="4">
        <v>0</v>
      </c>
      <c r="OE84" s="4">
        <v>0</v>
      </c>
      <c r="OF84" s="4">
        <v>0</v>
      </c>
      <c r="OG84" s="4">
        <v>0</v>
      </c>
      <c r="OH84" s="4">
        <v>0</v>
      </c>
      <c r="OI84" s="4">
        <v>0</v>
      </c>
      <c r="OJ84" s="4">
        <v>0</v>
      </c>
      <c r="OK84" s="4">
        <v>0</v>
      </c>
      <c r="OL84" s="4">
        <v>1</v>
      </c>
      <c r="OM84" s="4">
        <v>0</v>
      </c>
      <c r="ON84" s="4">
        <v>1</v>
      </c>
      <c r="OO84" s="4">
        <v>0</v>
      </c>
      <c r="OP84" s="4">
        <v>0</v>
      </c>
      <c r="OQ84" s="4">
        <v>1</v>
      </c>
      <c r="OS84" s="4">
        <f t="shared" si="2"/>
        <v>60</v>
      </c>
      <c r="OT84" s="4">
        <f t="shared" si="3"/>
        <v>64</v>
      </c>
    </row>
    <row r="85" spans="1:410" x14ac:dyDescent="0.3">
      <c r="A85" s="10" t="s">
        <v>697</v>
      </c>
      <c r="B85" s="4">
        <v>0</v>
      </c>
      <c r="C85" s="4">
        <v>0</v>
      </c>
      <c r="D85" s="4">
        <v>0</v>
      </c>
      <c r="E85" s="4">
        <v>0</v>
      </c>
      <c r="F85" s="1">
        <v>1</v>
      </c>
      <c r="G85" s="1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1">
        <v>1</v>
      </c>
      <c r="R85" s="4">
        <v>0</v>
      </c>
      <c r="S85" s="4">
        <v>0</v>
      </c>
      <c r="T85" s="4">
        <v>0</v>
      </c>
      <c r="U85" s="4">
        <v>0</v>
      </c>
      <c r="V85" s="1">
        <v>1</v>
      </c>
      <c r="W85" s="4">
        <v>0</v>
      </c>
      <c r="X85" s="4">
        <v>0</v>
      </c>
      <c r="Y85" s="4">
        <v>0</v>
      </c>
      <c r="Z85" s="4">
        <v>0</v>
      </c>
      <c r="AA85" s="1">
        <v>1</v>
      </c>
      <c r="AB85" s="4">
        <v>0</v>
      </c>
      <c r="AC85" s="4">
        <v>0</v>
      </c>
      <c r="AD85" s="1">
        <v>1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1">
        <v>1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1">
        <v>1</v>
      </c>
      <c r="AV85" s="4">
        <v>0</v>
      </c>
      <c r="AW85" s="4">
        <v>0</v>
      </c>
      <c r="AX85" s="4">
        <v>0</v>
      </c>
      <c r="AY85" s="4">
        <v>1</v>
      </c>
      <c r="AZ85" s="4">
        <v>0</v>
      </c>
      <c r="BA85" s="4">
        <v>0</v>
      </c>
      <c r="BB85" s="4">
        <v>1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1">
        <v>1</v>
      </c>
      <c r="BT85" s="4">
        <v>1</v>
      </c>
      <c r="BU85" s="4">
        <v>1</v>
      </c>
      <c r="BV85" s="4">
        <v>0</v>
      </c>
      <c r="BW85" s="4">
        <v>0</v>
      </c>
      <c r="BX85" s="4">
        <v>0</v>
      </c>
      <c r="BY85" s="4">
        <v>1</v>
      </c>
      <c r="BZ85" s="4">
        <v>1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2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1</v>
      </c>
      <c r="DR85" s="4">
        <v>1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1</v>
      </c>
      <c r="EW85" s="4">
        <v>0</v>
      </c>
      <c r="EX85" s="4">
        <v>0</v>
      </c>
      <c r="EY85" s="4">
        <v>1</v>
      </c>
      <c r="EZ85" s="4">
        <v>0</v>
      </c>
      <c r="FA85" s="4">
        <v>1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1">
        <v>1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1">
        <v>1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1</v>
      </c>
      <c r="GO85" s="4">
        <v>0</v>
      </c>
      <c r="GP85" s="4">
        <v>0</v>
      </c>
      <c r="GQ85" s="4">
        <v>0</v>
      </c>
      <c r="GR85" s="1">
        <v>1</v>
      </c>
      <c r="GS85" s="4">
        <v>0</v>
      </c>
      <c r="GT85" s="4">
        <v>0</v>
      </c>
      <c r="GU85" s="4">
        <v>0</v>
      </c>
      <c r="GV85" s="4">
        <v>1</v>
      </c>
      <c r="GW85" s="4">
        <v>0</v>
      </c>
      <c r="GX85" s="1">
        <v>1</v>
      </c>
      <c r="GY85" s="4">
        <v>0</v>
      </c>
      <c r="GZ85" s="4">
        <v>0</v>
      </c>
      <c r="HA85" s="4">
        <v>0</v>
      </c>
      <c r="HB85" s="4">
        <v>2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1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1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1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1</v>
      </c>
      <c r="JJ85" s="4">
        <v>0</v>
      </c>
      <c r="JK85" s="4">
        <v>1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1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1">
        <v>1</v>
      </c>
      <c r="KJ85" s="4">
        <v>0</v>
      </c>
      <c r="KK85" s="4">
        <v>0</v>
      </c>
      <c r="KL85" s="4">
        <v>0</v>
      </c>
      <c r="KM85" s="4">
        <v>1</v>
      </c>
      <c r="KN85" s="4">
        <v>0</v>
      </c>
      <c r="KO85" s="4">
        <v>0</v>
      </c>
      <c r="KP85" s="4">
        <v>0</v>
      </c>
      <c r="KQ85" s="4">
        <v>1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1</v>
      </c>
      <c r="LJ85" s="1">
        <v>1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1">
        <v>1</v>
      </c>
      <c r="LS85" s="4">
        <v>0</v>
      </c>
      <c r="LT85" s="4">
        <v>0</v>
      </c>
      <c r="LU85" s="1">
        <v>1</v>
      </c>
      <c r="LV85" s="4">
        <v>0</v>
      </c>
      <c r="LW85" s="4">
        <v>0</v>
      </c>
      <c r="LX85" s="4">
        <v>1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1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1">
        <v>1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1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  <c r="ND85" s="4">
        <v>0</v>
      </c>
      <c r="NE85" s="1">
        <v>1</v>
      </c>
      <c r="NF85" s="4">
        <v>0</v>
      </c>
      <c r="NG85" s="4">
        <v>0</v>
      </c>
      <c r="NH85" s="4">
        <v>1</v>
      </c>
      <c r="NI85" s="4">
        <v>0</v>
      </c>
      <c r="NJ85" s="4">
        <v>0</v>
      </c>
      <c r="NK85" s="4">
        <v>0</v>
      </c>
      <c r="NL85" s="4">
        <v>0</v>
      </c>
      <c r="NM85" s="4">
        <v>0</v>
      </c>
      <c r="NN85" s="1">
        <v>1</v>
      </c>
      <c r="NO85" s="4">
        <v>1</v>
      </c>
      <c r="NP85" s="4">
        <v>0</v>
      </c>
      <c r="NQ85" s="4">
        <v>0</v>
      </c>
      <c r="NR85" s="4">
        <v>0</v>
      </c>
      <c r="NS85" s="4">
        <v>0</v>
      </c>
      <c r="NT85" s="4">
        <v>0</v>
      </c>
      <c r="NU85" s="4">
        <v>0</v>
      </c>
      <c r="NV85" s="4">
        <v>0</v>
      </c>
      <c r="NW85" s="4">
        <v>0</v>
      </c>
      <c r="NX85" s="4">
        <v>0</v>
      </c>
      <c r="NY85" s="4">
        <v>0</v>
      </c>
      <c r="NZ85" s="4">
        <v>0</v>
      </c>
      <c r="OA85" s="4">
        <v>0</v>
      </c>
      <c r="OB85" s="4">
        <v>0</v>
      </c>
      <c r="OC85" s="4">
        <v>0</v>
      </c>
      <c r="OD85" s="4">
        <v>0</v>
      </c>
      <c r="OE85" s="4">
        <v>0</v>
      </c>
      <c r="OF85" s="4">
        <v>0</v>
      </c>
      <c r="OG85" s="4">
        <v>1</v>
      </c>
      <c r="OH85" s="4">
        <v>0</v>
      </c>
      <c r="OI85" s="4">
        <v>0</v>
      </c>
      <c r="OJ85" s="4">
        <v>0</v>
      </c>
      <c r="OK85" s="4">
        <v>0</v>
      </c>
      <c r="OL85" s="4">
        <v>1</v>
      </c>
      <c r="OM85" s="4">
        <v>0</v>
      </c>
      <c r="ON85" s="4">
        <v>0</v>
      </c>
      <c r="OO85" s="4">
        <v>0</v>
      </c>
      <c r="OP85" s="4">
        <v>0</v>
      </c>
      <c r="OQ85" s="4">
        <v>0</v>
      </c>
      <c r="OS85" s="4">
        <f t="shared" si="2"/>
        <v>52</v>
      </c>
      <c r="OT85" s="4">
        <f t="shared" si="3"/>
        <v>54</v>
      </c>
    </row>
    <row r="86" spans="1:410" x14ac:dyDescent="0.3">
      <c r="A86" s="10" t="s">
        <v>698</v>
      </c>
      <c r="B86" s="4">
        <v>0</v>
      </c>
      <c r="C86" s="4">
        <v>0</v>
      </c>
      <c r="D86" s="4">
        <v>0</v>
      </c>
      <c r="E86" s="4">
        <v>2</v>
      </c>
      <c r="F86" s="1">
        <v>1</v>
      </c>
      <c r="G86" s="1">
        <v>1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1</v>
      </c>
      <c r="O86" s="4">
        <v>0</v>
      </c>
      <c r="P86" s="4">
        <v>1</v>
      </c>
      <c r="Q86" s="1">
        <v>1</v>
      </c>
      <c r="R86" s="4">
        <v>1</v>
      </c>
      <c r="S86" s="4">
        <v>0</v>
      </c>
      <c r="T86" s="4">
        <v>0</v>
      </c>
      <c r="U86" s="4">
        <v>0</v>
      </c>
      <c r="V86" s="1">
        <v>1</v>
      </c>
      <c r="W86" s="4">
        <v>0</v>
      </c>
      <c r="X86" s="4">
        <v>1</v>
      </c>
      <c r="Y86" s="4">
        <v>0</v>
      </c>
      <c r="Z86" s="4">
        <v>0</v>
      </c>
      <c r="AA86" s="1">
        <v>1</v>
      </c>
      <c r="AB86" s="4">
        <v>1</v>
      </c>
      <c r="AC86" s="4">
        <v>0</v>
      </c>
      <c r="AD86" s="1">
        <v>1</v>
      </c>
      <c r="AE86" s="4">
        <v>0</v>
      </c>
      <c r="AF86" s="4">
        <v>0</v>
      </c>
      <c r="AG86" s="4">
        <v>0</v>
      </c>
      <c r="AH86" s="4">
        <v>0</v>
      </c>
      <c r="AI86" s="4">
        <v>1</v>
      </c>
      <c r="AJ86" s="1">
        <v>1</v>
      </c>
      <c r="AK86" s="4">
        <v>1</v>
      </c>
      <c r="AL86" s="4">
        <v>0</v>
      </c>
      <c r="AM86" s="4">
        <v>0</v>
      </c>
      <c r="AN86" s="4">
        <v>1</v>
      </c>
      <c r="AO86" s="4">
        <v>1</v>
      </c>
      <c r="AP86" s="4">
        <v>1</v>
      </c>
      <c r="AQ86" s="4">
        <v>0</v>
      </c>
      <c r="AR86" s="4">
        <v>0</v>
      </c>
      <c r="AS86" s="4">
        <v>0</v>
      </c>
      <c r="AT86" s="4">
        <v>0</v>
      </c>
      <c r="AU86" s="1">
        <v>1</v>
      </c>
      <c r="AV86" s="4">
        <v>0</v>
      </c>
      <c r="AW86" s="4">
        <v>0</v>
      </c>
      <c r="AX86" s="4">
        <v>0</v>
      </c>
      <c r="AY86" s="4">
        <v>1</v>
      </c>
      <c r="AZ86" s="4">
        <v>2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1">
        <v>1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1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1">
        <v>0</v>
      </c>
      <c r="FI86" s="4">
        <v>1</v>
      </c>
      <c r="FJ86" s="4">
        <v>0</v>
      </c>
      <c r="FK86" s="4">
        <v>0</v>
      </c>
      <c r="FL86" s="4">
        <v>0</v>
      </c>
      <c r="FM86" s="4">
        <v>0</v>
      </c>
      <c r="FN86" s="4">
        <v>1</v>
      </c>
      <c r="FO86" s="4">
        <v>1</v>
      </c>
      <c r="FP86" s="4">
        <v>0</v>
      </c>
      <c r="FQ86" s="4">
        <v>0</v>
      </c>
      <c r="FR86" s="4">
        <v>0</v>
      </c>
      <c r="FS86" s="1">
        <v>1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1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1</v>
      </c>
      <c r="GO86" s="4">
        <v>0</v>
      </c>
      <c r="GP86" s="4">
        <v>0</v>
      </c>
      <c r="GQ86" s="4">
        <v>0</v>
      </c>
      <c r="GR86" s="1">
        <v>1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1">
        <v>1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1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1</v>
      </c>
      <c r="IG86" s="4">
        <v>0</v>
      </c>
      <c r="IH86" s="4">
        <v>0</v>
      </c>
      <c r="II86" s="4">
        <v>0</v>
      </c>
      <c r="IJ86" s="4">
        <v>0</v>
      </c>
      <c r="IK86" s="4">
        <v>1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1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1</v>
      </c>
      <c r="JG86" s="4">
        <v>0</v>
      </c>
      <c r="JH86" s="4">
        <v>0</v>
      </c>
      <c r="JI86" s="4">
        <v>1</v>
      </c>
      <c r="JJ86" s="4">
        <v>1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1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1">
        <v>1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1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1</v>
      </c>
      <c r="LJ86" s="1">
        <v>1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1">
        <v>1</v>
      </c>
      <c r="LS86" s="4">
        <v>0</v>
      </c>
      <c r="LT86" s="4">
        <v>0</v>
      </c>
      <c r="LU86" s="1">
        <v>1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1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1">
        <v>1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1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  <c r="ND86" s="4">
        <v>0</v>
      </c>
      <c r="NE86" s="1">
        <v>1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  <c r="NL86" s="4">
        <v>0</v>
      </c>
      <c r="NM86" s="4">
        <v>0</v>
      </c>
      <c r="NN86" s="1">
        <v>1</v>
      </c>
      <c r="NO86" s="4">
        <v>0</v>
      </c>
      <c r="NP86" s="4">
        <v>0</v>
      </c>
      <c r="NQ86" s="4">
        <v>0</v>
      </c>
      <c r="NR86" s="4">
        <v>1</v>
      </c>
      <c r="NS86" s="4">
        <v>0</v>
      </c>
      <c r="NT86" s="4">
        <v>0</v>
      </c>
      <c r="NU86" s="4">
        <v>0</v>
      </c>
      <c r="NV86" s="4">
        <v>0</v>
      </c>
      <c r="NW86" s="4">
        <v>0</v>
      </c>
      <c r="NX86" s="4">
        <v>0</v>
      </c>
      <c r="NY86" s="4">
        <v>0</v>
      </c>
      <c r="NZ86" s="4">
        <v>0</v>
      </c>
      <c r="OA86" s="4">
        <v>0</v>
      </c>
      <c r="OB86" s="4">
        <v>0</v>
      </c>
      <c r="OC86" s="4">
        <v>0</v>
      </c>
      <c r="OD86" s="4">
        <v>0</v>
      </c>
      <c r="OE86" s="4">
        <v>0</v>
      </c>
      <c r="OF86" s="4">
        <v>0</v>
      </c>
      <c r="OG86" s="4">
        <v>0</v>
      </c>
      <c r="OH86" s="4">
        <v>0</v>
      </c>
      <c r="OI86" s="4">
        <v>0</v>
      </c>
      <c r="OJ86" s="4">
        <v>0</v>
      </c>
      <c r="OK86" s="4">
        <v>0</v>
      </c>
      <c r="OL86" s="4">
        <v>1</v>
      </c>
      <c r="OM86" s="4">
        <v>0</v>
      </c>
      <c r="ON86" s="4">
        <v>0</v>
      </c>
      <c r="OO86" s="4">
        <v>0</v>
      </c>
      <c r="OP86" s="4">
        <v>0</v>
      </c>
      <c r="OQ86" s="4">
        <v>1</v>
      </c>
      <c r="OS86" s="4">
        <f t="shared" si="2"/>
        <v>55</v>
      </c>
      <c r="OT86" s="4">
        <f t="shared" si="3"/>
        <v>57</v>
      </c>
    </row>
    <row r="87" spans="1:410" x14ac:dyDescent="0.3">
      <c r="A87" s="10" t="s">
        <v>699</v>
      </c>
      <c r="B87" s="4">
        <v>0</v>
      </c>
      <c r="C87" s="4">
        <v>0</v>
      </c>
      <c r="D87" s="4">
        <v>0</v>
      </c>
      <c r="E87" s="4">
        <v>0</v>
      </c>
      <c r="F87" s="1">
        <v>1</v>
      </c>
      <c r="G87" s="1">
        <v>1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1">
        <v>1</v>
      </c>
      <c r="R87" s="4">
        <v>0</v>
      </c>
      <c r="S87" s="4">
        <v>0</v>
      </c>
      <c r="T87" s="4">
        <v>0</v>
      </c>
      <c r="U87" s="4">
        <v>0</v>
      </c>
      <c r="V87" s="1">
        <v>1</v>
      </c>
      <c r="W87" s="4">
        <v>0</v>
      </c>
      <c r="X87" s="4">
        <v>0</v>
      </c>
      <c r="Y87" s="4">
        <v>0</v>
      </c>
      <c r="Z87" s="4">
        <v>0</v>
      </c>
      <c r="AA87" s="1">
        <v>1</v>
      </c>
      <c r="AB87" s="4">
        <v>0</v>
      </c>
      <c r="AC87" s="4">
        <v>0</v>
      </c>
      <c r="AD87" s="1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1">
        <v>1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1">
        <v>1</v>
      </c>
      <c r="AV87" s="4">
        <v>0</v>
      </c>
      <c r="AW87" s="4">
        <v>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1">
        <v>1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1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1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1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1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1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1">
        <v>1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1">
        <v>1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1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1">
        <v>1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1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1">
        <v>1</v>
      </c>
      <c r="KJ87" s="4">
        <v>0</v>
      </c>
      <c r="KK87" s="4">
        <v>0</v>
      </c>
      <c r="KL87" s="4">
        <v>0</v>
      </c>
      <c r="KM87" s="4">
        <v>1</v>
      </c>
      <c r="KN87" s="4">
        <v>0</v>
      </c>
      <c r="KO87" s="4">
        <v>0</v>
      </c>
      <c r="KP87" s="4">
        <v>0</v>
      </c>
      <c r="KQ87" s="4">
        <v>1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4">
        <v>1</v>
      </c>
      <c r="LJ87" s="1">
        <v>1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1">
        <v>1</v>
      </c>
      <c r="LS87" s="4">
        <v>0</v>
      </c>
      <c r="LT87" s="4">
        <v>0</v>
      </c>
      <c r="LU87" s="1">
        <v>1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1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1">
        <v>1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1</v>
      </c>
      <c r="MV87" s="4">
        <v>0</v>
      </c>
      <c r="MW87" s="4">
        <v>0</v>
      </c>
      <c r="MX87" s="4">
        <v>0</v>
      </c>
      <c r="MY87" s="4">
        <v>0</v>
      </c>
      <c r="MZ87" s="4">
        <v>0</v>
      </c>
      <c r="NA87" s="4">
        <v>0</v>
      </c>
      <c r="NB87" s="4">
        <v>0</v>
      </c>
      <c r="NC87" s="4">
        <v>0</v>
      </c>
      <c r="ND87" s="4">
        <v>0</v>
      </c>
      <c r="NE87" s="1">
        <v>1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  <c r="NL87" s="4">
        <v>0</v>
      </c>
      <c r="NM87" s="4">
        <v>0</v>
      </c>
      <c r="NN87" s="1">
        <v>1</v>
      </c>
      <c r="NO87" s="4">
        <v>1</v>
      </c>
      <c r="NP87" s="4">
        <v>0</v>
      </c>
      <c r="NQ87" s="4">
        <v>0</v>
      </c>
      <c r="NR87" s="4">
        <v>0</v>
      </c>
      <c r="NS87" s="4">
        <v>0</v>
      </c>
      <c r="NT87" s="4">
        <v>0</v>
      </c>
      <c r="NU87" s="4">
        <v>0</v>
      </c>
      <c r="NV87" s="4">
        <v>0</v>
      </c>
      <c r="NW87" s="4">
        <v>0</v>
      </c>
      <c r="NX87" s="4">
        <v>0</v>
      </c>
      <c r="NY87" s="4">
        <v>0</v>
      </c>
      <c r="NZ87" s="4">
        <v>0</v>
      </c>
      <c r="OA87" s="4">
        <v>0</v>
      </c>
      <c r="OB87" s="4">
        <v>0</v>
      </c>
      <c r="OC87" s="4">
        <v>0</v>
      </c>
      <c r="OD87" s="4">
        <v>0</v>
      </c>
      <c r="OE87" s="4">
        <v>0</v>
      </c>
      <c r="OF87" s="4">
        <v>0</v>
      </c>
      <c r="OG87" s="4">
        <v>0</v>
      </c>
      <c r="OH87" s="4">
        <v>0</v>
      </c>
      <c r="OI87" s="4">
        <v>0</v>
      </c>
      <c r="OJ87" s="4">
        <v>0</v>
      </c>
      <c r="OK87" s="4">
        <v>0</v>
      </c>
      <c r="OL87" s="4">
        <v>2</v>
      </c>
      <c r="OM87" s="4">
        <v>0</v>
      </c>
      <c r="ON87" s="4">
        <v>0</v>
      </c>
      <c r="OO87" s="4">
        <v>0</v>
      </c>
      <c r="OP87" s="4">
        <v>0</v>
      </c>
      <c r="OQ87" s="4">
        <v>0</v>
      </c>
      <c r="OS87" s="4">
        <f t="shared" si="2"/>
        <v>33</v>
      </c>
      <c r="OT87" s="4">
        <f t="shared" si="3"/>
        <v>34</v>
      </c>
    </row>
    <row r="88" spans="1:410" x14ac:dyDescent="0.3">
      <c r="A88" s="10" t="s">
        <v>700</v>
      </c>
      <c r="B88" s="4">
        <v>0</v>
      </c>
      <c r="C88" s="4">
        <v>0</v>
      </c>
      <c r="D88" s="4">
        <v>0</v>
      </c>
      <c r="E88" s="4">
        <v>0</v>
      </c>
      <c r="F88" s="1">
        <v>1</v>
      </c>
      <c r="G88" s="1">
        <v>1</v>
      </c>
      <c r="H88" s="4">
        <v>2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1</v>
      </c>
      <c r="O88" s="4">
        <v>0</v>
      </c>
      <c r="P88" s="4">
        <v>1</v>
      </c>
      <c r="Q88" s="1">
        <v>1</v>
      </c>
      <c r="R88" s="4">
        <v>1</v>
      </c>
      <c r="S88" s="4">
        <v>0</v>
      </c>
      <c r="T88" s="4">
        <v>0</v>
      </c>
      <c r="U88" s="4">
        <v>0</v>
      </c>
      <c r="V88" s="1">
        <v>1</v>
      </c>
      <c r="W88" s="4">
        <v>1</v>
      </c>
      <c r="X88" s="4">
        <v>0</v>
      </c>
      <c r="Y88" s="4">
        <v>0</v>
      </c>
      <c r="Z88" s="4">
        <v>1</v>
      </c>
      <c r="AA88" s="1">
        <v>1</v>
      </c>
      <c r="AB88" s="4">
        <v>1</v>
      </c>
      <c r="AC88" s="4">
        <v>0</v>
      </c>
      <c r="AD88" s="1">
        <v>1</v>
      </c>
      <c r="AE88" s="4">
        <v>1</v>
      </c>
      <c r="AF88" s="4">
        <v>1</v>
      </c>
      <c r="AG88" s="4">
        <v>0</v>
      </c>
      <c r="AH88" s="4">
        <v>0</v>
      </c>
      <c r="AI88" s="4">
        <v>1</v>
      </c>
      <c r="AJ88" s="1">
        <v>3</v>
      </c>
      <c r="AK88" s="4">
        <v>0</v>
      </c>
      <c r="AL88" s="4">
        <v>0</v>
      </c>
      <c r="AM88" s="4">
        <v>1</v>
      </c>
      <c r="AN88" s="4">
        <v>1</v>
      </c>
      <c r="AO88" s="4">
        <v>1</v>
      </c>
      <c r="AP88" s="4">
        <v>0</v>
      </c>
      <c r="AQ88" s="4">
        <v>1</v>
      </c>
      <c r="AR88" s="4">
        <v>1</v>
      </c>
      <c r="AS88" s="4">
        <v>1</v>
      </c>
      <c r="AT88" s="4">
        <v>0</v>
      </c>
      <c r="AU88" s="1">
        <v>1</v>
      </c>
      <c r="AV88" s="4">
        <v>1</v>
      </c>
      <c r="AW88" s="4">
        <v>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1">
        <v>1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1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1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1</v>
      </c>
      <c r="EE88" s="4">
        <v>0</v>
      </c>
      <c r="EF88" s="4">
        <v>0</v>
      </c>
      <c r="EG88" s="4">
        <v>0</v>
      </c>
      <c r="EH88" s="4">
        <v>1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1</v>
      </c>
      <c r="EW88" s="4">
        <v>0</v>
      </c>
      <c r="EX88" s="4">
        <v>0</v>
      </c>
      <c r="EY88" s="4">
        <v>0</v>
      </c>
      <c r="EZ88" s="4">
        <v>0</v>
      </c>
      <c r="FA88" s="4">
        <v>1</v>
      </c>
      <c r="FB88" s="4">
        <v>0</v>
      </c>
      <c r="FC88" s="4">
        <v>0</v>
      </c>
      <c r="FD88" s="4">
        <v>0</v>
      </c>
      <c r="FE88" s="4">
        <v>2</v>
      </c>
      <c r="FF88" s="4">
        <v>1</v>
      </c>
      <c r="FG88" s="4">
        <v>1</v>
      </c>
      <c r="FH88" s="1">
        <v>1</v>
      </c>
      <c r="FI88" s="4">
        <v>1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1</v>
      </c>
      <c r="FS88" s="1">
        <v>1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1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1</v>
      </c>
      <c r="GO88" s="4">
        <v>0</v>
      </c>
      <c r="GP88" s="4">
        <v>0</v>
      </c>
      <c r="GQ88" s="4">
        <v>0</v>
      </c>
      <c r="GR88" s="1">
        <v>1</v>
      </c>
      <c r="GS88" s="4">
        <v>0</v>
      </c>
      <c r="GT88" s="4">
        <v>0</v>
      </c>
      <c r="GU88" s="4">
        <v>0</v>
      </c>
      <c r="GV88" s="4">
        <v>2</v>
      </c>
      <c r="GW88" s="4">
        <v>0</v>
      </c>
      <c r="GX88" s="1">
        <v>1</v>
      </c>
      <c r="GY88" s="4">
        <v>0</v>
      </c>
      <c r="GZ88" s="4">
        <v>1</v>
      </c>
      <c r="HA88" s="4">
        <v>0</v>
      </c>
      <c r="HB88" s="4">
        <v>0</v>
      </c>
      <c r="HC88" s="4">
        <v>0</v>
      </c>
      <c r="HD88" s="4">
        <v>1</v>
      </c>
      <c r="HE88" s="4">
        <v>0</v>
      </c>
      <c r="HF88" s="4">
        <v>1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1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1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1</v>
      </c>
      <c r="IR88" s="4">
        <v>0</v>
      </c>
      <c r="IS88" s="4">
        <v>1</v>
      </c>
      <c r="IT88" s="4">
        <v>0</v>
      </c>
      <c r="IU88" s="4">
        <v>0</v>
      </c>
      <c r="IV88" s="4">
        <v>0</v>
      </c>
      <c r="IW88" s="4">
        <v>0</v>
      </c>
      <c r="IX88" s="4">
        <v>1</v>
      </c>
      <c r="IY88" s="4">
        <v>0</v>
      </c>
      <c r="IZ88" s="4">
        <v>0</v>
      </c>
      <c r="JA88" s="4">
        <v>0</v>
      </c>
      <c r="JB88" s="4">
        <v>0</v>
      </c>
      <c r="JC88" s="4">
        <v>1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1</v>
      </c>
      <c r="JJ88" s="4">
        <v>0</v>
      </c>
      <c r="JK88" s="4">
        <v>0</v>
      </c>
      <c r="JL88" s="4">
        <v>0</v>
      </c>
      <c r="JM88" s="4">
        <v>0</v>
      </c>
      <c r="JN88" s="4">
        <v>1</v>
      </c>
      <c r="JO88" s="4">
        <v>0</v>
      </c>
      <c r="JP88" s="4">
        <v>0</v>
      </c>
      <c r="JQ88" s="4">
        <v>0</v>
      </c>
      <c r="JR88" s="4">
        <v>0</v>
      </c>
      <c r="JS88" s="4">
        <v>1</v>
      </c>
      <c r="JT88" s="4">
        <v>0</v>
      </c>
      <c r="JU88" s="4">
        <v>0</v>
      </c>
      <c r="JV88" s="4">
        <v>0</v>
      </c>
      <c r="JW88" s="4">
        <v>1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1">
        <v>1</v>
      </c>
      <c r="KJ88" s="4">
        <v>0</v>
      </c>
      <c r="KK88" s="4">
        <v>0</v>
      </c>
      <c r="KL88" s="4">
        <v>0</v>
      </c>
      <c r="KM88" s="4">
        <v>1</v>
      </c>
      <c r="KN88" s="4">
        <v>1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1</v>
      </c>
      <c r="LE88" s="4">
        <v>0</v>
      </c>
      <c r="LF88" s="4">
        <v>0</v>
      </c>
      <c r="LG88" s="4">
        <v>0</v>
      </c>
      <c r="LH88" s="4">
        <v>0</v>
      </c>
      <c r="LI88" s="4">
        <v>1</v>
      </c>
      <c r="LJ88" s="1">
        <v>1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1">
        <v>1</v>
      </c>
      <c r="LS88" s="4">
        <v>0</v>
      </c>
      <c r="LT88" s="4">
        <v>0</v>
      </c>
      <c r="LU88" s="1">
        <v>1</v>
      </c>
      <c r="LV88" s="4">
        <v>0</v>
      </c>
      <c r="LW88" s="4">
        <v>0</v>
      </c>
      <c r="LX88" s="4">
        <v>0</v>
      </c>
      <c r="LY88" s="4">
        <v>1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1">
        <v>1</v>
      </c>
      <c r="MO88" s="4">
        <v>0</v>
      </c>
      <c r="MP88" s="4">
        <v>0</v>
      </c>
      <c r="MQ88" s="4">
        <v>0</v>
      </c>
      <c r="MR88" s="4">
        <v>2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4">
        <v>0</v>
      </c>
      <c r="MZ88" s="4">
        <v>0</v>
      </c>
      <c r="NA88" s="4">
        <v>0</v>
      </c>
      <c r="NB88" s="4">
        <v>0</v>
      </c>
      <c r="NC88" s="4">
        <v>0</v>
      </c>
      <c r="ND88" s="4">
        <v>0</v>
      </c>
      <c r="NE88" s="1">
        <v>1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  <c r="NL88" s="4">
        <v>0</v>
      </c>
      <c r="NM88" s="4">
        <v>0</v>
      </c>
      <c r="NN88" s="1">
        <v>1</v>
      </c>
      <c r="NO88" s="4">
        <v>1</v>
      </c>
      <c r="NP88" s="4">
        <v>0</v>
      </c>
      <c r="NQ88" s="4">
        <v>0</v>
      </c>
      <c r="NR88" s="4">
        <v>1</v>
      </c>
      <c r="NS88" s="4">
        <v>1</v>
      </c>
      <c r="NT88" s="4">
        <v>0</v>
      </c>
      <c r="NU88" s="4">
        <v>0</v>
      </c>
      <c r="NV88" s="4">
        <v>0</v>
      </c>
      <c r="NW88" s="4">
        <v>0</v>
      </c>
      <c r="NX88" s="4">
        <v>0</v>
      </c>
      <c r="NY88" s="4">
        <v>0</v>
      </c>
      <c r="NZ88" s="4">
        <v>0</v>
      </c>
      <c r="OA88" s="4">
        <v>0</v>
      </c>
      <c r="OB88" s="4">
        <v>0</v>
      </c>
      <c r="OC88" s="4">
        <v>0</v>
      </c>
      <c r="OD88" s="4">
        <v>0</v>
      </c>
      <c r="OE88" s="4">
        <v>0</v>
      </c>
      <c r="OF88" s="4">
        <v>0</v>
      </c>
      <c r="OG88" s="4">
        <v>0</v>
      </c>
      <c r="OH88" s="4">
        <v>0</v>
      </c>
      <c r="OI88" s="4">
        <v>0</v>
      </c>
      <c r="OJ88" s="4">
        <v>0</v>
      </c>
      <c r="OK88" s="4">
        <v>0</v>
      </c>
      <c r="OL88" s="4">
        <v>1</v>
      </c>
      <c r="OM88" s="4">
        <v>0</v>
      </c>
      <c r="ON88" s="4">
        <v>1</v>
      </c>
      <c r="OO88" s="4">
        <v>0</v>
      </c>
      <c r="OP88" s="4">
        <v>1</v>
      </c>
      <c r="OQ88" s="4">
        <v>1</v>
      </c>
      <c r="OS88" s="4">
        <f t="shared" si="2"/>
        <v>79</v>
      </c>
      <c r="OT88" s="4">
        <f t="shared" si="3"/>
        <v>85</v>
      </c>
    </row>
    <row r="89" spans="1:410" x14ac:dyDescent="0.3">
      <c r="A89" s="10" t="s">
        <v>702</v>
      </c>
      <c r="B89" s="4">
        <v>0</v>
      </c>
      <c r="C89" s="4">
        <v>0</v>
      </c>
      <c r="D89" s="4">
        <v>0</v>
      </c>
      <c r="E89" s="4">
        <v>0</v>
      </c>
      <c r="F89" s="1">
        <v>2</v>
      </c>
      <c r="G89" s="1">
        <v>2</v>
      </c>
      <c r="H89" s="4">
        <v>0</v>
      </c>
      <c r="I89" s="4">
        <v>0</v>
      </c>
      <c r="J89" s="4">
        <v>0</v>
      </c>
      <c r="K89" s="4">
        <v>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1">
        <v>1</v>
      </c>
      <c r="R89" s="4">
        <v>0</v>
      </c>
      <c r="S89" s="4">
        <v>1</v>
      </c>
      <c r="T89" s="4">
        <v>0</v>
      </c>
      <c r="U89" s="4">
        <v>0</v>
      </c>
      <c r="V89" s="1">
        <v>1</v>
      </c>
      <c r="W89" s="4">
        <v>0</v>
      </c>
      <c r="X89" s="4">
        <v>0</v>
      </c>
      <c r="Y89" s="4">
        <v>0</v>
      </c>
      <c r="Z89" s="4">
        <v>0</v>
      </c>
      <c r="AA89" s="1">
        <v>1</v>
      </c>
      <c r="AB89" s="4">
        <v>0</v>
      </c>
      <c r="AC89" s="4">
        <v>0</v>
      </c>
      <c r="AD89" s="1">
        <v>1</v>
      </c>
      <c r="AE89" s="4">
        <v>0</v>
      </c>
      <c r="AF89" s="4">
        <v>0</v>
      </c>
      <c r="AG89" s="4">
        <v>0</v>
      </c>
      <c r="AH89" s="4">
        <v>0</v>
      </c>
      <c r="AI89" s="4">
        <v>1</v>
      </c>
      <c r="AJ89" s="1">
        <v>4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1">
        <v>1</v>
      </c>
      <c r="AV89" s="4">
        <v>0</v>
      </c>
      <c r="AW89" s="4">
        <v>0</v>
      </c>
      <c r="AX89" s="4">
        <v>0</v>
      </c>
      <c r="AY89" s="4">
        <v>2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1</v>
      </c>
      <c r="BO89" s="4">
        <v>0</v>
      </c>
      <c r="BP89" s="4">
        <v>0</v>
      </c>
      <c r="BQ89" s="4">
        <v>0</v>
      </c>
      <c r="BR89" s="4">
        <v>0</v>
      </c>
      <c r="BS89" s="1">
        <v>1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1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1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1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1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1">
        <v>1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1">
        <v>1</v>
      </c>
      <c r="FT89" s="4">
        <v>0</v>
      </c>
      <c r="FU89" s="4">
        <v>0</v>
      </c>
      <c r="FV89" s="4">
        <v>1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1</v>
      </c>
      <c r="GO89" s="4">
        <v>0</v>
      </c>
      <c r="GP89" s="4">
        <v>0</v>
      </c>
      <c r="GQ89" s="4">
        <v>0</v>
      </c>
      <c r="GR89" s="1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1">
        <v>1</v>
      </c>
      <c r="GY89" s="4">
        <v>0</v>
      </c>
      <c r="GZ89" s="4">
        <v>1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1</v>
      </c>
      <c r="HV89" s="4">
        <v>1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1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1</v>
      </c>
      <c r="JJ89" s="4">
        <v>0</v>
      </c>
      <c r="JK89" s="4">
        <v>0</v>
      </c>
      <c r="JL89" s="4">
        <v>1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1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1">
        <v>1</v>
      </c>
      <c r="KJ89" s="4">
        <v>0</v>
      </c>
      <c r="KK89" s="4">
        <v>0</v>
      </c>
      <c r="KL89" s="4">
        <v>0</v>
      </c>
      <c r="KM89" s="4">
        <v>2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1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4">
        <v>1</v>
      </c>
      <c r="LJ89" s="1">
        <v>1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1">
        <v>1</v>
      </c>
      <c r="LS89" s="4">
        <v>0</v>
      </c>
      <c r="LT89" s="4">
        <v>0</v>
      </c>
      <c r="LU89" s="1">
        <v>1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1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1</v>
      </c>
      <c r="MM89" s="4">
        <v>0</v>
      </c>
      <c r="MN89" s="1">
        <v>1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1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  <c r="NB89" s="4">
        <v>0</v>
      </c>
      <c r="NC89" s="4">
        <v>0</v>
      </c>
      <c r="ND89" s="4">
        <v>0</v>
      </c>
      <c r="NE89" s="1">
        <v>1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  <c r="NL89" s="4">
        <v>0</v>
      </c>
      <c r="NM89" s="4">
        <v>0</v>
      </c>
      <c r="NN89" s="1">
        <v>1</v>
      </c>
      <c r="NO89" s="4">
        <v>0</v>
      </c>
      <c r="NP89" s="4">
        <v>0</v>
      </c>
      <c r="NQ89" s="4">
        <v>0</v>
      </c>
      <c r="NR89" s="4">
        <v>0</v>
      </c>
      <c r="NS89" s="4">
        <v>0</v>
      </c>
      <c r="NT89" s="4">
        <v>0</v>
      </c>
      <c r="NU89" s="4">
        <v>0</v>
      </c>
      <c r="NV89" s="4">
        <v>0</v>
      </c>
      <c r="NW89" s="4">
        <v>0</v>
      </c>
      <c r="NX89" s="4">
        <v>0</v>
      </c>
      <c r="NY89" s="4">
        <v>0</v>
      </c>
      <c r="NZ89" s="4">
        <v>0</v>
      </c>
      <c r="OA89" s="4">
        <v>0</v>
      </c>
      <c r="OB89" s="4">
        <v>0</v>
      </c>
      <c r="OC89" s="4">
        <v>0</v>
      </c>
      <c r="OD89" s="4">
        <v>0</v>
      </c>
      <c r="OE89" s="4">
        <v>0</v>
      </c>
      <c r="OF89" s="4">
        <v>0</v>
      </c>
      <c r="OG89" s="4">
        <v>0</v>
      </c>
      <c r="OH89" s="4">
        <v>0</v>
      </c>
      <c r="OI89" s="4">
        <v>0</v>
      </c>
      <c r="OJ89" s="4">
        <v>0</v>
      </c>
      <c r="OK89" s="4">
        <v>0</v>
      </c>
      <c r="OL89" s="4">
        <v>2</v>
      </c>
      <c r="OM89" s="4">
        <v>0</v>
      </c>
      <c r="ON89" s="4">
        <v>1</v>
      </c>
      <c r="OO89" s="4">
        <v>0</v>
      </c>
      <c r="OP89" s="4">
        <v>0</v>
      </c>
      <c r="OQ89" s="4">
        <v>0</v>
      </c>
      <c r="OS89" s="4">
        <f t="shared" si="2"/>
        <v>46</v>
      </c>
      <c r="OT89" s="4">
        <f t="shared" si="3"/>
        <v>54</v>
      </c>
    </row>
    <row r="90" spans="1:410" x14ac:dyDescent="0.3">
      <c r="A90" s="10" t="s">
        <v>701</v>
      </c>
      <c r="B90" s="4">
        <v>0</v>
      </c>
      <c r="C90" s="4">
        <v>0</v>
      </c>
      <c r="D90" s="4">
        <v>0</v>
      </c>
      <c r="E90" s="4">
        <v>0</v>
      </c>
      <c r="F90" s="1">
        <v>1</v>
      </c>
      <c r="G90" s="1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1">
        <v>1</v>
      </c>
      <c r="R90" s="4">
        <v>0</v>
      </c>
      <c r="S90" s="4">
        <v>0</v>
      </c>
      <c r="T90" s="4">
        <v>0</v>
      </c>
      <c r="U90" s="4">
        <v>0</v>
      </c>
      <c r="V90" s="1">
        <v>1</v>
      </c>
      <c r="W90" s="4">
        <v>0</v>
      </c>
      <c r="X90" s="4">
        <v>0</v>
      </c>
      <c r="Y90" s="4">
        <v>0</v>
      </c>
      <c r="Z90" s="4">
        <v>0</v>
      </c>
      <c r="AA90" s="1">
        <v>1</v>
      </c>
      <c r="AB90" s="4">
        <v>0</v>
      </c>
      <c r="AC90" s="4">
        <v>0</v>
      </c>
      <c r="AD90" s="1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1">
        <v>1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1">
        <v>1</v>
      </c>
      <c r="AV90" s="4">
        <v>0</v>
      </c>
      <c r="AW90" s="4">
        <v>0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1</v>
      </c>
      <c r="BO90" s="4">
        <v>0</v>
      </c>
      <c r="BP90" s="4">
        <v>0</v>
      </c>
      <c r="BQ90" s="4">
        <v>0</v>
      </c>
      <c r="BR90" s="4">
        <v>0</v>
      </c>
      <c r="BS90" s="1">
        <v>1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1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1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1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1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1">
        <v>1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1">
        <v>1</v>
      </c>
      <c r="FT90" s="4">
        <v>0</v>
      </c>
      <c r="FU90" s="4">
        <v>0</v>
      </c>
      <c r="FV90" s="4">
        <v>1</v>
      </c>
      <c r="FW90" s="4">
        <v>1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1</v>
      </c>
      <c r="GJ90" s="4">
        <v>0</v>
      </c>
      <c r="GK90" s="4">
        <v>0</v>
      </c>
      <c r="GL90" s="4">
        <v>0</v>
      </c>
      <c r="GM90" s="4">
        <v>0</v>
      </c>
      <c r="GN90" s="4">
        <v>1</v>
      </c>
      <c r="GO90" s="4">
        <v>0</v>
      </c>
      <c r="GP90" s="4">
        <v>0</v>
      </c>
      <c r="GQ90" s="4">
        <v>0</v>
      </c>
      <c r="GR90" s="1">
        <v>1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1">
        <v>1</v>
      </c>
      <c r="GY90" s="4">
        <v>0</v>
      </c>
      <c r="GZ90" s="4">
        <v>0</v>
      </c>
      <c r="HA90" s="4">
        <v>0</v>
      </c>
      <c r="HB90" s="4">
        <v>1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1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1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1</v>
      </c>
      <c r="IQ90" s="4">
        <v>0</v>
      </c>
      <c r="IR90" s="4">
        <v>0</v>
      </c>
      <c r="IS90" s="4">
        <v>1</v>
      </c>
      <c r="IT90" s="4">
        <v>0</v>
      </c>
      <c r="IU90" s="4">
        <v>0</v>
      </c>
      <c r="IV90" s="4">
        <v>0</v>
      </c>
      <c r="IW90" s="4">
        <v>0</v>
      </c>
      <c r="IX90" s="4">
        <v>1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1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1">
        <v>2</v>
      </c>
      <c r="KJ90" s="4">
        <v>0</v>
      </c>
      <c r="KK90" s="4">
        <v>1</v>
      </c>
      <c r="KL90" s="4">
        <v>0</v>
      </c>
      <c r="KM90" s="4">
        <v>1</v>
      </c>
      <c r="KN90" s="4">
        <v>0</v>
      </c>
      <c r="KO90" s="4">
        <v>0</v>
      </c>
      <c r="KP90" s="4">
        <v>0</v>
      </c>
      <c r="KQ90" s="4">
        <v>1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1</v>
      </c>
      <c r="LJ90" s="1">
        <v>1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1">
        <v>1</v>
      </c>
      <c r="LS90" s="4">
        <v>0</v>
      </c>
      <c r="LT90" s="4">
        <v>0</v>
      </c>
      <c r="LU90" s="1">
        <v>1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1">
        <v>1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1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4">
        <v>0</v>
      </c>
      <c r="ND90" s="4">
        <v>0</v>
      </c>
      <c r="NE90" s="1">
        <v>1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  <c r="NL90" s="4">
        <v>0</v>
      </c>
      <c r="NM90" s="4">
        <v>0</v>
      </c>
      <c r="NN90" s="1">
        <v>1</v>
      </c>
      <c r="NO90" s="4">
        <v>0</v>
      </c>
      <c r="NP90" s="4">
        <v>0</v>
      </c>
      <c r="NQ90" s="4">
        <v>0</v>
      </c>
      <c r="NR90" s="4">
        <v>0</v>
      </c>
      <c r="NS90" s="4">
        <v>0</v>
      </c>
      <c r="NT90" s="4">
        <v>0</v>
      </c>
      <c r="NU90" s="4">
        <v>0</v>
      </c>
      <c r="NV90" s="4">
        <v>0</v>
      </c>
      <c r="NW90" s="4">
        <v>0</v>
      </c>
      <c r="NX90" s="4">
        <v>0</v>
      </c>
      <c r="NY90" s="4">
        <v>0</v>
      </c>
      <c r="NZ90" s="4">
        <v>0</v>
      </c>
      <c r="OA90" s="4">
        <v>0</v>
      </c>
      <c r="OB90" s="4">
        <v>0</v>
      </c>
      <c r="OC90" s="4">
        <v>0</v>
      </c>
      <c r="OD90" s="4">
        <v>0</v>
      </c>
      <c r="OE90" s="4">
        <v>0</v>
      </c>
      <c r="OF90" s="4">
        <v>0</v>
      </c>
      <c r="OG90" s="4">
        <v>0</v>
      </c>
      <c r="OH90" s="4">
        <v>0</v>
      </c>
      <c r="OI90" s="4">
        <v>0</v>
      </c>
      <c r="OJ90" s="4">
        <v>0</v>
      </c>
      <c r="OK90" s="4">
        <v>0</v>
      </c>
      <c r="OL90" s="4">
        <v>1</v>
      </c>
      <c r="OM90" s="4">
        <v>0</v>
      </c>
      <c r="ON90" s="4">
        <v>0</v>
      </c>
      <c r="OO90" s="4">
        <v>0</v>
      </c>
      <c r="OP90" s="4">
        <v>0</v>
      </c>
      <c r="OQ90" s="4">
        <v>0</v>
      </c>
      <c r="OS90" s="4">
        <f t="shared" si="2"/>
        <v>44</v>
      </c>
      <c r="OT90" s="4">
        <f t="shared" si="3"/>
        <v>45</v>
      </c>
    </row>
    <row r="91" spans="1:410" x14ac:dyDescent="0.3">
      <c r="A91" s="10" t="s">
        <v>703</v>
      </c>
      <c r="B91" s="4">
        <v>0</v>
      </c>
      <c r="C91" s="4">
        <v>0</v>
      </c>
      <c r="D91" s="4">
        <v>0</v>
      </c>
      <c r="E91" s="4">
        <v>0</v>
      </c>
      <c r="F91" s="1">
        <v>1</v>
      </c>
      <c r="G91" s="1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1">
        <v>1</v>
      </c>
      <c r="R91" s="4">
        <v>1</v>
      </c>
      <c r="S91" s="4">
        <v>0</v>
      </c>
      <c r="T91" s="4">
        <v>0</v>
      </c>
      <c r="U91" s="4">
        <v>0</v>
      </c>
      <c r="V91" s="1">
        <v>1</v>
      </c>
      <c r="W91" s="4">
        <v>0</v>
      </c>
      <c r="X91" s="4">
        <v>0</v>
      </c>
      <c r="Y91" s="4">
        <v>0</v>
      </c>
      <c r="Z91" s="4">
        <v>0</v>
      </c>
      <c r="AA91" s="1">
        <v>1</v>
      </c>
      <c r="AB91" s="4">
        <v>0</v>
      </c>
      <c r="AC91" s="4">
        <v>0</v>
      </c>
      <c r="AD91" s="1">
        <v>1</v>
      </c>
      <c r="AE91" s="4">
        <v>0</v>
      </c>
      <c r="AF91" s="4">
        <v>0</v>
      </c>
      <c r="AG91" s="4">
        <v>0</v>
      </c>
      <c r="AH91" s="4">
        <v>0</v>
      </c>
      <c r="AI91" s="4">
        <v>1</v>
      </c>
      <c r="AJ91" s="1">
        <v>0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1">
        <v>1</v>
      </c>
      <c r="AV91" s="4">
        <v>0</v>
      </c>
      <c r="AW91" s="4">
        <v>0</v>
      </c>
      <c r="AX91" s="4">
        <v>0</v>
      </c>
      <c r="AY91" s="4">
        <v>1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1">
        <v>1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1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1</v>
      </c>
      <c r="DG91" s="4">
        <v>0</v>
      </c>
      <c r="DH91" s="4">
        <v>1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1</v>
      </c>
      <c r="FA91" s="4">
        <v>1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1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1">
        <v>1</v>
      </c>
      <c r="FT91" s="4">
        <v>0</v>
      </c>
      <c r="FU91" s="4">
        <v>0</v>
      </c>
      <c r="FV91" s="4">
        <v>1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1</v>
      </c>
      <c r="GO91" s="4">
        <v>0</v>
      </c>
      <c r="GP91" s="4">
        <v>1</v>
      </c>
      <c r="GQ91" s="4">
        <v>0</v>
      </c>
      <c r="GR91" s="1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1">
        <v>1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1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1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1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1">
        <v>1</v>
      </c>
      <c r="KJ91" s="4">
        <v>0</v>
      </c>
      <c r="KK91" s="4">
        <v>0</v>
      </c>
      <c r="KL91" s="4">
        <v>0</v>
      </c>
      <c r="KM91" s="4">
        <v>1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1</v>
      </c>
      <c r="LJ91" s="1">
        <v>2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1">
        <v>1</v>
      </c>
      <c r="LS91" s="4">
        <v>0</v>
      </c>
      <c r="LT91" s="4">
        <v>0</v>
      </c>
      <c r="LU91" s="1">
        <v>1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1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1">
        <v>1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1">
        <v>1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  <c r="NL91" s="4">
        <v>0</v>
      </c>
      <c r="NM91" s="4">
        <v>0</v>
      </c>
      <c r="NN91" s="1">
        <v>1</v>
      </c>
      <c r="NO91" s="4">
        <v>0</v>
      </c>
      <c r="NP91" s="4">
        <v>0</v>
      </c>
      <c r="NQ91" s="4">
        <v>1</v>
      </c>
      <c r="NR91" s="4">
        <v>0</v>
      </c>
      <c r="NS91" s="4">
        <v>0</v>
      </c>
      <c r="NT91" s="4">
        <v>0</v>
      </c>
      <c r="NU91" s="4">
        <v>0</v>
      </c>
      <c r="NV91" s="4">
        <v>0</v>
      </c>
      <c r="NW91" s="4">
        <v>0</v>
      </c>
      <c r="NX91" s="4">
        <v>0</v>
      </c>
      <c r="NY91" s="4">
        <v>0</v>
      </c>
      <c r="NZ91" s="4">
        <v>0</v>
      </c>
      <c r="OA91" s="4">
        <v>0</v>
      </c>
      <c r="OB91" s="4">
        <v>0</v>
      </c>
      <c r="OC91" s="4">
        <v>0</v>
      </c>
      <c r="OD91" s="4">
        <v>0</v>
      </c>
      <c r="OE91" s="4">
        <v>0</v>
      </c>
      <c r="OF91" s="4">
        <v>0</v>
      </c>
      <c r="OG91" s="4">
        <v>0</v>
      </c>
      <c r="OH91" s="4">
        <v>0</v>
      </c>
      <c r="OI91" s="4">
        <v>0</v>
      </c>
      <c r="OJ91" s="4">
        <v>0</v>
      </c>
      <c r="OK91" s="4">
        <v>0</v>
      </c>
      <c r="OL91" s="4">
        <v>0</v>
      </c>
      <c r="OM91" s="4">
        <v>0</v>
      </c>
      <c r="ON91" s="4">
        <v>0</v>
      </c>
      <c r="OO91" s="4">
        <v>0</v>
      </c>
      <c r="OP91" s="4">
        <v>0</v>
      </c>
      <c r="OQ91" s="4">
        <v>1</v>
      </c>
      <c r="OS91" s="4">
        <f t="shared" si="2"/>
        <v>37</v>
      </c>
      <c r="OT91" s="4">
        <f t="shared" si="3"/>
        <v>38</v>
      </c>
    </row>
    <row r="92" spans="1:410" x14ac:dyDescent="0.3">
      <c r="A92" s="10" t="s">
        <v>704</v>
      </c>
      <c r="B92" s="4">
        <v>1</v>
      </c>
      <c r="C92" s="4">
        <v>0</v>
      </c>
      <c r="D92" s="4">
        <v>0</v>
      </c>
      <c r="E92" s="4">
        <v>0</v>
      </c>
      <c r="F92" s="1">
        <v>1</v>
      </c>
      <c r="G92" s="1">
        <v>1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 s="4">
        <v>1</v>
      </c>
      <c r="N92" s="4">
        <v>0</v>
      </c>
      <c r="O92" s="4">
        <v>0</v>
      </c>
      <c r="P92" s="4">
        <v>0</v>
      </c>
      <c r="Q92" s="1">
        <v>1</v>
      </c>
      <c r="R92" s="4">
        <v>1</v>
      </c>
      <c r="S92" s="4">
        <v>0</v>
      </c>
      <c r="T92" s="4">
        <v>0</v>
      </c>
      <c r="U92" s="4">
        <v>0</v>
      </c>
      <c r="V92" s="1">
        <v>1</v>
      </c>
      <c r="W92" s="4">
        <v>0</v>
      </c>
      <c r="X92" s="4">
        <v>1</v>
      </c>
      <c r="Y92" s="4">
        <v>0</v>
      </c>
      <c r="Z92" s="4">
        <v>0</v>
      </c>
      <c r="AA92" s="1">
        <v>1</v>
      </c>
      <c r="AB92" s="4">
        <v>1</v>
      </c>
      <c r="AC92" s="4">
        <v>0</v>
      </c>
      <c r="AD92" s="1">
        <v>1</v>
      </c>
      <c r="AE92" s="4">
        <v>1</v>
      </c>
      <c r="AF92" s="4">
        <v>0</v>
      </c>
      <c r="AG92" s="4">
        <v>1</v>
      </c>
      <c r="AH92" s="4">
        <v>0</v>
      </c>
      <c r="AI92" s="4">
        <v>1</v>
      </c>
      <c r="AJ92" s="1">
        <v>1</v>
      </c>
      <c r="AK92" s="4">
        <v>1</v>
      </c>
      <c r="AL92" s="4">
        <v>0</v>
      </c>
      <c r="AM92" s="4">
        <v>1</v>
      </c>
      <c r="AN92" s="4">
        <v>1</v>
      </c>
      <c r="AO92" s="4">
        <v>1</v>
      </c>
      <c r="AP92" s="4">
        <v>0</v>
      </c>
      <c r="AQ92" s="4">
        <v>1</v>
      </c>
      <c r="AR92" s="4">
        <v>0</v>
      </c>
      <c r="AS92" s="4">
        <v>0</v>
      </c>
      <c r="AT92" s="4">
        <v>0</v>
      </c>
      <c r="AU92" s="1">
        <v>1</v>
      </c>
      <c r="AV92" s="4">
        <v>0</v>
      </c>
      <c r="AW92" s="4">
        <v>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1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1">
        <v>1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1</v>
      </c>
      <c r="CD92" s="4">
        <v>0</v>
      </c>
      <c r="CE92" s="4">
        <v>0</v>
      </c>
      <c r="CF92" s="4">
        <v>1</v>
      </c>
      <c r="CG92" s="4">
        <v>0</v>
      </c>
      <c r="CH92" s="4">
        <v>0</v>
      </c>
      <c r="CI92" s="4">
        <v>0</v>
      </c>
      <c r="CJ92" s="4">
        <v>1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1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1</v>
      </c>
      <c r="DI92" s="4">
        <v>0</v>
      </c>
      <c r="DJ92" s="4">
        <v>0</v>
      </c>
      <c r="DK92" s="4">
        <v>0</v>
      </c>
      <c r="DL92" s="4">
        <v>1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1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1</v>
      </c>
      <c r="EF92" s="4">
        <v>0</v>
      </c>
      <c r="EG92" s="4">
        <v>0</v>
      </c>
      <c r="EH92" s="4">
        <v>1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1</v>
      </c>
      <c r="FB92" s="4">
        <v>0</v>
      </c>
      <c r="FC92" s="4">
        <v>0</v>
      </c>
      <c r="FD92" s="4">
        <v>0</v>
      </c>
      <c r="FE92" s="4">
        <v>1</v>
      </c>
      <c r="FF92" s="4">
        <v>0</v>
      </c>
      <c r="FG92" s="4">
        <v>0</v>
      </c>
      <c r="FH92" s="1">
        <v>1</v>
      </c>
      <c r="FI92" s="4">
        <v>0</v>
      </c>
      <c r="FJ92" s="4">
        <v>1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1">
        <v>1</v>
      </c>
      <c r="FT92" s="4">
        <v>0</v>
      </c>
      <c r="FU92" s="4">
        <v>0</v>
      </c>
      <c r="FV92" s="4">
        <v>0</v>
      </c>
      <c r="FW92" s="4">
        <v>0</v>
      </c>
      <c r="FX92" s="4">
        <v>1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1</v>
      </c>
      <c r="GO92" s="4">
        <v>0</v>
      </c>
      <c r="GP92" s="4">
        <v>0</v>
      </c>
      <c r="GQ92" s="4">
        <v>0</v>
      </c>
      <c r="GR92" s="1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1">
        <v>1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1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1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1</v>
      </c>
      <c r="ID92" s="4">
        <v>1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1</v>
      </c>
      <c r="IN92" s="4">
        <v>0</v>
      </c>
      <c r="IO92" s="4">
        <v>0</v>
      </c>
      <c r="IP92" s="4">
        <v>1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1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1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1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1">
        <v>1</v>
      </c>
      <c r="KJ92" s="4">
        <v>0</v>
      </c>
      <c r="KK92" s="4">
        <v>0</v>
      </c>
      <c r="KL92" s="4">
        <v>0</v>
      </c>
      <c r="KM92" s="4">
        <v>1</v>
      </c>
      <c r="KN92" s="4">
        <v>1</v>
      </c>
      <c r="KO92" s="4">
        <v>0</v>
      </c>
      <c r="KP92" s="4">
        <v>0</v>
      </c>
      <c r="KQ92" s="4">
        <v>1</v>
      </c>
      <c r="KR92" s="4">
        <v>0</v>
      </c>
      <c r="KS92" s="4">
        <v>0</v>
      </c>
      <c r="KT92" s="4">
        <v>1</v>
      </c>
      <c r="KU92" s="4">
        <v>0</v>
      </c>
      <c r="KV92" s="4">
        <v>0</v>
      </c>
      <c r="KW92" s="4">
        <v>0</v>
      </c>
      <c r="KX92" s="4">
        <v>1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1</v>
      </c>
      <c r="LH92" s="4">
        <v>0</v>
      </c>
      <c r="LI92" s="4">
        <v>1</v>
      </c>
      <c r="LJ92" s="1">
        <v>1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1</v>
      </c>
      <c r="LR92" s="1">
        <v>1</v>
      </c>
      <c r="LS92" s="4">
        <v>0</v>
      </c>
      <c r="LT92" s="4">
        <v>0</v>
      </c>
      <c r="LU92" s="1">
        <v>1</v>
      </c>
      <c r="LV92" s="4">
        <v>0</v>
      </c>
      <c r="LW92" s="4">
        <v>0</v>
      </c>
      <c r="LX92" s="4">
        <v>1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1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1">
        <v>1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1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  <c r="NB92" s="4">
        <v>0</v>
      </c>
      <c r="NC92" s="4">
        <v>0</v>
      </c>
      <c r="ND92" s="4">
        <v>0</v>
      </c>
      <c r="NE92" s="1">
        <v>1</v>
      </c>
      <c r="NF92" s="4">
        <v>0</v>
      </c>
      <c r="NG92" s="4">
        <v>0</v>
      </c>
      <c r="NH92" s="4">
        <v>0</v>
      </c>
      <c r="NI92" s="4">
        <v>0</v>
      </c>
      <c r="NJ92" s="4">
        <v>1</v>
      </c>
      <c r="NK92" s="4">
        <v>0</v>
      </c>
      <c r="NL92" s="4">
        <v>0</v>
      </c>
      <c r="NM92" s="4">
        <v>0</v>
      </c>
      <c r="NN92" s="1">
        <v>1</v>
      </c>
      <c r="NO92" s="4">
        <v>1</v>
      </c>
      <c r="NP92" s="4">
        <v>1</v>
      </c>
      <c r="NQ92" s="4">
        <v>0</v>
      </c>
      <c r="NR92" s="4">
        <v>0</v>
      </c>
      <c r="NS92" s="4">
        <v>0</v>
      </c>
      <c r="NT92" s="4">
        <v>0</v>
      </c>
      <c r="NU92" s="4">
        <v>0</v>
      </c>
      <c r="NV92" s="4">
        <v>0</v>
      </c>
      <c r="NW92" s="4">
        <v>0</v>
      </c>
      <c r="NX92" s="4">
        <v>1</v>
      </c>
      <c r="NY92" s="4">
        <v>0</v>
      </c>
      <c r="NZ92" s="4">
        <v>1</v>
      </c>
      <c r="OA92" s="4">
        <v>0</v>
      </c>
      <c r="OB92" s="4">
        <v>0</v>
      </c>
      <c r="OC92" s="4">
        <v>0</v>
      </c>
      <c r="OD92" s="4">
        <v>0</v>
      </c>
      <c r="OE92" s="4">
        <v>0</v>
      </c>
      <c r="OF92" s="4">
        <v>0</v>
      </c>
      <c r="OG92" s="4">
        <v>1</v>
      </c>
      <c r="OH92" s="4">
        <v>0</v>
      </c>
      <c r="OI92" s="4">
        <v>0</v>
      </c>
      <c r="OJ92" s="4">
        <v>0</v>
      </c>
      <c r="OK92" s="4">
        <v>0</v>
      </c>
      <c r="OL92" s="4">
        <v>1</v>
      </c>
      <c r="OM92" s="4">
        <v>0</v>
      </c>
      <c r="ON92" s="4">
        <v>1</v>
      </c>
      <c r="OO92" s="4">
        <v>0</v>
      </c>
      <c r="OP92" s="4">
        <v>0</v>
      </c>
      <c r="OQ92" s="4">
        <v>0</v>
      </c>
      <c r="OS92" s="4">
        <f t="shared" si="2"/>
        <v>79</v>
      </c>
      <c r="OT92" s="4">
        <f t="shared" si="3"/>
        <v>79</v>
      </c>
    </row>
    <row r="93" spans="1:410" x14ac:dyDescent="0.3">
      <c r="A93" s="10" t="s">
        <v>705</v>
      </c>
      <c r="B93" s="4">
        <v>1</v>
      </c>
      <c r="C93" s="4">
        <v>0</v>
      </c>
      <c r="D93" s="4">
        <v>0</v>
      </c>
      <c r="E93" s="4">
        <v>0</v>
      </c>
      <c r="F93" s="1">
        <v>1</v>
      </c>
      <c r="G93" s="1">
        <v>1</v>
      </c>
      <c r="H93" s="4">
        <v>0</v>
      </c>
      <c r="I93" s="4">
        <v>0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1">
        <v>0</v>
      </c>
      <c r="R93" s="4">
        <v>1</v>
      </c>
      <c r="S93" s="4">
        <v>0</v>
      </c>
      <c r="T93" s="4">
        <v>0</v>
      </c>
      <c r="U93" s="4">
        <v>0</v>
      </c>
      <c r="V93" s="1">
        <v>1</v>
      </c>
      <c r="W93" s="4">
        <v>0</v>
      </c>
      <c r="X93" s="4">
        <v>0</v>
      </c>
      <c r="Y93" s="4">
        <v>0</v>
      </c>
      <c r="Z93" s="4">
        <v>0</v>
      </c>
      <c r="AA93" s="1">
        <v>1</v>
      </c>
      <c r="AB93" s="4">
        <v>0</v>
      </c>
      <c r="AC93" s="4">
        <v>0</v>
      </c>
      <c r="AD93" s="1">
        <v>1</v>
      </c>
      <c r="AE93" s="4">
        <v>0</v>
      </c>
      <c r="AF93" s="4">
        <v>0</v>
      </c>
      <c r="AG93" s="4">
        <v>0</v>
      </c>
      <c r="AH93" s="4">
        <v>0</v>
      </c>
      <c r="AI93" s="4">
        <v>1</v>
      </c>
      <c r="AJ93" s="1">
        <v>0</v>
      </c>
      <c r="AK93" s="4">
        <v>1</v>
      </c>
      <c r="AL93" s="4">
        <v>1</v>
      </c>
      <c r="AM93" s="4">
        <v>0</v>
      </c>
      <c r="AN93" s="4">
        <v>1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1">
        <v>1</v>
      </c>
      <c r="AV93" s="4">
        <v>0</v>
      </c>
      <c r="AW93" s="4">
        <v>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1">
        <v>1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1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1</v>
      </c>
      <c r="DP93" s="4">
        <v>0</v>
      </c>
      <c r="DQ93" s="4">
        <v>0</v>
      </c>
      <c r="DR93" s="4">
        <v>1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1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1</v>
      </c>
      <c r="FB93" s="4">
        <v>0</v>
      </c>
      <c r="FC93" s="4">
        <v>0</v>
      </c>
      <c r="FD93" s="4">
        <v>0</v>
      </c>
      <c r="FE93" s="4">
        <v>1</v>
      </c>
      <c r="FF93" s="4">
        <v>0</v>
      </c>
      <c r="FG93" s="4">
        <v>1</v>
      </c>
      <c r="FH93" s="1">
        <v>1</v>
      </c>
      <c r="FI93" s="4">
        <v>0</v>
      </c>
      <c r="FJ93" s="4">
        <v>0</v>
      </c>
      <c r="FK93" s="4">
        <v>0</v>
      </c>
      <c r="FL93" s="4">
        <v>1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1">
        <v>1</v>
      </c>
      <c r="FT93" s="4">
        <v>0</v>
      </c>
      <c r="FU93" s="4">
        <v>0</v>
      </c>
      <c r="FV93" s="4">
        <v>1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1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1</v>
      </c>
      <c r="GO93" s="4">
        <v>0</v>
      </c>
      <c r="GP93" s="4">
        <v>0</v>
      </c>
      <c r="GQ93" s="4">
        <v>0</v>
      </c>
      <c r="GR93" s="1">
        <v>1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1">
        <v>1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2</v>
      </c>
      <c r="HS93" s="4">
        <v>0</v>
      </c>
      <c r="HT93" s="4">
        <v>1</v>
      </c>
      <c r="HU93" s="4">
        <v>1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1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1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1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1">
        <v>1</v>
      </c>
      <c r="KJ93" s="4">
        <v>0</v>
      </c>
      <c r="KK93" s="4">
        <v>0</v>
      </c>
      <c r="KL93" s="4">
        <v>0</v>
      </c>
      <c r="KM93" s="4">
        <v>1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4">
        <v>1</v>
      </c>
      <c r="LJ93" s="1">
        <v>1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1">
        <v>1</v>
      </c>
      <c r="LS93" s="4">
        <v>0</v>
      </c>
      <c r="LT93" s="4">
        <v>0</v>
      </c>
      <c r="LU93" s="1">
        <v>1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1</v>
      </c>
      <c r="MK93" s="4">
        <v>1</v>
      </c>
      <c r="ML93" s="4">
        <v>0</v>
      </c>
      <c r="MM93" s="4">
        <v>0</v>
      </c>
      <c r="MN93" s="1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1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  <c r="NB93" s="4">
        <v>0</v>
      </c>
      <c r="NC93" s="4">
        <v>0</v>
      </c>
      <c r="ND93" s="4">
        <v>0</v>
      </c>
      <c r="NE93" s="1">
        <v>1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  <c r="NL93" s="4">
        <v>0</v>
      </c>
      <c r="NM93" s="4">
        <v>0</v>
      </c>
      <c r="NN93" s="1">
        <v>1</v>
      </c>
      <c r="NO93" s="4">
        <v>0</v>
      </c>
      <c r="NP93" s="4">
        <v>0</v>
      </c>
      <c r="NQ93" s="4">
        <v>0</v>
      </c>
      <c r="NR93" s="4">
        <v>0</v>
      </c>
      <c r="NS93" s="4">
        <v>0</v>
      </c>
      <c r="NT93" s="4">
        <v>0</v>
      </c>
      <c r="NU93" s="4">
        <v>0</v>
      </c>
      <c r="NV93" s="4">
        <v>0</v>
      </c>
      <c r="NW93" s="4">
        <v>0</v>
      </c>
      <c r="NX93" s="4">
        <v>0</v>
      </c>
      <c r="NY93" s="4">
        <v>0</v>
      </c>
      <c r="NZ93" s="4">
        <v>0</v>
      </c>
      <c r="OA93" s="4">
        <v>0</v>
      </c>
      <c r="OB93" s="4">
        <v>0</v>
      </c>
      <c r="OC93" s="4">
        <v>0</v>
      </c>
      <c r="OD93" s="4">
        <v>0</v>
      </c>
      <c r="OE93" s="4">
        <v>0</v>
      </c>
      <c r="OF93" s="4">
        <v>0</v>
      </c>
      <c r="OG93" s="4">
        <v>0</v>
      </c>
      <c r="OH93" s="4">
        <v>0</v>
      </c>
      <c r="OI93" s="4">
        <v>0</v>
      </c>
      <c r="OJ93" s="4">
        <v>0</v>
      </c>
      <c r="OK93" s="4">
        <v>0</v>
      </c>
      <c r="OL93" s="4">
        <v>1</v>
      </c>
      <c r="OM93" s="4">
        <v>0</v>
      </c>
      <c r="ON93" s="4">
        <v>0</v>
      </c>
      <c r="OO93" s="4">
        <v>0</v>
      </c>
      <c r="OP93" s="4">
        <v>0</v>
      </c>
      <c r="OQ93" s="4">
        <v>1</v>
      </c>
      <c r="OS93" s="4">
        <f t="shared" si="2"/>
        <v>49</v>
      </c>
      <c r="OT93" s="4">
        <f t="shared" si="3"/>
        <v>50</v>
      </c>
    </row>
    <row r="94" spans="1:410" x14ac:dyDescent="0.3">
      <c r="A94" s="10" t="s">
        <v>706</v>
      </c>
      <c r="B94" s="4">
        <v>0</v>
      </c>
      <c r="C94" s="4">
        <v>0</v>
      </c>
      <c r="D94" s="4">
        <v>0</v>
      </c>
      <c r="E94" s="4">
        <v>0</v>
      </c>
      <c r="F94" s="1">
        <v>1</v>
      </c>
      <c r="G94" s="1">
        <v>1</v>
      </c>
      <c r="H94" s="4">
        <v>1</v>
      </c>
      <c r="I94" s="4">
        <v>1</v>
      </c>
      <c r="J94" s="4">
        <v>0</v>
      </c>
      <c r="K94" s="4">
        <v>0</v>
      </c>
      <c r="L94" s="4">
        <v>1</v>
      </c>
      <c r="M94" s="4">
        <v>0</v>
      </c>
      <c r="N94" s="4">
        <v>1</v>
      </c>
      <c r="O94" s="4">
        <v>0</v>
      </c>
      <c r="P94" s="4">
        <v>1</v>
      </c>
      <c r="Q94" s="1">
        <v>1</v>
      </c>
      <c r="R94" s="4">
        <v>1</v>
      </c>
      <c r="S94" s="4">
        <v>0</v>
      </c>
      <c r="T94" s="4">
        <v>0</v>
      </c>
      <c r="U94" s="4">
        <v>0</v>
      </c>
      <c r="V94" s="1">
        <v>1</v>
      </c>
      <c r="W94" s="4">
        <v>1</v>
      </c>
      <c r="X94" s="4">
        <v>0</v>
      </c>
      <c r="Y94" s="4">
        <v>0</v>
      </c>
      <c r="Z94" s="4">
        <v>1</v>
      </c>
      <c r="AA94" s="1">
        <v>1</v>
      </c>
      <c r="AB94" s="4">
        <v>1</v>
      </c>
      <c r="AC94" s="4">
        <v>0</v>
      </c>
      <c r="AD94" s="1">
        <v>1</v>
      </c>
      <c r="AE94" s="4">
        <v>1</v>
      </c>
      <c r="AF94" s="4">
        <v>1</v>
      </c>
      <c r="AG94" s="4">
        <v>1</v>
      </c>
      <c r="AH94" s="4">
        <v>0</v>
      </c>
      <c r="AI94" s="4">
        <v>1</v>
      </c>
      <c r="AJ94" s="1">
        <v>2</v>
      </c>
      <c r="AK94" s="4">
        <v>1</v>
      </c>
      <c r="AL94" s="4">
        <v>0</v>
      </c>
      <c r="AM94" s="4">
        <v>1</v>
      </c>
      <c r="AN94" s="4">
        <v>1</v>
      </c>
      <c r="AO94" s="4">
        <v>1</v>
      </c>
      <c r="AP94" s="4">
        <v>0</v>
      </c>
      <c r="AQ94" s="4">
        <v>1</v>
      </c>
      <c r="AR94" s="4">
        <v>0</v>
      </c>
      <c r="AS94" s="4">
        <v>0</v>
      </c>
      <c r="AT94" s="4">
        <v>0</v>
      </c>
      <c r="AU94" s="1">
        <v>1</v>
      </c>
      <c r="AV94" s="4">
        <v>1</v>
      </c>
      <c r="AW94" s="4">
        <v>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1">
        <v>1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1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1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1</v>
      </c>
      <c r="EE94" s="4">
        <v>0</v>
      </c>
      <c r="EF94" s="4">
        <v>0</v>
      </c>
      <c r="EG94" s="4">
        <v>0</v>
      </c>
      <c r="EH94" s="4">
        <v>1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1</v>
      </c>
      <c r="ER94" s="4">
        <v>0</v>
      </c>
      <c r="ES94" s="4">
        <v>0</v>
      </c>
      <c r="ET94" s="4">
        <v>0</v>
      </c>
      <c r="EU94" s="4">
        <v>0</v>
      </c>
      <c r="EV94" s="4">
        <v>1</v>
      </c>
      <c r="EW94" s="4">
        <v>0</v>
      </c>
      <c r="EX94" s="4">
        <v>0</v>
      </c>
      <c r="EY94" s="4">
        <v>0</v>
      </c>
      <c r="EZ94" s="4">
        <v>1</v>
      </c>
      <c r="FA94" s="4">
        <v>1</v>
      </c>
      <c r="FB94" s="4">
        <v>0</v>
      </c>
      <c r="FC94" s="4">
        <v>0</v>
      </c>
      <c r="FD94" s="4">
        <v>0</v>
      </c>
      <c r="FE94" s="4">
        <v>1</v>
      </c>
      <c r="FF94" s="4">
        <v>1</v>
      </c>
      <c r="FG94" s="4">
        <v>1</v>
      </c>
      <c r="FH94" s="1">
        <v>1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1">
        <v>1</v>
      </c>
      <c r="FT94" s="4">
        <v>0</v>
      </c>
      <c r="FU94" s="4">
        <v>0</v>
      </c>
      <c r="FV94" s="4">
        <v>1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1</v>
      </c>
      <c r="GO94" s="4">
        <v>0</v>
      </c>
      <c r="GP94" s="4">
        <v>0</v>
      </c>
      <c r="GQ94" s="4">
        <v>0</v>
      </c>
      <c r="GR94" s="1">
        <v>1</v>
      </c>
      <c r="GS94" s="4">
        <v>0</v>
      </c>
      <c r="GT94" s="4">
        <v>0</v>
      </c>
      <c r="GU94" s="4">
        <v>0</v>
      </c>
      <c r="GV94" s="4">
        <v>1</v>
      </c>
      <c r="GW94" s="4">
        <v>0</v>
      </c>
      <c r="GX94" s="1">
        <v>1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1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1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1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1</v>
      </c>
      <c r="IN94" s="4">
        <v>0</v>
      </c>
      <c r="IO94" s="4">
        <v>0</v>
      </c>
      <c r="IP94" s="4">
        <v>0</v>
      </c>
      <c r="IQ94" s="4">
        <v>0</v>
      </c>
      <c r="IR94" s="4">
        <v>1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1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1</v>
      </c>
      <c r="JJ94" s="4">
        <v>0</v>
      </c>
      <c r="JK94" s="4">
        <v>0</v>
      </c>
      <c r="JL94" s="4">
        <v>0</v>
      </c>
      <c r="JM94" s="4">
        <v>1</v>
      </c>
      <c r="JN94" s="4">
        <v>1</v>
      </c>
      <c r="JO94" s="4">
        <v>0</v>
      </c>
      <c r="JP94" s="4">
        <v>0</v>
      </c>
      <c r="JQ94" s="4">
        <v>0</v>
      </c>
      <c r="JR94" s="4">
        <v>0</v>
      </c>
      <c r="JS94" s="4">
        <v>1</v>
      </c>
      <c r="JT94" s="4">
        <v>0</v>
      </c>
      <c r="JU94" s="4">
        <v>0</v>
      </c>
      <c r="JV94" s="4">
        <v>0</v>
      </c>
      <c r="JW94" s="4">
        <v>1</v>
      </c>
      <c r="JX94" s="4">
        <v>0</v>
      </c>
      <c r="JY94" s="4">
        <v>0</v>
      </c>
      <c r="JZ94" s="4">
        <v>0</v>
      </c>
      <c r="KA94" s="4">
        <v>1</v>
      </c>
      <c r="KB94" s="4">
        <v>1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1">
        <v>1</v>
      </c>
      <c r="KJ94" s="4">
        <v>0</v>
      </c>
      <c r="KK94" s="4">
        <v>0</v>
      </c>
      <c r="KL94" s="4">
        <v>0</v>
      </c>
      <c r="KM94" s="4">
        <v>1</v>
      </c>
      <c r="KN94" s="4">
        <v>1</v>
      </c>
      <c r="KO94" s="4">
        <v>0</v>
      </c>
      <c r="KP94" s="4">
        <v>0</v>
      </c>
      <c r="KQ94" s="4">
        <v>1</v>
      </c>
      <c r="KR94" s="4">
        <v>0</v>
      </c>
      <c r="KS94" s="4">
        <v>0</v>
      </c>
      <c r="KT94" s="4">
        <v>0</v>
      </c>
      <c r="KU94" s="4">
        <v>0</v>
      </c>
      <c r="KV94" s="4">
        <v>1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1</v>
      </c>
      <c r="LJ94" s="1">
        <v>1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1">
        <v>1</v>
      </c>
      <c r="LS94" s="4">
        <v>0</v>
      </c>
      <c r="LT94" s="4">
        <v>0</v>
      </c>
      <c r="LU94" s="1">
        <v>1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1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1">
        <v>1</v>
      </c>
      <c r="MO94" s="4">
        <v>0</v>
      </c>
      <c r="MP94" s="4">
        <v>0</v>
      </c>
      <c r="MQ94" s="4">
        <v>0</v>
      </c>
      <c r="MR94" s="4">
        <v>1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2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  <c r="ND94" s="4">
        <v>0</v>
      </c>
      <c r="NE94" s="1">
        <v>1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  <c r="NL94" s="4">
        <v>0</v>
      </c>
      <c r="NM94" s="4">
        <v>0</v>
      </c>
      <c r="NN94" s="1">
        <v>1</v>
      </c>
      <c r="NO94" s="4">
        <v>1</v>
      </c>
      <c r="NP94" s="4">
        <v>0</v>
      </c>
      <c r="NQ94" s="4">
        <v>0</v>
      </c>
      <c r="NR94" s="4">
        <v>1</v>
      </c>
      <c r="NS94" s="4">
        <v>0</v>
      </c>
      <c r="NT94" s="4">
        <v>0</v>
      </c>
      <c r="NU94" s="4">
        <v>0</v>
      </c>
      <c r="NV94" s="4">
        <v>0</v>
      </c>
      <c r="NW94" s="4">
        <v>0</v>
      </c>
      <c r="NX94" s="4">
        <v>0</v>
      </c>
      <c r="NY94" s="4">
        <v>0</v>
      </c>
      <c r="NZ94" s="4">
        <v>0</v>
      </c>
      <c r="OA94" s="4">
        <v>0</v>
      </c>
      <c r="OB94" s="4">
        <v>0</v>
      </c>
      <c r="OC94" s="4">
        <v>0</v>
      </c>
      <c r="OD94" s="4">
        <v>0</v>
      </c>
      <c r="OE94" s="4">
        <v>0</v>
      </c>
      <c r="OF94" s="4">
        <v>0</v>
      </c>
      <c r="OG94" s="4">
        <v>0</v>
      </c>
      <c r="OH94" s="4">
        <v>0</v>
      </c>
      <c r="OI94" s="4">
        <v>0</v>
      </c>
      <c r="OJ94" s="4">
        <v>0</v>
      </c>
      <c r="OK94" s="4">
        <v>0</v>
      </c>
      <c r="OL94" s="4">
        <v>1</v>
      </c>
      <c r="OM94" s="4">
        <v>0</v>
      </c>
      <c r="ON94" s="4">
        <v>0</v>
      </c>
      <c r="OO94" s="4">
        <v>0</v>
      </c>
      <c r="OP94" s="4">
        <v>1</v>
      </c>
      <c r="OQ94" s="4">
        <v>1</v>
      </c>
      <c r="OS94" s="4">
        <f t="shared" si="2"/>
        <v>81</v>
      </c>
      <c r="OT94" s="4">
        <f t="shared" si="3"/>
        <v>84</v>
      </c>
    </row>
    <row r="95" spans="1:410" x14ac:dyDescent="0.3">
      <c r="A95" s="10" t="s">
        <v>707</v>
      </c>
      <c r="B95" s="4">
        <v>0</v>
      </c>
      <c r="C95" s="4">
        <v>0</v>
      </c>
      <c r="D95" s="4">
        <v>0</v>
      </c>
      <c r="E95" s="4">
        <v>0</v>
      </c>
      <c r="F95" s="1">
        <v>1</v>
      </c>
      <c r="G95" s="1">
        <v>1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1">
        <v>1</v>
      </c>
      <c r="R95" s="4">
        <v>1</v>
      </c>
      <c r="S95" s="4">
        <v>0</v>
      </c>
      <c r="T95" s="4">
        <v>0</v>
      </c>
      <c r="U95" s="4">
        <v>0</v>
      </c>
      <c r="V95" s="1">
        <v>1</v>
      </c>
      <c r="W95" s="4">
        <v>0</v>
      </c>
      <c r="X95" s="4">
        <v>1</v>
      </c>
      <c r="Y95" s="4">
        <v>0</v>
      </c>
      <c r="Z95" s="4">
        <v>0</v>
      </c>
      <c r="AA95" s="1">
        <v>1</v>
      </c>
      <c r="AB95" s="4">
        <v>0</v>
      </c>
      <c r="AC95" s="4">
        <v>1</v>
      </c>
      <c r="AD95" s="1">
        <v>1</v>
      </c>
      <c r="AE95" s="4">
        <v>0</v>
      </c>
      <c r="AF95" s="4">
        <v>1</v>
      </c>
      <c r="AG95" s="4">
        <v>0</v>
      </c>
      <c r="AH95" s="4">
        <v>0</v>
      </c>
      <c r="AI95" s="4">
        <v>1</v>
      </c>
      <c r="AJ95" s="1">
        <v>1</v>
      </c>
      <c r="AK95" s="4">
        <v>1</v>
      </c>
      <c r="AL95" s="4">
        <v>0</v>
      </c>
      <c r="AM95" s="4">
        <v>0</v>
      </c>
      <c r="AN95" s="4">
        <v>1</v>
      </c>
      <c r="AO95" s="4">
        <v>1</v>
      </c>
      <c r="AP95" s="4">
        <v>0</v>
      </c>
      <c r="AQ95" s="4">
        <v>1</v>
      </c>
      <c r="AR95" s="4">
        <v>0</v>
      </c>
      <c r="AS95" s="4">
        <v>0</v>
      </c>
      <c r="AT95" s="4">
        <v>0</v>
      </c>
      <c r="AU95" s="1">
        <v>1</v>
      </c>
      <c r="AV95" s="4">
        <v>0</v>
      </c>
      <c r="AW95" s="4">
        <v>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1</v>
      </c>
      <c r="BO95" s="4">
        <v>0</v>
      </c>
      <c r="BP95" s="4">
        <v>0</v>
      </c>
      <c r="BQ95" s="4">
        <v>0</v>
      </c>
      <c r="BR95" s="4">
        <v>0</v>
      </c>
      <c r="BS95" s="1">
        <v>1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1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1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1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1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1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1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1">
        <v>1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1">
        <v>1</v>
      </c>
      <c r="FT95" s="4">
        <v>0</v>
      </c>
      <c r="FU95" s="4">
        <v>1</v>
      </c>
      <c r="FV95" s="4">
        <v>1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1</v>
      </c>
      <c r="GO95" s="4">
        <v>0</v>
      </c>
      <c r="GP95" s="4">
        <v>0</v>
      </c>
      <c r="GQ95" s="4">
        <v>0</v>
      </c>
      <c r="GR95" s="1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1">
        <v>1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1</v>
      </c>
      <c r="HV95" s="4">
        <v>1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1</v>
      </c>
      <c r="IN95" s="4">
        <v>0</v>
      </c>
      <c r="IO95" s="4">
        <v>0</v>
      </c>
      <c r="IP95" s="4">
        <v>2</v>
      </c>
      <c r="IQ95" s="4">
        <v>1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1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1</v>
      </c>
      <c r="JJ95" s="4">
        <v>1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1</v>
      </c>
      <c r="JV95" s="4">
        <v>0</v>
      </c>
      <c r="JW95" s="4">
        <v>1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1">
        <v>1</v>
      </c>
      <c r="KJ95" s="4">
        <v>0</v>
      </c>
      <c r="KK95" s="4">
        <v>0</v>
      </c>
      <c r="KL95" s="4">
        <v>0</v>
      </c>
      <c r="KM95" s="4">
        <v>1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1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1</v>
      </c>
      <c r="LJ95" s="1">
        <v>1</v>
      </c>
      <c r="LK95" s="4">
        <v>1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1">
        <v>1</v>
      </c>
      <c r="LS95" s="4">
        <v>0</v>
      </c>
      <c r="LT95" s="4">
        <v>0</v>
      </c>
      <c r="LU95" s="1">
        <v>1</v>
      </c>
      <c r="LV95" s="4">
        <v>0</v>
      </c>
      <c r="LW95" s="4">
        <v>0</v>
      </c>
      <c r="LX95" s="4">
        <v>1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1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1</v>
      </c>
      <c r="MM95" s="4">
        <v>1</v>
      </c>
      <c r="MN95" s="1">
        <v>1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1</v>
      </c>
      <c r="MV95" s="4">
        <v>0</v>
      </c>
      <c r="MW95" s="4">
        <v>0</v>
      </c>
      <c r="MX95" s="4">
        <v>0</v>
      </c>
      <c r="MY95" s="4">
        <v>1</v>
      </c>
      <c r="MZ95" s="4">
        <v>0</v>
      </c>
      <c r="NA95" s="4">
        <v>0</v>
      </c>
      <c r="NB95" s="4">
        <v>0</v>
      </c>
      <c r="NC95" s="4">
        <v>0</v>
      </c>
      <c r="ND95" s="4">
        <v>0</v>
      </c>
      <c r="NE95" s="1">
        <v>1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  <c r="NL95" s="4">
        <v>0</v>
      </c>
      <c r="NM95" s="4">
        <v>0</v>
      </c>
      <c r="NN95" s="1">
        <v>1</v>
      </c>
      <c r="NO95" s="4">
        <v>1</v>
      </c>
      <c r="NP95" s="4">
        <v>0</v>
      </c>
      <c r="NQ95" s="4">
        <v>0</v>
      </c>
      <c r="NR95" s="4">
        <v>1</v>
      </c>
      <c r="NS95" s="4">
        <v>0</v>
      </c>
      <c r="NT95" s="4">
        <v>0</v>
      </c>
      <c r="NU95" s="4">
        <v>0</v>
      </c>
      <c r="NV95" s="4">
        <v>0</v>
      </c>
      <c r="NW95" s="4">
        <v>0</v>
      </c>
      <c r="NX95" s="4">
        <v>0</v>
      </c>
      <c r="NY95" s="4">
        <v>0</v>
      </c>
      <c r="NZ95" s="4">
        <v>0</v>
      </c>
      <c r="OA95" s="4">
        <v>0</v>
      </c>
      <c r="OB95" s="4">
        <v>0</v>
      </c>
      <c r="OC95" s="4">
        <v>1</v>
      </c>
      <c r="OD95" s="4">
        <v>0</v>
      </c>
      <c r="OE95" s="4">
        <v>0</v>
      </c>
      <c r="OF95" s="4">
        <v>0</v>
      </c>
      <c r="OG95" s="4">
        <v>0</v>
      </c>
      <c r="OH95" s="4">
        <v>0</v>
      </c>
      <c r="OI95" s="4">
        <v>0</v>
      </c>
      <c r="OJ95" s="4">
        <v>0</v>
      </c>
      <c r="OK95" s="4">
        <v>1</v>
      </c>
      <c r="OL95" s="4">
        <v>1</v>
      </c>
      <c r="OM95" s="4">
        <v>0</v>
      </c>
      <c r="ON95" s="4">
        <v>1</v>
      </c>
      <c r="OO95" s="4">
        <v>0</v>
      </c>
      <c r="OP95" s="4">
        <v>0</v>
      </c>
      <c r="OQ95" s="4">
        <v>1</v>
      </c>
      <c r="OS95" s="4">
        <f t="shared" si="2"/>
        <v>69</v>
      </c>
      <c r="OT95" s="4">
        <f t="shared" si="3"/>
        <v>70</v>
      </c>
    </row>
    <row r="96" spans="1:410" x14ac:dyDescent="0.3">
      <c r="A96" s="10" t="s">
        <v>708</v>
      </c>
      <c r="B96" s="4">
        <v>0</v>
      </c>
      <c r="C96" s="4">
        <v>0</v>
      </c>
      <c r="D96" s="4">
        <v>0</v>
      </c>
      <c r="E96" s="4">
        <v>0</v>
      </c>
      <c r="F96" s="1">
        <v>1</v>
      </c>
      <c r="G96" s="1">
        <v>1</v>
      </c>
      <c r="H96" s="4">
        <v>0</v>
      </c>
      <c r="I96" s="4">
        <v>0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1">
        <v>1</v>
      </c>
      <c r="R96" s="4">
        <v>1</v>
      </c>
      <c r="S96" s="4">
        <v>0</v>
      </c>
      <c r="T96" s="4">
        <v>0</v>
      </c>
      <c r="U96" s="4">
        <v>0</v>
      </c>
      <c r="V96" s="1">
        <v>1</v>
      </c>
      <c r="W96" s="4">
        <v>0</v>
      </c>
      <c r="X96" s="4">
        <v>0</v>
      </c>
      <c r="Y96" s="4">
        <v>0</v>
      </c>
      <c r="Z96" s="4">
        <v>0</v>
      </c>
      <c r="AA96" s="1">
        <v>1</v>
      </c>
      <c r="AB96" s="4">
        <v>0</v>
      </c>
      <c r="AC96" s="4">
        <v>0</v>
      </c>
      <c r="AD96" s="1">
        <v>1</v>
      </c>
      <c r="AE96" s="4">
        <v>1</v>
      </c>
      <c r="AF96" s="4">
        <v>1</v>
      </c>
      <c r="AG96" s="4">
        <v>1</v>
      </c>
      <c r="AH96" s="4">
        <v>0</v>
      </c>
      <c r="AI96" s="4">
        <v>0</v>
      </c>
      <c r="AJ96" s="1">
        <v>2</v>
      </c>
      <c r="AK96" s="4">
        <v>1</v>
      </c>
      <c r="AL96" s="4">
        <v>0</v>
      </c>
      <c r="AM96" s="4">
        <v>0</v>
      </c>
      <c r="AN96" s="4">
        <v>1</v>
      </c>
      <c r="AO96" s="4">
        <v>1</v>
      </c>
      <c r="AP96" s="4">
        <v>0</v>
      </c>
      <c r="AQ96" s="4">
        <v>1</v>
      </c>
      <c r="AR96" s="4">
        <v>0</v>
      </c>
      <c r="AS96" s="4">
        <v>0</v>
      </c>
      <c r="AT96" s="4">
        <v>0</v>
      </c>
      <c r="AU96" s="1">
        <v>1</v>
      </c>
      <c r="AV96" s="4">
        <v>1</v>
      </c>
      <c r="AW96" s="4">
        <v>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1">
        <v>1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1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2</v>
      </c>
      <c r="FF96" s="4">
        <v>0</v>
      </c>
      <c r="FG96" s="4">
        <v>1</v>
      </c>
      <c r="FH96" s="1">
        <v>1</v>
      </c>
      <c r="FI96" s="4">
        <v>1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1">
        <v>1</v>
      </c>
      <c r="FT96" s="4">
        <v>0</v>
      </c>
      <c r="FU96" s="4">
        <v>0</v>
      </c>
      <c r="FV96" s="4">
        <v>1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1</v>
      </c>
      <c r="GJ96" s="4">
        <v>0</v>
      </c>
      <c r="GK96" s="4">
        <v>0</v>
      </c>
      <c r="GL96" s="4">
        <v>0</v>
      </c>
      <c r="GM96" s="4">
        <v>0</v>
      </c>
      <c r="GN96" s="4">
        <v>1</v>
      </c>
      <c r="GO96" s="4">
        <v>0</v>
      </c>
      <c r="GP96" s="4">
        <v>0</v>
      </c>
      <c r="GQ96" s="4">
        <v>0</v>
      </c>
      <c r="GR96" s="1">
        <v>1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1">
        <v>1</v>
      </c>
      <c r="GY96" s="4">
        <v>0</v>
      </c>
      <c r="GZ96" s="4">
        <v>0</v>
      </c>
      <c r="HA96" s="4">
        <v>0</v>
      </c>
      <c r="HB96" s="4">
        <v>0</v>
      </c>
      <c r="HC96" s="4">
        <v>1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1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1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1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1">
        <v>1</v>
      </c>
      <c r="KJ96" s="4">
        <v>0</v>
      </c>
      <c r="KK96" s="4">
        <v>0</v>
      </c>
      <c r="KL96" s="4">
        <v>0</v>
      </c>
      <c r="KM96" s="4">
        <v>1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1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4">
        <v>1</v>
      </c>
      <c r="LJ96" s="1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1">
        <v>1</v>
      </c>
      <c r="LS96" s="4">
        <v>0</v>
      </c>
      <c r="LT96" s="4">
        <v>0</v>
      </c>
      <c r="LU96" s="1">
        <v>1</v>
      </c>
      <c r="LV96" s="4">
        <v>0</v>
      </c>
      <c r="LW96" s="4">
        <v>0</v>
      </c>
      <c r="LX96" s="4">
        <v>0</v>
      </c>
      <c r="LY96" s="4">
        <v>1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1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1">
        <v>1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1</v>
      </c>
      <c r="MV96" s="4">
        <v>0</v>
      </c>
      <c r="MW96" s="4">
        <v>0</v>
      </c>
      <c r="MX96" s="4">
        <v>1</v>
      </c>
      <c r="MY96" s="4">
        <v>0</v>
      </c>
      <c r="MZ96" s="4">
        <v>0</v>
      </c>
      <c r="NA96" s="4">
        <v>0</v>
      </c>
      <c r="NB96" s="4">
        <v>0</v>
      </c>
      <c r="NC96" s="4">
        <v>0</v>
      </c>
      <c r="ND96" s="4">
        <v>0</v>
      </c>
      <c r="NE96" s="1">
        <v>1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  <c r="NL96" s="4">
        <v>0</v>
      </c>
      <c r="NM96" s="4">
        <v>0</v>
      </c>
      <c r="NN96" s="1">
        <v>1</v>
      </c>
      <c r="NO96" s="4">
        <v>0</v>
      </c>
      <c r="NP96" s="4">
        <v>0</v>
      </c>
      <c r="NQ96" s="4">
        <v>0</v>
      </c>
      <c r="NR96" s="4">
        <v>1</v>
      </c>
      <c r="NS96" s="4">
        <v>0</v>
      </c>
      <c r="NT96" s="4">
        <v>0</v>
      </c>
      <c r="NU96" s="4">
        <v>0</v>
      </c>
      <c r="NV96" s="4">
        <v>0</v>
      </c>
      <c r="NW96" s="4">
        <v>0</v>
      </c>
      <c r="NX96" s="4">
        <v>0</v>
      </c>
      <c r="NY96" s="4">
        <v>0</v>
      </c>
      <c r="NZ96" s="4">
        <v>0</v>
      </c>
      <c r="OA96" s="4">
        <v>0</v>
      </c>
      <c r="OB96" s="4">
        <v>0</v>
      </c>
      <c r="OC96" s="4">
        <v>0</v>
      </c>
      <c r="OD96" s="4">
        <v>0</v>
      </c>
      <c r="OE96" s="4">
        <v>0</v>
      </c>
      <c r="OF96" s="4">
        <v>0</v>
      </c>
      <c r="OG96" s="4">
        <v>0</v>
      </c>
      <c r="OH96" s="4">
        <v>0</v>
      </c>
      <c r="OI96" s="4">
        <v>0</v>
      </c>
      <c r="OJ96" s="4">
        <v>0</v>
      </c>
      <c r="OK96" s="4">
        <v>0</v>
      </c>
      <c r="OL96" s="4">
        <v>4</v>
      </c>
      <c r="OM96" s="4">
        <v>0</v>
      </c>
      <c r="ON96" s="4">
        <v>1</v>
      </c>
      <c r="OO96" s="4">
        <v>0</v>
      </c>
      <c r="OP96" s="4">
        <v>0</v>
      </c>
      <c r="OQ96" s="4">
        <v>0</v>
      </c>
      <c r="OS96" s="4">
        <f t="shared" si="2"/>
        <v>53</v>
      </c>
      <c r="OT96" s="4">
        <f t="shared" si="3"/>
        <v>58</v>
      </c>
    </row>
    <row r="97" spans="1:410" x14ac:dyDescent="0.3">
      <c r="A97" s="10" t="s">
        <v>709</v>
      </c>
      <c r="B97" s="4">
        <v>0</v>
      </c>
      <c r="C97" s="4">
        <v>0</v>
      </c>
      <c r="D97" s="4">
        <v>0</v>
      </c>
      <c r="E97" s="4">
        <v>0</v>
      </c>
      <c r="F97" s="1">
        <v>2</v>
      </c>
      <c r="G97" s="1">
        <v>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1">
        <v>1</v>
      </c>
      <c r="R97" s="4">
        <v>0</v>
      </c>
      <c r="S97" s="4">
        <v>0</v>
      </c>
      <c r="T97" s="4">
        <v>0</v>
      </c>
      <c r="U97" s="4">
        <v>0</v>
      </c>
      <c r="V97" s="1">
        <v>1</v>
      </c>
      <c r="W97" s="4">
        <v>0</v>
      </c>
      <c r="X97" s="4">
        <v>0</v>
      </c>
      <c r="Y97" s="4">
        <v>0</v>
      </c>
      <c r="Z97" s="4">
        <v>0</v>
      </c>
      <c r="AA97" s="1">
        <v>1</v>
      </c>
      <c r="AB97" s="4">
        <v>0</v>
      </c>
      <c r="AC97" s="4">
        <v>0</v>
      </c>
      <c r="AD97" s="1">
        <v>1</v>
      </c>
      <c r="AE97" s="4">
        <v>0</v>
      </c>
      <c r="AF97" s="4">
        <v>0</v>
      </c>
      <c r="AG97" s="4">
        <v>0</v>
      </c>
      <c r="AH97" s="4">
        <v>1</v>
      </c>
      <c r="AI97" s="4">
        <v>1</v>
      </c>
      <c r="AJ97" s="1">
        <v>0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</v>
      </c>
      <c r="AR97" s="4">
        <v>0</v>
      </c>
      <c r="AS97" s="4">
        <v>0</v>
      </c>
      <c r="AT97" s="4">
        <v>0</v>
      </c>
      <c r="AU97" s="1">
        <v>1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1">
        <v>1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1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1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1</v>
      </c>
      <c r="DG97" s="4">
        <v>0</v>
      </c>
      <c r="DH97" s="4">
        <v>1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1</v>
      </c>
      <c r="EW97" s="4">
        <v>0</v>
      </c>
      <c r="EX97" s="4">
        <v>0</v>
      </c>
      <c r="EY97" s="4">
        <v>0</v>
      </c>
      <c r="EZ97" s="4">
        <v>1</v>
      </c>
      <c r="FA97" s="4">
        <v>1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1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1</v>
      </c>
      <c r="FP97" s="4">
        <v>0</v>
      </c>
      <c r="FQ97" s="4">
        <v>0</v>
      </c>
      <c r="FR97" s="4">
        <v>0</v>
      </c>
      <c r="FS97" s="1">
        <v>1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1</v>
      </c>
      <c r="GF97" s="4">
        <v>0</v>
      </c>
      <c r="GG97" s="4">
        <v>0</v>
      </c>
      <c r="GH97" s="4">
        <v>0</v>
      </c>
      <c r="GI97" s="4">
        <v>1</v>
      </c>
      <c r="GJ97" s="4">
        <v>0</v>
      </c>
      <c r="GK97" s="4">
        <v>0</v>
      </c>
      <c r="GL97" s="4">
        <v>0</v>
      </c>
      <c r="GM97" s="4">
        <v>0</v>
      </c>
      <c r="GN97" s="4">
        <v>1</v>
      </c>
      <c r="GO97" s="4">
        <v>0</v>
      </c>
      <c r="GP97" s="4">
        <v>0</v>
      </c>
      <c r="GQ97" s="4">
        <v>0</v>
      </c>
      <c r="GR97" s="1">
        <v>1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1">
        <v>1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1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1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1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1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1">
        <v>1</v>
      </c>
      <c r="KJ97" s="4">
        <v>0</v>
      </c>
      <c r="KK97" s="4">
        <v>0</v>
      </c>
      <c r="KL97" s="4">
        <v>0</v>
      </c>
      <c r="KM97" s="4">
        <v>1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1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4">
        <v>1</v>
      </c>
      <c r="LJ97" s="1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1">
        <v>1</v>
      </c>
      <c r="LS97" s="4">
        <v>0</v>
      </c>
      <c r="LT97" s="4">
        <v>0</v>
      </c>
      <c r="LU97" s="1">
        <v>1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1">
        <v>1</v>
      </c>
      <c r="MO97" s="4">
        <v>0</v>
      </c>
      <c r="MP97" s="4">
        <v>0</v>
      </c>
      <c r="MQ97" s="4">
        <v>0</v>
      </c>
      <c r="MR97" s="4">
        <v>1</v>
      </c>
      <c r="MS97" s="4">
        <v>0</v>
      </c>
      <c r="MT97" s="4">
        <v>0</v>
      </c>
      <c r="MU97" s="4">
        <v>1</v>
      </c>
      <c r="MV97" s="4">
        <v>0</v>
      </c>
      <c r="MW97" s="4">
        <v>0</v>
      </c>
      <c r="MX97" s="4">
        <v>0</v>
      </c>
      <c r="MY97" s="4">
        <v>0</v>
      </c>
      <c r="MZ97" s="4">
        <v>0</v>
      </c>
      <c r="NA97" s="4">
        <v>0</v>
      </c>
      <c r="NB97" s="4">
        <v>0</v>
      </c>
      <c r="NC97" s="4">
        <v>0</v>
      </c>
      <c r="ND97" s="4">
        <v>0</v>
      </c>
      <c r="NE97" s="1">
        <v>1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  <c r="NL97" s="4">
        <v>0</v>
      </c>
      <c r="NM97" s="4">
        <v>0</v>
      </c>
      <c r="NN97" s="1">
        <v>1</v>
      </c>
      <c r="NO97" s="4">
        <v>0</v>
      </c>
      <c r="NP97" s="4">
        <v>0</v>
      </c>
      <c r="NQ97" s="4">
        <v>1</v>
      </c>
      <c r="NR97" s="4">
        <v>0</v>
      </c>
      <c r="NS97" s="4">
        <v>0</v>
      </c>
      <c r="NT97" s="4">
        <v>0</v>
      </c>
      <c r="NU97" s="4">
        <v>0</v>
      </c>
      <c r="NV97" s="4">
        <v>0</v>
      </c>
      <c r="NW97" s="4">
        <v>0</v>
      </c>
      <c r="NX97" s="4">
        <v>0</v>
      </c>
      <c r="NY97" s="4">
        <v>0</v>
      </c>
      <c r="NZ97" s="4">
        <v>0</v>
      </c>
      <c r="OA97" s="4">
        <v>0</v>
      </c>
      <c r="OB97" s="4">
        <v>0</v>
      </c>
      <c r="OC97" s="4">
        <v>0</v>
      </c>
      <c r="OD97" s="4">
        <v>0</v>
      </c>
      <c r="OE97" s="4">
        <v>1</v>
      </c>
      <c r="OF97" s="4">
        <v>0</v>
      </c>
      <c r="OG97" s="4">
        <v>1</v>
      </c>
      <c r="OH97" s="4">
        <v>0</v>
      </c>
      <c r="OI97" s="4">
        <v>0</v>
      </c>
      <c r="OJ97" s="4">
        <v>0</v>
      </c>
      <c r="OK97" s="4">
        <v>0</v>
      </c>
      <c r="OL97" s="4">
        <v>0</v>
      </c>
      <c r="OM97" s="4">
        <v>0</v>
      </c>
      <c r="ON97" s="4">
        <v>0</v>
      </c>
      <c r="OO97" s="4">
        <v>0</v>
      </c>
      <c r="OP97" s="4">
        <v>0</v>
      </c>
      <c r="OQ97" s="4">
        <v>1</v>
      </c>
      <c r="OS97" s="4">
        <f t="shared" si="2"/>
        <v>45</v>
      </c>
      <c r="OT97" s="4">
        <f t="shared" si="3"/>
        <v>47</v>
      </c>
    </row>
    <row r="98" spans="1:410" x14ac:dyDescent="0.3">
      <c r="A98" s="10" t="s">
        <v>710</v>
      </c>
      <c r="B98" s="4">
        <v>0</v>
      </c>
      <c r="C98" s="4">
        <v>0</v>
      </c>
      <c r="D98" s="4">
        <v>0</v>
      </c>
      <c r="E98" s="4">
        <v>0</v>
      </c>
      <c r="F98" s="1">
        <v>1</v>
      </c>
      <c r="G98" s="1">
        <v>1</v>
      </c>
      <c r="H98" s="4">
        <v>1</v>
      </c>
      <c r="I98" s="4">
        <v>1</v>
      </c>
      <c r="J98" s="4">
        <v>0</v>
      </c>
      <c r="K98" s="4">
        <v>0</v>
      </c>
      <c r="L98" s="4">
        <v>1</v>
      </c>
      <c r="M98" s="4">
        <v>0</v>
      </c>
      <c r="N98" s="4">
        <v>1</v>
      </c>
      <c r="O98" s="4">
        <v>0</v>
      </c>
      <c r="P98" s="4">
        <v>1</v>
      </c>
      <c r="Q98" s="1">
        <v>1</v>
      </c>
      <c r="R98" s="4">
        <v>1</v>
      </c>
      <c r="S98" s="4">
        <v>0</v>
      </c>
      <c r="T98" s="4">
        <v>1</v>
      </c>
      <c r="U98" s="4">
        <v>0</v>
      </c>
      <c r="V98" s="1">
        <v>1</v>
      </c>
      <c r="W98" s="4">
        <v>0</v>
      </c>
      <c r="X98" s="4">
        <v>0</v>
      </c>
      <c r="Y98" s="4">
        <v>1</v>
      </c>
      <c r="Z98" s="4">
        <v>1</v>
      </c>
      <c r="AA98" s="1">
        <v>1</v>
      </c>
      <c r="AB98" s="4">
        <v>1</v>
      </c>
      <c r="AC98" s="4">
        <v>0</v>
      </c>
      <c r="AD98" s="1">
        <v>1</v>
      </c>
      <c r="AE98" s="4">
        <v>0</v>
      </c>
      <c r="AF98" s="4">
        <v>1</v>
      </c>
      <c r="AG98" s="4">
        <v>0</v>
      </c>
      <c r="AH98" s="4">
        <v>0</v>
      </c>
      <c r="AI98" s="4">
        <v>1</v>
      </c>
      <c r="AJ98" s="1">
        <v>1</v>
      </c>
      <c r="AK98" s="4">
        <v>1</v>
      </c>
      <c r="AL98" s="4">
        <v>0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0</v>
      </c>
      <c r="AS98" s="4">
        <v>0</v>
      </c>
      <c r="AT98" s="4">
        <v>0</v>
      </c>
      <c r="AU98" s="1">
        <v>1</v>
      </c>
      <c r="AV98" s="4">
        <v>0</v>
      </c>
      <c r="AW98" s="4">
        <v>0</v>
      </c>
      <c r="AX98" s="4">
        <v>0</v>
      </c>
      <c r="AY98" s="4">
        <v>1</v>
      </c>
      <c r="AZ98" s="4">
        <v>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1">
        <v>1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1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1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2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1</v>
      </c>
      <c r="EI98" s="4">
        <v>2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1</v>
      </c>
      <c r="EW98" s="4">
        <v>1</v>
      </c>
      <c r="EX98" s="4">
        <v>0</v>
      </c>
      <c r="EY98" s="4">
        <v>0</v>
      </c>
      <c r="EZ98" s="4">
        <v>1</v>
      </c>
      <c r="FA98" s="4">
        <v>1</v>
      </c>
      <c r="FB98" s="4">
        <v>0</v>
      </c>
      <c r="FC98" s="4">
        <v>0</v>
      </c>
      <c r="FD98" s="4">
        <v>0</v>
      </c>
      <c r="FE98" s="4">
        <v>1</v>
      </c>
      <c r="FF98" s="4">
        <v>1</v>
      </c>
      <c r="FG98" s="4">
        <v>1</v>
      </c>
      <c r="FH98" s="1">
        <v>1</v>
      </c>
      <c r="FI98" s="4">
        <v>1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1">
        <v>1</v>
      </c>
      <c r="FT98" s="4">
        <v>0</v>
      </c>
      <c r="FU98" s="4">
        <v>0</v>
      </c>
      <c r="FV98" s="4">
        <v>1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1</v>
      </c>
      <c r="GO98" s="4">
        <v>0</v>
      </c>
      <c r="GP98" s="4">
        <v>0</v>
      </c>
      <c r="GQ98" s="4">
        <v>0</v>
      </c>
      <c r="GR98" s="1">
        <v>1</v>
      </c>
      <c r="GS98" s="4">
        <v>0</v>
      </c>
      <c r="GT98" s="4">
        <v>1</v>
      </c>
      <c r="GU98" s="4">
        <v>1</v>
      </c>
      <c r="GV98" s="4">
        <v>1</v>
      </c>
      <c r="GW98" s="4">
        <v>0</v>
      </c>
      <c r="GX98" s="1">
        <v>1</v>
      </c>
      <c r="GY98" s="4">
        <v>0</v>
      </c>
      <c r="GZ98" s="4">
        <v>1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1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1</v>
      </c>
      <c r="HR98" s="4">
        <v>0</v>
      </c>
      <c r="HS98" s="4">
        <v>0</v>
      </c>
      <c r="HT98" s="4">
        <v>0</v>
      </c>
      <c r="HU98" s="4">
        <v>1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1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1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1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1</v>
      </c>
      <c r="KI98" s="1">
        <v>1</v>
      </c>
      <c r="KJ98" s="4">
        <v>0</v>
      </c>
      <c r="KK98" s="4">
        <v>0</v>
      </c>
      <c r="KL98" s="4">
        <v>0</v>
      </c>
      <c r="KM98" s="4">
        <v>1</v>
      </c>
      <c r="KN98" s="4">
        <v>0</v>
      </c>
      <c r="KO98" s="4">
        <v>0</v>
      </c>
      <c r="KP98" s="4">
        <v>0</v>
      </c>
      <c r="KQ98" s="4">
        <v>2</v>
      </c>
      <c r="KR98" s="4">
        <v>0</v>
      </c>
      <c r="KS98" s="4">
        <v>0</v>
      </c>
      <c r="KT98" s="4">
        <v>0</v>
      </c>
      <c r="KU98" s="4">
        <v>1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4">
        <v>1</v>
      </c>
      <c r="LJ98" s="1">
        <v>1</v>
      </c>
      <c r="LK98" s="4">
        <v>0</v>
      </c>
      <c r="LL98" s="4">
        <v>0</v>
      </c>
      <c r="LM98" s="4">
        <v>1</v>
      </c>
      <c r="LN98" s="4">
        <v>0</v>
      </c>
      <c r="LO98" s="4">
        <v>0</v>
      </c>
      <c r="LP98" s="4">
        <v>0</v>
      </c>
      <c r="LQ98" s="4">
        <v>1</v>
      </c>
      <c r="LR98" s="1">
        <v>1</v>
      </c>
      <c r="LS98" s="4">
        <v>0</v>
      </c>
      <c r="LT98" s="4">
        <v>1</v>
      </c>
      <c r="LU98" s="1">
        <v>1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1">
        <v>1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0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  <c r="NB98" s="4">
        <v>0</v>
      </c>
      <c r="NC98" s="4">
        <v>0</v>
      </c>
      <c r="ND98" s="4">
        <v>0</v>
      </c>
      <c r="NE98" s="1">
        <v>1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  <c r="NL98" s="4">
        <v>0</v>
      </c>
      <c r="NM98" s="4">
        <v>0</v>
      </c>
      <c r="NN98" s="1">
        <v>1</v>
      </c>
      <c r="NO98" s="4">
        <v>1</v>
      </c>
      <c r="NP98" s="4">
        <v>0</v>
      </c>
      <c r="NQ98" s="4">
        <v>0</v>
      </c>
      <c r="NR98" s="4">
        <v>1</v>
      </c>
      <c r="NS98" s="4">
        <v>0</v>
      </c>
      <c r="NT98" s="4">
        <v>0</v>
      </c>
      <c r="NU98" s="4">
        <v>0</v>
      </c>
      <c r="NV98" s="4">
        <v>0</v>
      </c>
      <c r="NW98" s="4">
        <v>0</v>
      </c>
      <c r="NX98" s="4">
        <v>0</v>
      </c>
      <c r="NY98" s="4">
        <v>1</v>
      </c>
      <c r="NZ98" s="4">
        <v>0</v>
      </c>
      <c r="OA98" s="4">
        <v>0</v>
      </c>
      <c r="OB98" s="4">
        <v>0</v>
      </c>
      <c r="OC98" s="4">
        <v>1</v>
      </c>
      <c r="OD98" s="4">
        <v>0</v>
      </c>
      <c r="OE98" s="4">
        <v>0</v>
      </c>
      <c r="OF98" s="4">
        <v>0</v>
      </c>
      <c r="OG98" s="4">
        <v>0</v>
      </c>
      <c r="OH98" s="4">
        <v>0</v>
      </c>
      <c r="OI98" s="4">
        <v>0</v>
      </c>
      <c r="OJ98" s="4">
        <v>0</v>
      </c>
      <c r="OK98" s="4">
        <v>0</v>
      </c>
      <c r="OL98" s="4">
        <v>2</v>
      </c>
      <c r="OM98" s="4">
        <v>0</v>
      </c>
      <c r="ON98" s="4">
        <v>0</v>
      </c>
      <c r="OO98" s="4">
        <v>0</v>
      </c>
      <c r="OP98" s="4">
        <v>0</v>
      </c>
      <c r="OQ98" s="4">
        <v>0</v>
      </c>
      <c r="OS98" s="4">
        <f t="shared" si="2"/>
        <v>79</v>
      </c>
      <c r="OT98" s="4">
        <f t="shared" si="3"/>
        <v>83</v>
      </c>
    </row>
    <row r="99" spans="1:410" x14ac:dyDescent="0.3">
      <c r="A99" s="10" t="s">
        <v>711</v>
      </c>
      <c r="B99" s="4">
        <v>1</v>
      </c>
      <c r="C99" s="4">
        <v>0</v>
      </c>
      <c r="D99" s="4">
        <v>0</v>
      </c>
      <c r="E99" s="4">
        <v>0</v>
      </c>
      <c r="F99" s="1">
        <v>1</v>
      </c>
      <c r="G99" s="1">
        <v>1</v>
      </c>
      <c r="H99" s="4">
        <v>1</v>
      </c>
      <c r="I99" s="4">
        <v>1</v>
      </c>
      <c r="J99" s="4">
        <v>0</v>
      </c>
      <c r="K99" s="4">
        <v>0</v>
      </c>
      <c r="L99" s="4">
        <v>1</v>
      </c>
      <c r="M99" s="4">
        <v>0</v>
      </c>
      <c r="N99" s="4">
        <v>1</v>
      </c>
      <c r="O99" s="4">
        <v>0</v>
      </c>
      <c r="P99" s="4">
        <v>0</v>
      </c>
      <c r="Q99" s="1">
        <v>1</v>
      </c>
      <c r="R99" s="4">
        <v>1</v>
      </c>
      <c r="S99" s="4">
        <v>0</v>
      </c>
      <c r="T99" s="4">
        <v>0</v>
      </c>
      <c r="U99" s="4">
        <v>0</v>
      </c>
      <c r="V99" s="1">
        <v>1</v>
      </c>
      <c r="W99" s="4">
        <v>0</v>
      </c>
      <c r="X99" s="4">
        <v>0</v>
      </c>
      <c r="Y99" s="4">
        <v>0</v>
      </c>
      <c r="Z99" s="4">
        <v>0</v>
      </c>
      <c r="AA99" s="1">
        <v>1</v>
      </c>
      <c r="AB99" s="4">
        <v>0</v>
      </c>
      <c r="AC99" s="4">
        <v>0</v>
      </c>
      <c r="AD99" s="1">
        <v>1</v>
      </c>
      <c r="AE99" s="4">
        <v>1</v>
      </c>
      <c r="AF99" s="4">
        <v>0</v>
      </c>
      <c r="AG99" s="4">
        <v>0</v>
      </c>
      <c r="AH99" s="4">
        <v>0</v>
      </c>
      <c r="AI99" s="4">
        <v>1</v>
      </c>
      <c r="AJ99" s="1">
        <v>1</v>
      </c>
      <c r="AK99" s="4">
        <v>1</v>
      </c>
      <c r="AL99" s="4">
        <v>0</v>
      </c>
      <c r="AM99" s="4">
        <v>0</v>
      </c>
      <c r="AN99" s="4">
        <v>1</v>
      </c>
      <c r="AO99" s="4">
        <v>1</v>
      </c>
      <c r="AP99" s="4">
        <v>0</v>
      </c>
      <c r="AQ99" s="4">
        <v>1</v>
      </c>
      <c r="AR99" s="4">
        <v>0</v>
      </c>
      <c r="AS99" s="4">
        <v>1</v>
      </c>
      <c r="AT99" s="4">
        <v>0</v>
      </c>
      <c r="AU99" s="1">
        <v>1</v>
      </c>
      <c r="AV99" s="4">
        <v>1</v>
      </c>
      <c r="AW99" s="4">
        <v>0</v>
      </c>
      <c r="AX99" s="4">
        <v>0</v>
      </c>
      <c r="AY99" s="4">
        <v>1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1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1">
        <v>1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2</v>
      </c>
      <c r="DU99" s="4">
        <v>0</v>
      </c>
      <c r="DV99" s="4">
        <v>2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1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1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1</v>
      </c>
      <c r="FE99" s="4">
        <v>2</v>
      </c>
      <c r="FF99" s="4">
        <v>1</v>
      </c>
      <c r="FG99" s="4">
        <v>1</v>
      </c>
      <c r="FH99" s="1">
        <v>0</v>
      </c>
      <c r="FI99" s="4">
        <v>1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1">
        <v>1</v>
      </c>
      <c r="FT99" s="4">
        <v>0</v>
      </c>
      <c r="FU99" s="4">
        <v>0</v>
      </c>
      <c r="FV99" s="4">
        <v>1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1</v>
      </c>
      <c r="GO99" s="4">
        <v>0</v>
      </c>
      <c r="GP99" s="4">
        <v>0</v>
      </c>
      <c r="GQ99" s="4">
        <v>0</v>
      </c>
      <c r="GR99" s="1">
        <v>1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1">
        <v>1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1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1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1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1">
        <v>1</v>
      </c>
      <c r="KJ99" s="4">
        <v>0</v>
      </c>
      <c r="KK99" s="4">
        <v>0</v>
      </c>
      <c r="KL99" s="4">
        <v>0</v>
      </c>
      <c r="KM99" s="4">
        <v>0</v>
      </c>
      <c r="KN99" s="4">
        <v>1</v>
      </c>
      <c r="KO99" s="4">
        <v>0</v>
      </c>
      <c r="KP99" s="4">
        <v>0</v>
      </c>
      <c r="KQ99" s="4">
        <v>1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4">
        <v>1</v>
      </c>
      <c r="LJ99" s="1">
        <v>1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1">
        <v>1</v>
      </c>
      <c r="LS99" s="4">
        <v>0</v>
      </c>
      <c r="LT99" s="4">
        <v>0</v>
      </c>
      <c r="LU99" s="1">
        <v>1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1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1">
        <v>0</v>
      </c>
      <c r="MO99" s="4">
        <v>0</v>
      </c>
      <c r="MP99" s="4">
        <v>0</v>
      </c>
      <c r="MQ99" s="4">
        <v>0</v>
      </c>
      <c r="MR99" s="4">
        <v>1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  <c r="NB99" s="4">
        <v>0</v>
      </c>
      <c r="NC99" s="4">
        <v>0</v>
      </c>
      <c r="ND99" s="4">
        <v>0</v>
      </c>
      <c r="NE99" s="1">
        <v>1</v>
      </c>
      <c r="NF99" s="4">
        <v>0</v>
      </c>
      <c r="NG99" s="4">
        <v>0</v>
      </c>
      <c r="NH99" s="4">
        <v>0</v>
      </c>
      <c r="NI99" s="4">
        <v>1</v>
      </c>
      <c r="NJ99" s="4">
        <v>0</v>
      </c>
      <c r="NK99" s="4">
        <v>0</v>
      </c>
      <c r="NL99" s="4">
        <v>0</v>
      </c>
      <c r="NM99" s="4">
        <v>0</v>
      </c>
      <c r="NN99" s="1">
        <v>1</v>
      </c>
      <c r="NO99" s="4">
        <v>1</v>
      </c>
      <c r="NP99" s="4">
        <v>0</v>
      </c>
      <c r="NQ99" s="4">
        <v>0</v>
      </c>
      <c r="NR99" s="4">
        <v>1</v>
      </c>
      <c r="NS99" s="4">
        <v>0</v>
      </c>
      <c r="NT99" s="4">
        <v>0</v>
      </c>
      <c r="NU99" s="4">
        <v>0</v>
      </c>
      <c r="NV99" s="4">
        <v>0</v>
      </c>
      <c r="NW99" s="4">
        <v>0</v>
      </c>
      <c r="NX99" s="4">
        <v>0</v>
      </c>
      <c r="NY99" s="4">
        <v>0</v>
      </c>
      <c r="NZ99" s="4">
        <v>0</v>
      </c>
      <c r="OA99" s="4">
        <v>0</v>
      </c>
      <c r="OB99" s="4">
        <v>0</v>
      </c>
      <c r="OC99" s="4">
        <v>1</v>
      </c>
      <c r="OD99" s="4">
        <v>0</v>
      </c>
      <c r="OE99" s="4">
        <v>0</v>
      </c>
      <c r="OF99" s="4">
        <v>0</v>
      </c>
      <c r="OG99" s="4">
        <v>0</v>
      </c>
      <c r="OH99" s="4">
        <v>0</v>
      </c>
      <c r="OI99" s="4">
        <v>0</v>
      </c>
      <c r="OJ99" s="4">
        <v>0</v>
      </c>
      <c r="OK99" s="4">
        <v>0</v>
      </c>
      <c r="OL99" s="4">
        <v>1</v>
      </c>
      <c r="OM99" s="4">
        <v>0</v>
      </c>
      <c r="ON99" s="4">
        <v>0</v>
      </c>
      <c r="OO99" s="4">
        <v>0</v>
      </c>
      <c r="OP99" s="4">
        <v>0</v>
      </c>
      <c r="OQ99" s="4">
        <v>0</v>
      </c>
      <c r="OS99" s="4">
        <f t="shared" si="2"/>
        <v>58</v>
      </c>
      <c r="OT99" s="4">
        <f t="shared" si="3"/>
        <v>61</v>
      </c>
    </row>
    <row r="100" spans="1:410" x14ac:dyDescent="0.3">
      <c r="A100" s="10" t="s">
        <v>712</v>
      </c>
      <c r="B100" s="4">
        <v>0</v>
      </c>
      <c r="C100" s="4">
        <v>0</v>
      </c>
      <c r="D100" s="4">
        <v>0</v>
      </c>
      <c r="E100" s="4">
        <v>0</v>
      </c>
      <c r="F100" s="1">
        <v>1</v>
      </c>
      <c r="G100" s="1">
        <v>1</v>
      </c>
      <c r="H100" s="4">
        <v>0</v>
      </c>
      <c r="I100" s="4">
        <v>1</v>
      </c>
      <c r="J100" s="4">
        <v>1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1">
        <v>1</v>
      </c>
      <c r="R100" s="4">
        <v>1</v>
      </c>
      <c r="S100" s="4">
        <v>0</v>
      </c>
      <c r="T100" s="4">
        <v>0</v>
      </c>
      <c r="U100" s="4">
        <v>0</v>
      </c>
      <c r="V100" s="1">
        <v>1</v>
      </c>
      <c r="W100" s="4">
        <v>0</v>
      </c>
      <c r="X100" s="4">
        <v>0</v>
      </c>
      <c r="Y100" s="4">
        <v>1</v>
      </c>
      <c r="Z100" s="4">
        <v>0</v>
      </c>
      <c r="AA100" s="1">
        <v>1</v>
      </c>
      <c r="AB100" s="4">
        <v>1</v>
      </c>
      <c r="AC100" s="4">
        <v>0</v>
      </c>
      <c r="AD100" s="1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1</v>
      </c>
      <c r="AJ100" s="1">
        <v>1</v>
      </c>
      <c r="AK100" s="4">
        <v>1</v>
      </c>
      <c r="AL100" s="4">
        <v>0</v>
      </c>
      <c r="AM100" s="4">
        <v>0</v>
      </c>
      <c r="AN100" s="4">
        <v>1</v>
      </c>
      <c r="AO100" s="4">
        <v>0</v>
      </c>
      <c r="AP100" s="4">
        <v>0</v>
      </c>
      <c r="AQ100" s="4">
        <v>1</v>
      </c>
      <c r="AR100" s="4">
        <v>0</v>
      </c>
      <c r="AS100" s="4">
        <v>0</v>
      </c>
      <c r="AT100" s="4">
        <v>0</v>
      </c>
      <c r="AU100" s="1">
        <v>1</v>
      </c>
      <c r="AV100" s="4">
        <v>0</v>
      </c>
      <c r="AW100" s="4">
        <v>0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1">
        <v>1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1</v>
      </c>
      <c r="DD100" s="4">
        <v>0</v>
      </c>
      <c r="DE100" s="4">
        <v>0</v>
      </c>
      <c r="DF100" s="4">
        <v>0</v>
      </c>
      <c r="DG100" s="4">
        <v>0</v>
      </c>
      <c r="DH100" s="4">
        <v>1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2</v>
      </c>
      <c r="FF100" s="4">
        <v>0</v>
      </c>
      <c r="FG100" s="4">
        <v>1</v>
      </c>
      <c r="FH100" s="1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1">
        <v>1</v>
      </c>
      <c r="FT100" s="4">
        <v>0</v>
      </c>
      <c r="FU100" s="4">
        <v>0</v>
      </c>
      <c r="FV100" s="4">
        <v>1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1</v>
      </c>
      <c r="GO100" s="4">
        <v>0</v>
      </c>
      <c r="GP100" s="4">
        <v>0</v>
      </c>
      <c r="GQ100" s="4">
        <v>0</v>
      </c>
      <c r="GR100" s="1">
        <v>1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1">
        <v>1</v>
      </c>
      <c r="GY100" s="4">
        <v>0</v>
      </c>
      <c r="GZ100" s="4">
        <v>1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1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1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1</v>
      </c>
      <c r="IY100" s="4">
        <v>0</v>
      </c>
      <c r="IZ100" s="4">
        <v>0</v>
      </c>
      <c r="JA100" s="4">
        <v>0</v>
      </c>
      <c r="JB100" s="4">
        <v>1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1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1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1">
        <v>1</v>
      </c>
      <c r="KJ100" s="4">
        <v>0</v>
      </c>
      <c r="KK100" s="4">
        <v>0</v>
      </c>
      <c r="KL100" s="4">
        <v>0</v>
      </c>
      <c r="KM100" s="4">
        <v>1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1</v>
      </c>
      <c r="LJ100" s="1">
        <v>2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1">
        <v>2</v>
      </c>
      <c r="LS100" s="4">
        <v>0</v>
      </c>
      <c r="LT100" s="4">
        <v>0</v>
      </c>
      <c r="LU100" s="1">
        <v>1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1</v>
      </c>
      <c r="MD100" s="4">
        <v>0</v>
      </c>
      <c r="ME100" s="4">
        <v>0</v>
      </c>
      <c r="MF100" s="4">
        <v>0</v>
      </c>
      <c r="MG100" s="4">
        <v>1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1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2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  <c r="ND100" s="4">
        <v>0</v>
      </c>
      <c r="NE100" s="1">
        <v>1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  <c r="NL100" s="4">
        <v>0</v>
      </c>
      <c r="NM100" s="4">
        <v>0</v>
      </c>
      <c r="NN100" s="1">
        <v>1</v>
      </c>
      <c r="NO100" s="4">
        <v>0</v>
      </c>
      <c r="NP100" s="4">
        <v>0</v>
      </c>
      <c r="NQ100" s="4">
        <v>0</v>
      </c>
      <c r="NR100" s="4">
        <v>1</v>
      </c>
      <c r="NS100" s="4">
        <v>0</v>
      </c>
      <c r="NT100" s="4">
        <v>0</v>
      </c>
      <c r="NU100" s="4">
        <v>0</v>
      </c>
      <c r="NV100" s="4">
        <v>0</v>
      </c>
      <c r="NW100" s="4">
        <v>0</v>
      </c>
      <c r="NX100" s="4">
        <v>0</v>
      </c>
      <c r="NY100" s="4">
        <v>0</v>
      </c>
      <c r="NZ100" s="4">
        <v>0</v>
      </c>
      <c r="OA100" s="4">
        <v>0</v>
      </c>
      <c r="OB100" s="4">
        <v>0</v>
      </c>
      <c r="OC100" s="4">
        <v>1</v>
      </c>
      <c r="OD100" s="4">
        <v>0</v>
      </c>
      <c r="OE100" s="4">
        <v>0</v>
      </c>
      <c r="OF100" s="4">
        <v>0</v>
      </c>
      <c r="OG100" s="4">
        <v>0</v>
      </c>
      <c r="OH100" s="4">
        <v>0</v>
      </c>
      <c r="OI100" s="4">
        <v>0</v>
      </c>
      <c r="OJ100" s="4">
        <v>0</v>
      </c>
      <c r="OK100" s="4">
        <v>0</v>
      </c>
      <c r="OL100" s="4">
        <v>3</v>
      </c>
      <c r="OM100" s="4">
        <v>0</v>
      </c>
      <c r="ON100" s="4">
        <v>1</v>
      </c>
      <c r="OO100" s="4">
        <v>0</v>
      </c>
      <c r="OP100" s="4">
        <v>0</v>
      </c>
      <c r="OQ100" s="4">
        <v>0</v>
      </c>
      <c r="OS100" s="4">
        <f t="shared" si="2"/>
        <v>51</v>
      </c>
      <c r="OT100" s="4">
        <f t="shared" si="3"/>
        <v>57</v>
      </c>
    </row>
    <row r="101" spans="1:410" x14ac:dyDescent="0.3">
      <c r="A101" s="10" t="s">
        <v>713</v>
      </c>
      <c r="B101" s="4">
        <v>1</v>
      </c>
      <c r="C101" s="4">
        <v>0</v>
      </c>
      <c r="D101" s="4">
        <v>0</v>
      </c>
      <c r="E101" s="4">
        <v>1</v>
      </c>
      <c r="F101" s="1">
        <v>1</v>
      </c>
      <c r="G101" s="1">
        <v>1</v>
      </c>
      <c r="H101" s="4">
        <v>0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1</v>
      </c>
      <c r="Q101" s="1">
        <v>1</v>
      </c>
      <c r="R101" s="4">
        <v>0</v>
      </c>
      <c r="S101" s="4">
        <v>0</v>
      </c>
      <c r="T101" s="4">
        <v>0</v>
      </c>
      <c r="U101" s="4">
        <v>0</v>
      </c>
      <c r="V101" s="1">
        <v>1</v>
      </c>
      <c r="W101" s="4">
        <v>0</v>
      </c>
      <c r="X101" s="4">
        <v>0</v>
      </c>
      <c r="Y101" s="4">
        <v>0</v>
      </c>
      <c r="Z101" s="4">
        <v>0</v>
      </c>
      <c r="AA101" s="1">
        <v>1</v>
      </c>
      <c r="AB101" s="4">
        <v>1</v>
      </c>
      <c r="AC101" s="4">
        <v>0</v>
      </c>
      <c r="AD101" s="1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1</v>
      </c>
      <c r="AJ101" s="1">
        <v>1</v>
      </c>
      <c r="AK101" s="4">
        <v>1</v>
      </c>
      <c r="AL101" s="4">
        <v>0</v>
      </c>
      <c r="AM101" s="4">
        <v>0</v>
      </c>
      <c r="AN101" s="4">
        <v>1</v>
      </c>
      <c r="AO101" s="4">
        <v>1</v>
      </c>
      <c r="AP101" s="4">
        <v>0</v>
      </c>
      <c r="AQ101" s="4">
        <v>1</v>
      </c>
      <c r="AR101" s="4">
        <v>0</v>
      </c>
      <c r="AS101" s="4">
        <v>0</v>
      </c>
      <c r="AT101" s="4">
        <v>0</v>
      </c>
      <c r="AU101" s="1">
        <v>1</v>
      </c>
      <c r="AV101" s="4">
        <v>0</v>
      </c>
      <c r="AW101" s="4">
        <v>1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1">
        <v>1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1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1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1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2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1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1</v>
      </c>
      <c r="FD101" s="4">
        <v>0</v>
      </c>
      <c r="FE101" s="4">
        <v>0</v>
      </c>
      <c r="FF101" s="4">
        <v>0</v>
      </c>
      <c r="FG101" s="4">
        <v>0</v>
      </c>
      <c r="FH101" s="1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1">
        <v>1</v>
      </c>
      <c r="FT101" s="4">
        <v>0</v>
      </c>
      <c r="FU101" s="4">
        <v>0</v>
      </c>
      <c r="FV101" s="4">
        <v>1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1</v>
      </c>
      <c r="GO101" s="4">
        <v>0</v>
      </c>
      <c r="GP101" s="4">
        <v>0</v>
      </c>
      <c r="GQ101" s="4">
        <v>0</v>
      </c>
      <c r="GR101" s="1">
        <v>1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1">
        <v>1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1</v>
      </c>
      <c r="HV101" s="4">
        <v>1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1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1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1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1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1">
        <v>1</v>
      </c>
      <c r="KJ101" s="4">
        <v>0</v>
      </c>
      <c r="KK101" s="4">
        <v>0</v>
      </c>
      <c r="KL101" s="4">
        <v>0</v>
      </c>
      <c r="KM101" s="4">
        <v>1</v>
      </c>
      <c r="KN101" s="4">
        <v>0</v>
      </c>
      <c r="KO101" s="4">
        <v>0</v>
      </c>
      <c r="KP101" s="4">
        <v>0</v>
      </c>
      <c r="KQ101" s="4">
        <v>1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1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4">
        <v>1</v>
      </c>
      <c r="LJ101" s="1">
        <v>1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1">
        <v>1</v>
      </c>
      <c r="LS101" s="4">
        <v>0</v>
      </c>
      <c r="LT101" s="4">
        <v>0</v>
      </c>
      <c r="LU101" s="1">
        <v>1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1</v>
      </c>
      <c r="MF101" s="4">
        <v>0</v>
      </c>
      <c r="MG101" s="4">
        <v>1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1">
        <v>1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1</v>
      </c>
      <c r="MV101" s="4">
        <v>0</v>
      </c>
      <c r="MW101" s="4">
        <v>0</v>
      </c>
      <c r="MX101" s="4">
        <v>0</v>
      </c>
      <c r="MY101" s="4">
        <v>0</v>
      </c>
      <c r="MZ101" s="4">
        <v>0</v>
      </c>
      <c r="NA101" s="4">
        <v>0</v>
      </c>
      <c r="NB101" s="4">
        <v>0</v>
      </c>
      <c r="NC101" s="4">
        <v>0</v>
      </c>
      <c r="ND101" s="4">
        <v>0</v>
      </c>
      <c r="NE101" s="1">
        <v>1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  <c r="NL101" s="4">
        <v>0</v>
      </c>
      <c r="NM101" s="4">
        <v>0</v>
      </c>
      <c r="NN101" s="1">
        <v>1</v>
      </c>
      <c r="NO101" s="4">
        <v>1</v>
      </c>
      <c r="NP101" s="4">
        <v>0</v>
      </c>
      <c r="NQ101" s="4">
        <v>0</v>
      </c>
      <c r="NR101" s="4">
        <v>0</v>
      </c>
      <c r="NS101" s="4">
        <v>0</v>
      </c>
      <c r="NT101" s="4">
        <v>0</v>
      </c>
      <c r="NU101" s="4">
        <v>0</v>
      </c>
      <c r="NV101" s="4">
        <v>0</v>
      </c>
      <c r="NW101" s="4">
        <v>0</v>
      </c>
      <c r="NX101" s="4">
        <v>0</v>
      </c>
      <c r="NY101" s="4">
        <v>0</v>
      </c>
      <c r="NZ101" s="4">
        <v>0</v>
      </c>
      <c r="OA101" s="4">
        <v>0</v>
      </c>
      <c r="OB101" s="4">
        <v>0</v>
      </c>
      <c r="OC101" s="4">
        <v>1</v>
      </c>
      <c r="OD101" s="4">
        <v>0</v>
      </c>
      <c r="OE101" s="4">
        <v>0</v>
      </c>
      <c r="OF101" s="4">
        <v>0</v>
      </c>
      <c r="OG101" s="4">
        <v>0</v>
      </c>
      <c r="OH101" s="4">
        <v>0</v>
      </c>
      <c r="OI101" s="4">
        <v>0</v>
      </c>
      <c r="OJ101" s="4">
        <v>0</v>
      </c>
      <c r="OK101" s="4">
        <v>0</v>
      </c>
      <c r="OL101" s="4">
        <v>2</v>
      </c>
      <c r="OM101" s="4">
        <v>0</v>
      </c>
      <c r="ON101" s="4">
        <v>0</v>
      </c>
      <c r="OO101" s="4">
        <v>0</v>
      </c>
      <c r="OP101" s="4">
        <v>0</v>
      </c>
      <c r="OQ101" s="4">
        <v>0</v>
      </c>
      <c r="OS101" s="4">
        <f t="shared" si="2"/>
        <v>55</v>
      </c>
      <c r="OT101" s="4">
        <f t="shared" si="3"/>
        <v>57</v>
      </c>
    </row>
    <row r="102" spans="1:410" x14ac:dyDescent="0.3">
      <c r="ME102" s="4"/>
      <c r="MF102" s="4"/>
      <c r="MG102" s="4"/>
      <c r="MH102" s="4"/>
      <c r="MI102" s="4"/>
      <c r="MJ102" s="4"/>
      <c r="MK102" s="4"/>
      <c r="ML102" s="4"/>
      <c r="MM102" s="4"/>
      <c r="MO102" s="4"/>
      <c r="MP102" s="4"/>
      <c r="MQ102" s="4"/>
      <c r="MR102" s="4"/>
      <c r="MS102" s="4"/>
      <c r="MU102" s="4"/>
      <c r="MV102" s="4"/>
      <c r="MW102" s="4"/>
      <c r="MX102" s="4"/>
      <c r="MY102" s="4"/>
      <c r="MZ102" s="4"/>
      <c r="NA102" s="4"/>
      <c r="NC102" s="4"/>
      <c r="ND102" s="4"/>
      <c r="NF102" s="4"/>
      <c r="NG102" s="4"/>
      <c r="NH102" s="4"/>
      <c r="NI102" s="4"/>
      <c r="NK102" s="4"/>
      <c r="NL102" s="4"/>
      <c r="NM102" s="4"/>
      <c r="NO102" s="4"/>
      <c r="NP102" s="4"/>
      <c r="NQ102" s="4"/>
      <c r="NR102" s="4"/>
      <c r="NT102" s="4"/>
      <c r="NU102" s="4"/>
      <c r="NV102" s="4"/>
      <c r="NW102" s="4"/>
      <c r="NX102" s="4"/>
      <c r="NZ102" s="4"/>
      <c r="OA102" s="4"/>
      <c r="OB102" s="4"/>
      <c r="OC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Q102" s="4"/>
    </row>
    <row r="104" spans="1:410" ht="17.399999999999999" x14ac:dyDescent="0.45">
      <c r="A104" s="7" t="s">
        <v>550</v>
      </c>
      <c r="B104" s="3">
        <f>COUNTIF(B2:B101,0)</f>
        <v>61</v>
      </c>
      <c r="C104" s="4">
        <f t="shared" ref="C104:BN104" si="4">COUNTIF(C2:C101,0)</f>
        <v>98</v>
      </c>
      <c r="D104" s="4">
        <f t="shared" si="4"/>
        <v>99</v>
      </c>
      <c r="E104" s="4">
        <f t="shared" si="4"/>
        <v>80</v>
      </c>
      <c r="F104" s="11">
        <f t="shared" si="4"/>
        <v>0</v>
      </c>
      <c r="G104" s="11">
        <f t="shared" si="4"/>
        <v>0</v>
      </c>
      <c r="H104" s="4">
        <f t="shared" si="4"/>
        <v>53</v>
      </c>
      <c r="I104" s="4">
        <f t="shared" si="4"/>
        <v>69</v>
      </c>
      <c r="J104" s="4">
        <f t="shared" si="4"/>
        <v>88</v>
      </c>
      <c r="K104" s="4">
        <f t="shared" si="4"/>
        <v>99</v>
      </c>
      <c r="L104" s="4">
        <f t="shared" si="4"/>
        <v>23</v>
      </c>
      <c r="M104" s="4">
        <f t="shared" si="4"/>
        <v>74</v>
      </c>
      <c r="N104" s="4">
        <f t="shared" si="4"/>
        <v>71</v>
      </c>
      <c r="O104" s="4">
        <f t="shared" si="4"/>
        <v>94</v>
      </c>
      <c r="P104" s="4">
        <f t="shared" si="4"/>
        <v>53</v>
      </c>
      <c r="Q104" s="12">
        <f t="shared" si="4"/>
        <v>3</v>
      </c>
      <c r="R104" s="4">
        <f t="shared" si="4"/>
        <v>26</v>
      </c>
      <c r="S104" s="4">
        <f t="shared" si="4"/>
        <v>91</v>
      </c>
      <c r="T104" s="4">
        <f t="shared" si="4"/>
        <v>94</v>
      </c>
      <c r="U104" s="4">
        <f t="shared" si="4"/>
        <v>99</v>
      </c>
      <c r="V104" s="12">
        <f>COUNTIF(V2:V101,0)</f>
        <v>4</v>
      </c>
      <c r="W104" s="4">
        <f t="shared" si="4"/>
        <v>96</v>
      </c>
      <c r="X104" s="4">
        <f t="shared" si="4"/>
        <v>53</v>
      </c>
      <c r="Y104" s="4">
        <f t="shared" si="4"/>
        <v>96</v>
      </c>
      <c r="Z104" s="4">
        <f t="shared" si="4"/>
        <v>84</v>
      </c>
      <c r="AA104" s="11">
        <f t="shared" si="4"/>
        <v>0</v>
      </c>
      <c r="AB104" s="4">
        <f t="shared" si="4"/>
        <v>33</v>
      </c>
      <c r="AC104" s="4">
        <f t="shared" si="4"/>
        <v>85</v>
      </c>
      <c r="AD104" s="11">
        <f t="shared" si="4"/>
        <v>0</v>
      </c>
      <c r="AE104" s="4">
        <f t="shared" si="4"/>
        <v>59</v>
      </c>
      <c r="AF104" s="4">
        <f t="shared" si="4"/>
        <v>75</v>
      </c>
      <c r="AG104" s="4">
        <f t="shared" si="4"/>
        <v>68</v>
      </c>
      <c r="AH104" s="4">
        <f t="shared" si="4"/>
        <v>82</v>
      </c>
      <c r="AI104" s="4">
        <f t="shared" si="4"/>
        <v>18</v>
      </c>
      <c r="AJ104" s="12">
        <f t="shared" si="4"/>
        <v>6</v>
      </c>
      <c r="AK104" s="13">
        <f t="shared" si="4"/>
        <v>17</v>
      </c>
      <c r="AL104" s="4">
        <f t="shared" si="4"/>
        <v>98</v>
      </c>
      <c r="AM104" s="4">
        <f t="shared" si="4"/>
        <v>77</v>
      </c>
      <c r="AN104" s="4">
        <f t="shared" si="4"/>
        <v>27</v>
      </c>
      <c r="AO104" s="4">
        <f t="shared" si="4"/>
        <v>35</v>
      </c>
      <c r="AP104" s="4">
        <f t="shared" si="4"/>
        <v>75</v>
      </c>
      <c r="AQ104" s="4">
        <f t="shared" si="4"/>
        <v>31</v>
      </c>
      <c r="AR104" s="4">
        <f t="shared" si="4"/>
        <v>86</v>
      </c>
      <c r="AS104" s="4">
        <f t="shared" si="4"/>
        <v>89</v>
      </c>
      <c r="AT104" s="4">
        <f t="shared" si="4"/>
        <v>92</v>
      </c>
      <c r="AU104" s="11">
        <f t="shared" si="4"/>
        <v>0</v>
      </c>
      <c r="AV104" s="4">
        <f t="shared" si="4"/>
        <v>91</v>
      </c>
      <c r="AW104" s="4">
        <f t="shared" si="4"/>
        <v>92</v>
      </c>
      <c r="AX104" s="4">
        <f t="shared" si="4"/>
        <v>98</v>
      </c>
      <c r="AY104" s="12">
        <f t="shared" si="4"/>
        <v>10</v>
      </c>
      <c r="AZ104" s="4">
        <f t="shared" si="4"/>
        <v>96</v>
      </c>
      <c r="BA104" s="4">
        <f t="shared" si="4"/>
        <v>97</v>
      </c>
      <c r="BB104" s="4">
        <f t="shared" si="4"/>
        <v>95</v>
      </c>
      <c r="BC104" s="4">
        <f t="shared" si="4"/>
        <v>90</v>
      </c>
      <c r="BD104" s="4">
        <f t="shared" si="4"/>
        <v>96</v>
      </c>
      <c r="BE104" s="4">
        <f t="shared" si="4"/>
        <v>96</v>
      </c>
      <c r="BF104" s="4">
        <f t="shared" si="4"/>
        <v>83</v>
      </c>
      <c r="BG104" s="4">
        <f t="shared" si="4"/>
        <v>80</v>
      </c>
      <c r="BH104" s="4">
        <f t="shared" si="4"/>
        <v>97</v>
      </c>
      <c r="BI104" s="4">
        <f t="shared" si="4"/>
        <v>99</v>
      </c>
      <c r="BJ104" s="4">
        <f t="shared" si="4"/>
        <v>97</v>
      </c>
      <c r="BK104" s="4">
        <f t="shared" si="4"/>
        <v>99</v>
      </c>
      <c r="BL104" s="4">
        <f t="shared" si="4"/>
        <v>85</v>
      </c>
      <c r="BM104" s="4">
        <f t="shared" si="4"/>
        <v>99</v>
      </c>
      <c r="BN104" s="4">
        <f t="shared" si="4"/>
        <v>85</v>
      </c>
      <c r="BO104" s="4">
        <f t="shared" ref="BO104:EE104" si="5">COUNTIF(BO2:BO101,0)</f>
        <v>89</v>
      </c>
      <c r="BP104" s="4">
        <f t="shared" si="5"/>
        <v>95</v>
      </c>
      <c r="BQ104" s="4">
        <f t="shared" si="5"/>
        <v>99</v>
      </c>
      <c r="BR104" s="4">
        <f t="shared" si="5"/>
        <v>98</v>
      </c>
      <c r="BS104" s="11">
        <f t="shared" si="5"/>
        <v>0</v>
      </c>
      <c r="BT104" s="4">
        <f t="shared" si="5"/>
        <v>98</v>
      </c>
      <c r="BU104" s="4">
        <f t="shared" si="5"/>
        <v>99</v>
      </c>
      <c r="BV104" s="4">
        <f t="shared" si="5"/>
        <v>99</v>
      </c>
      <c r="BW104" s="4">
        <f t="shared" si="5"/>
        <v>99</v>
      </c>
      <c r="BX104" s="4">
        <f t="shared" si="5"/>
        <v>98</v>
      </c>
      <c r="BY104" s="4">
        <f t="shared" si="5"/>
        <v>61</v>
      </c>
      <c r="BZ104" s="4">
        <f t="shared" si="5"/>
        <v>98</v>
      </c>
      <c r="CA104" s="4">
        <f t="shared" si="5"/>
        <v>99</v>
      </c>
      <c r="CB104" s="4">
        <f t="shared" si="5"/>
        <v>95</v>
      </c>
      <c r="CC104" s="4">
        <f t="shared" si="5"/>
        <v>64</v>
      </c>
      <c r="CD104" s="4">
        <f t="shared" si="5"/>
        <v>99</v>
      </c>
      <c r="CE104" s="4">
        <f t="shared" si="5"/>
        <v>97</v>
      </c>
      <c r="CF104" s="4">
        <f t="shared" si="5"/>
        <v>74</v>
      </c>
      <c r="CG104" s="4">
        <f t="shared" si="5"/>
        <v>99</v>
      </c>
      <c r="CH104" s="4">
        <f t="shared" si="5"/>
        <v>99</v>
      </c>
      <c r="CI104" s="4">
        <f t="shared" si="5"/>
        <v>96</v>
      </c>
      <c r="CJ104" s="4">
        <f t="shared" si="5"/>
        <v>92</v>
      </c>
      <c r="CK104" s="4">
        <f t="shared" si="5"/>
        <v>92</v>
      </c>
      <c r="CL104" s="4">
        <f t="shared" si="5"/>
        <v>99</v>
      </c>
      <c r="CM104" s="4">
        <f t="shared" si="5"/>
        <v>64</v>
      </c>
      <c r="CN104" s="4">
        <f t="shared" si="5"/>
        <v>96</v>
      </c>
      <c r="CO104" s="4">
        <f t="shared" si="5"/>
        <v>97</v>
      </c>
      <c r="CP104" s="4">
        <f t="shared" si="5"/>
        <v>93</v>
      </c>
      <c r="CQ104" s="4">
        <f t="shared" si="5"/>
        <v>93</v>
      </c>
      <c r="CR104" s="4">
        <f t="shared" si="5"/>
        <v>98</v>
      </c>
      <c r="CS104" s="4">
        <f t="shared" si="5"/>
        <v>98</v>
      </c>
      <c r="CT104" s="4">
        <f t="shared" si="5"/>
        <v>99</v>
      </c>
      <c r="CU104" s="4">
        <f t="shared" si="5"/>
        <v>91</v>
      </c>
      <c r="CV104" s="4">
        <f t="shared" si="5"/>
        <v>97</v>
      </c>
      <c r="CW104" s="4">
        <f t="shared" si="5"/>
        <v>98</v>
      </c>
      <c r="CX104" s="4">
        <f t="shared" si="5"/>
        <v>99</v>
      </c>
      <c r="CY104" s="4">
        <f t="shared" si="5"/>
        <v>97</v>
      </c>
      <c r="CZ104" s="4">
        <f t="shared" si="5"/>
        <v>98</v>
      </c>
      <c r="DA104" s="4">
        <f t="shared" si="5"/>
        <v>96</v>
      </c>
      <c r="DB104" s="4">
        <f t="shared" si="5"/>
        <v>96</v>
      </c>
      <c r="DC104" s="4">
        <f t="shared" si="5"/>
        <v>86</v>
      </c>
      <c r="DD104" s="4">
        <f t="shared" si="5"/>
        <v>97</v>
      </c>
      <c r="DE104" s="4">
        <f t="shared" si="5"/>
        <v>98</v>
      </c>
      <c r="DF104" s="4">
        <f t="shared" si="5"/>
        <v>94</v>
      </c>
      <c r="DG104" s="4">
        <f t="shared" si="5"/>
        <v>99</v>
      </c>
      <c r="DH104" s="4">
        <f t="shared" si="5"/>
        <v>23</v>
      </c>
      <c r="DI104" s="4">
        <f t="shared" si="5"/>
        <v>94</v>
      </c>
      <c r="DJ104" s="4">
        <f t="shared" si="5"/>
        <v>98</v>
      </c>
      <c r="DK104" s="4">
        <f t="shared" si="5"/>
        <v>95</v>
      </c>
      <c r="DL104" s="4">
        <f t="shared" si="5"/>
        <v>95</v>
      </c>
      <c r="DM104" s="4">
        <f t="shared" si="5"/>
        <v>98</v>
      </c>
      <c r="DN104" s="4">
        <f t="shared" si="5"/>
        <v>99</v>
      </c>
      <c r="DO104" s="4">
        <f t="shared" si="5"/>
        <v>99</v>
      </c>
      <c r="DP104" s="4">
        <f t="shared" si="5"/>
        <v>99</v>
      </c>
      <c r="DQ104" s="4">
        <f t="shared" si="5"/>
        <v>94</v>
      </c>
      <c r="DR104" s="4">
        <f t="shared" si="5"/>
        <v>26</v>
      </c>
      <c r="DS104" s="4">
        <f t="shared" si="5"/>
        <v>98</v>
      </c>
      <c r="DT104" s="4">
        <f t="shared" si="5"/>
        <v>98</v>
      </c>
      <c r="DU104" s="4">
        <f t="shared" si="5"/>
        <v>97</v>
      </c>
      <c r="DV104" s="4">
        <f t="shared" si="5"/>
        <v>98</v>
      </c>
      <c r="DW104" s="4">
        <f t="shared" si="5"/>
        <v>99</v>
      </c>
      <c r="DX104" s="4">
        <f t="shared" si="5"/>
        <v>99</v>
      </c>
      <c r="DY104" s="4">
        <f t="shared" si="5"/>
        <v>99</v>
      </c>
      <c r="DZ104" s="4">
        <f t="shared" si="5"/>
        <v>99</v>
      </c>
      <c r="EA104" s="4">
        <f t="shared" si="5"/>
        <v>96</v>
      </c>
      <c r="EB104" s="4">
        <f t="shared" si="5"/>
        <v>86</v>
      </c>
      <c r="EC104" s="4">
        <f t="shared" si="5"/>
        <v>98</v>
      </c>
      <c r="ED104" s="4">
        <f t="shared" si="5"/>
        <v>82</v>
      </c>
      <c r="EE104" s="4">
        <f t="shared" si="5"/>
        <v>93</v>
      </c>
      <c r="EF104" s="4">
        <f t="shared" ref="EF104:GV104" si="6">COUNTIF(EF2:EF101,0)</f>
        <v>96</v>
      </c>
      <c r="EG104" s="4">
        <f t="shared" si="6"/>
        <v>98</v>
      </c>
      <c r="EH104" s="4">
        <f t="shared" si="6"/>
        <v>63</v>
      </c>
      <c r="EI104" s="4">
        <f t="shared" si="6"/>
        <v>99</v>
      </c>
      <c r="EJ104" s="4">
        <f t="shared" si="6"/>
        <v>98</v>
      </c>
      <c r="EK104" s="4">
        <f t="shared" si="6"/>
        <v>97</v>
      </c>
      <c r="EL104" s="4">
        <f t="shared" si="6"/>
        <v>99</v>
      </c>
      <c r="EM104" s="4">
        <f t="shared" si="6"/>
        <v>97</v>
      </c>
      <c r="EN104" s="4">
        <f t="shared" si="6"/>
        <v>98</v>
      </c>
      <c r="EO104" s="4">
        <f t="shared" si="6"/>
        <v>98</v>
      </c>
      <c r="EP104" s="4">
        <f t="shared" si="6"/>
        <v>98</v>
      </c>
      <c r="EQ104" s="4">
        <f t="shared" si="6"/>
        <v>98</v>
      </c>
      <c r="ER104" s="4">
        <f t="shared" si="6"/>
        <v>99</v>
      </c>
      <c r="ES104" s="4">
        <f t="shared" si="6"/>
        <v>99</v>
      </c>
      <c r="ET104" s="4">
        <f t="shared" si="6"/>
        <v>99</v>
      </c>
      <c r="EU104" s="4">
        <f t="shared" si="6"/>
        <v>99</v>
      </c>
      <c r="EV104" s="4">
        <f t="shared" si="6"/>
        <v>30</v>
      </c>
      <c r="EW104" s="4">
        <f t="shared" si="6"/>
        <v>97</v>
      </c>
      <c r="EX104" s="4">
        <f t="shared" si="6"/>
        <v>99</v>
      </c>
      <c r="EY104" s="4">
        <f t="shared" si="6"/>
        <v>94</v>
      </c>
      <c r="EZ104" s="4">
        <f t="shared" si="6"/>
        <v>82</v>
      </c>
      <c r="FA104" s="4">
        <f t="shared" si="6"/>
        <v>59</v>
      </c>
      <c r="FB104" s="4">
        <f t="shared" si="6"/>
        <v>98</v>
      </c>
      <c r="FC104" s="4">
        <f t="shared" si="6"/>
        <v>97</v>
      </c>
      <c r="FD104" s="4">
        <f t="shared" si="6"/>
        <v>97</v>
      </c>
      <c r="FE104" s="4">
        <f t="shared" si="6"/>
        <v>78</v>
      </c>
      <c r="FF104" s="4">
        <f t="shared" si="6"/>
        <v>87</v>
      </c>
      <c r="FG104" s="4">
        <f t="shared" si="6"/>
        <v>82</v>
      </c>
      <c r="FH104" s="13">
        <f t="shared" si="6"/>
        <v>13</v>
      </c>
      <c r="FI104" s="4">
        <f t="shared" si="6"/>
        <v>59</v>
      </c>
      <c r="FJ104" s="4">
        <f t="shared" si="6"/>
        <v>94</v>
      </c>
      <c r="FK104" s="4">
        <f t="shared" si="6"/>
        <v>98</v>
      </c>
      <c r="FL104" s="4">
        <f t="shared" si="6"/>
        <v>98</v>
      </c>
      <c r="FM104" s="4">
        <f t="shared" si="6"/>
        <v>99</v>
      </c>
      <c r="FN104" s="4">
        <f t="shared" si="6"/>
        <v>98</v>
      </c>
      <c r="FO104" s="4">
        <f t="shared" si="6"/>
        <v>88</v>
      </c>
      <c r="FP104" s="4">
        <f t="shared" si="6"/>
        <v>98</v>
      </c>
      <c r="FQ104" s="4">
        <f t="shared" si="6"/>
        <v>98</v>
      </c>
      <c r="FR104" s="4">
        <f t="shared" si="6"/>
        <v>99</v>
      </c>
      <c r="FS104" s="11">
        <f t="shared" si="6"/>
        <v>0</v>
      </c>
      <c r="FT104" s="4">
        <f t="shared" si="6"/>
        <v>99</v>
      </c>
      <c r="FU104" s="4">
        <f t="shared" si="6"/>
        <v>84</v>
      </c>
      <c r="FV104" s="4">
        <f t="shared" si="6"/>
        <v>30</v>
      </c>
      <c r="FW104" s="4">
        <f t="shared" si="6"/>
        <v>92</v>
      </c>
      <c r="FX104" s="4">
        <f t="shared" si="6"/>
        <v>98</v>
      </c>
      <c r="FY104" s="4">
        <f t="shared" si="6"/>
        <v>99</v>
      </c>
      <c r="FZ104" s="4">
        <f t="shared" si="6"/>
        <v>98</v>
      </c>
      <c r="GA104" s="4">
        <f t="shared" si="6"/>
        <v>99</v>
      </c>
      <c r="GB104" s="4">
        <f t="shared" si="6"/>
        <v>97</v>
      </c>
      <c r="GC104" s="4">
        <f t="shared" si="6"/>
        <v>92</v>
      </c>
      <c r="GD104" s="4">
        <f t="shared" si="6"/>
        <v>99</v>
      </c>
      <c r="GE104" s="4">
        <f t="shared" si="6"/>
        <v>88</v>
      </c>
      <c r="GF104" s="4">
        <f t="shared" si="6"/>
        <v>99</v>
      </c>
      <c r="GG104" s="4">
        <f t="shared" si="6"/>
        <v>94</v>
      </c>
      <c r="GH104" s="4">
        <f t="shared" si="6"/>
        <v>80</v>
      </c>
      <c r="GI104" s="4">
        <f t="shared" si="6"/>
        <v>74</v>
      </c>
      <c r="GJ104" s="4">
        <f t="shared" si="6"/>
        <v>94</v>
      </c>
      <c r="GK104" s="4">
        <f t="shared" si="6"/>
        <v>96</v>
      </c>
      <c r="GL104" s="4">
        <f t="shared" si="6"/>
        <v>99</v>
      </c>
      <c r="GM104" s="4">
        <f t="shared" si="6"/>
        <v>96</v>
      </c>
      <c r="GN104" s="12">
        <f t="shared" si="6"/>
        <v>4</v>
      </c>
      <c r="GO104" s="4">
        <f t="shared" si="6"/>
        <v>99</v>
      </c>
      <c r="GP104" s="4">
        <f t="shared" si="6"/>
        <v>92</v>
      </c>
      <c r="GQ104" s="4">
        <f t="shared" si="6"/>
        <v>98</v>
      </c>
      <c r="GR104" s="13">
        <f t="shared" si="6"/>
        <v>11</v>
      </c>
      <c r="GS104" s="4">
        <f t="shared" si="6"/>
        <v>93</v>
      </c>
      <c r="GT104" s="4">
        <f t="shared" si="6"/>
        <v>95</v>
      </c>
      <c r="GU104" s="4">
        <f t="shared" si="6"/>
        <v>95</v>
      </c>
      <c r="GV104" s="4">
        <f t="shared" si="6"/>
        <v>70</v>
      </c>
      <c r="GW104" s="4">
        <f t="shared" ref="GW104:JN104" si="7">COUNTIF(GW2:GW101,0)</f>
        <v>96</v>
      </c>
      <c r="GX104" s="11">
        <f t="shared" si="7"/>
        <v>0</v>
      </c>
      <c r="GY104" s="4">
        <f t="shared" si="7"/>
        <v>98</v>
      </c>
      <c r="GZ104" s="4">
        <f t="shared" si="7"/>
        <v>65</v>
      </c>
      <c r="HA104" s="4">
        <f t="shared" si="7"/>
        <v>99</v>
      </c>
      <c r="HB104" s="4">
        <f t="shared" si="7"/>
        <v>90</v>
      </c>
      <c r="HC104" s="4">
        <f t="shared" si="7"/>
        <v>99</v>
      </c>
      <c r="HD104" s="4">
        <f t="shared" si="7"/>
        <v>98</v>
      </c>
      <c r="HE104" s="4">
        <f t="shared" si="7"/>
        <v>91</v>
      </c>
      <c r="HF104" s="4">
        <f t="shared" si="7"/>
        <v>81</v>
      </c>
      <c r="HG104" s="4">
        <f t="shared" si="7"/>
        <v>98</v>
      </c>
      <c r="HH104" s="4">
        <f t="shared" si="7"/>
        <v>99</v>
      </c>
      <c r="HI104" s="4">
        <f t="shared" si="7"/>
        <v>90</v>
      </c>
      <c r="HJ104" s="4">
        <f t="shared" si="7"/>
        <v>99</v>
      </c>
      <c r="HK104" s="4">
        <f t="shared" si="7"/>
        <v>93</v>
      </c>
      <c r="HL104" s="4">
        <f t="shared" si="7"/>
        <v>93</v>
      </c>
      <c r="HM104" s="4">
        <f t="shared" si="7"/>
        <v>97</v>
      </c>
      <c r="HN104" s="4">
        <f t="shared" si="7"/>
        <v>99</v>
      </c>
      <c r="HO104" s="4">
        <f t="shared" si="7"/>
        <v>95</v>
      </c>
      <c r="HP104" s="4">
        <f t="shared" si="7"/>
        <v>93</v>
      </c>
      <c r="HQ104" s="4">
        <f t="shared" si="7"/>
        <v>98</v>
      </c>
      <c r="HR104" s="4">
        <f t="shared" si="7"/>
        <v>92</v>
      </c>
      <c r="HS104" s="4">
        <f t="shared" si="7"/>
        <v>96</v>
      </c>
      <c r="HT104" s="4">
        <f t="shared" si="7"/>
        <v>97</v>
      </c>
      <c r="HU104" s="4">
        <f t="shared" si="7"/>
        <v>23</v>
      </c>
      <c r="HV104" s="4">
        <f t="shared" si="7"/>
        <v>48</v>
      </c>
      <c r="HW104" s="4">
        <f t="shared" si="7"/>
        <v>79</v>
      </c>
      <c r="HX104" s="4">
        <f t="shared" si="7"/>
        <v>99</v>
      </c>
      <c r="HY104" s="4">
        <f t="shared" si="7"/>
        <v>84</v>
      </c>
      <c r="HZ104" s="4">
        <f t="shared" si="7"/>
        <v>97</v>
      </c>
      <c r="IA104" s="4">
        <f t="shared" si="7"/>
        <v>99</v>
      </c>
      <c r="IB104" s="4">
        <f t="shared" si="7"/>
        <v>99</v>
      </c>
      <c r="IC104" s="4">
        <f t="shared" si="7"/>
        <v>68</v>
      </c>
      <c r="ID104" s="4">
        <f t="shared" si="7"/>
        <v>95</v>
      </c>
      <c r="IE104" s="4">
        <f t="shared" si="7"/>
        <v>99</v>
      </c>
      <c r="IF104" s="4">
        <f t="shared" si="7"/>
        <v>91</v>
      </c>
      <c r="IG104" s="4">
        <f t="shared" si="7"/>
        <v>99</v>
      </c>
      <c r="IH104" s="4">
        <f t="shared" si="7"/>
        <v>82</v>
      </c>
      <c r="II104" s="4">
        <f t="shared" si="7"/>
        <v>99</v>
      </c>
      <c r="IJ104" s="4">
        <f t="shared" si="7"/>
        <v>92</v>
      </c>
      <c r="IK104" s="4">
        <f t="shared" si="7"/>
        <v>89</v>
      </c>
      <c r="IL104" s="4">
        <f t="shared" si="7"/>
        <v>98</v>
      </c>
      <c r="IM104" s="4">
        <f t="shared" si="7"/>
        <v>71</v>
      </c>
      <c r="IN104" s="4">
        <f t="shared" si="7"/>
        <v>98</v>
      </c>
      <c r="IO104" s="4">
        <f t="shared" si="7"/>
        <v>99</v>
      </c>
      <c r="IP104" s="4">
        <f t="shared" si="7"/>
        <v>70</v>
      </c>
      <c r="IQ104" s="4">
        <f t="shared" si="7"/>
        <v>46</v>
      </c>
      <c r="IR104" s="4">
        <f t="shared" si="7"/>
        <v>99</v>
      </c>
      <c r="IS104" s="4">
        <f t="shared" si="7"/>
        <v>89</v>
      </c>
      <c r="IT104" s="4">
        <f t="shared" si="7"/>
        <v>99</v>
      </c>
      <c r="IU104" s="4">
        <f t="shared" si="7"/>
        <v>97</v>
      </c>
      <c r="IV104" s="4">
        <f t="shared" si="7"/>
        <v>99</v>
      </c>
      <c r="IW104" s="4">
        <f t="shared" si="7"/>
        <v>99</v>
      </c>
      <c r="IX104" s="11">
        <f t="shared" si="7"/>
        <v>0</v>
      </c>
      <c r="IY104" s="4">
        <f t="shared" si="7"/>
        <v>96</v>
      </c>
      <c r="IZ104" s="4">
        <f t="shared" si="7"/>
        <v>99</v>
      </c>
      <c r="JA104" s="4">
        <f t="shared" si="7"/>
        <v>98</v>
      </c>
      <c r="JB104" s="4">
        <f t="shared" si="7"/>
        <v>82</v>
      </c>
      <c r="JC104" s="4">
        <f t="shared" si="7"/>
        <v>95</v>
      </c>
      <c r="JD104" s="4">
        <f t="shared" si="7"/>
        <v>96</v>
      </c>
      <c r="JE104" s="4">
        <f t="shared" si="7"/>
        <v>99</v>
      </c>
      <c r="JF104" s="4">
        <f t="shared" si="7"/>
        <v>97</v>
      </c>
      <c r="JG104" s="4">
        <f t="shared" si="7"/>
        <v>99</v>
      </c>
      <c r="JH104" s="4">
        <f t="shared" si="7"/>
        <v>98</v>
      </c>
      <c r="JI104" s="4">
        <f t="shared" si="7"/>
        <v>26</v>
      </c>
      <c r="JJ104" s="4">
        <f t="shared" si="7"/>
        <v>66</v>
      </c>
      <c r="JK104" s="4">
        <f t="shared" si="7"/>
        <v>99</v>
      </c>
      <c r="JL104" s="4">
        <f t="shared" si="7"/>
        <v>78</v>
      </c>
      <c r="JM104" s="4">
        <f t="shared" si="7"/>
        <v>99</v>
      </c>
      <c r="JN104" s="4">
        <f t="shared" si="7"/>
        <v>95</v>
      </c>
      <c r="JO104" s="4">
        <f t="shared" ref="JO104:MF104" si="8">COUNTIF(JO2:JO101,0)</f>
        <v>99</v>
      </c>
      <c r="JP104" s="4">
        <f t="shared" si="8"/>
        <v>97</v>
      </c>
      <c r="JQ104" s="4">
        <f t="shared" si="8"/>
        <v>90</v>
      </c>
      <c r="JR104" s="4">
        <f t="shared" si="8"/>
        <v>99</v>
      </c>
      <c r="JS104" s="4">
        <f t="shared" si="8"/>
        <v>84</v>
      </c>
      <c r="JT104" s="4">
        <f t="shared" si="8"/>
        <v>98</v>
      </c>
      <c r="JU104" s="4">
        <f t="shared" si="8"/>
        <v>62</v>
      </c>
      <c r="JV104" s="4">
        <f t="shared" si="8"/>
        <v>96</v>
      </c>
      <c r="JW104" s="4">
        <f t="shared" si="8"/>
        <v>37</v>
      </c>
      <c r="JX104" s="4">
        <f t="shared" si="8"/>
        <v>88</v>
      </c>
      <c r="JY104" s="4">
        <f t="shared" si="8"/>
        <v>92</v>
      </c>
      <c r="JZ104" s="4">
        <f t="shared" si="8"/>
        <v>96</v>
      </c>
      <c r="KA104" s="4">
        <f t="shared" si="8"/>
        <v>99</v>
      </c>
      <c r="KB104" s="4">
        <f t="shared" si="8"/>
        <v>99</v>
      </c>
      <c r="KC104" s="4">
        <f t="shared" si="8"/>
        <v>99</v>
      </c>
      <c r="KD104" s="4">
        <f t="shared" si="8"/>
        <v>94</v>
      </c>
      <c r="KE104" s="4">
        <f t="shared" si="8"/>
        <v>99</v>
      </c>
      <c r="KF104" s="4">
        <f t="shared" si="8"/>
        <v>98</v>
      </c>
      <c r="KG104" s="4">
        <f t="shared" si="8"/>
        <v>99</v>
      </c>
      <c r="KH104" s="4">
        <f t="shared" si="8"/>
        <v>89</v>
      </c>
      <c r="KI104" s="11">
        <f t="shared" si="8"/>
        <v>0</v>
      </c>
      <c r="KJ104" s="4">
        <f t="shared" si="8"/>
        <v>97</v>
      </c>
      <c r="KK104" s="4">
        <f t="shared" si="8"/>
        <v>83</v>
      </c>
      <c r="KL104" s="4">
        <f t="shared" si="8"/>
        <v>87</v>
      </c>
      <c r="KM104" s="4">
        <f t="shared" si="8"/>
        <v>30</v>
      </c>
      <c r="KN104" s="4">
        <f t="shared" si="8"/>
        <v>89</v>
      </c>
      <c r="KO104" s="4">
        <f t="shared" si="8"/>
        <v>99</v>
      </c>
      <c r="KP104" s="4">
        <f t="shared" si="8"/>
        <v>98</v>
      </c>
      <c r="KQ104" s="4">
        <f t="shared" si="8"/>
        <v>43</v>
      </c>
      <c r="KR104" s="4">
        <f t="shared" si="8"/>
        <v>94</v>
      </c>
      <c r="KS104" s="4">
        <f t="shared" si="8"/>
        <v>99</v>
      </c>
      <c r="KT104" s="4">
        <f t="shared" si="8"/>
        <v>81</v>
      </c>
      <c r="KU104" s="4">
        <f t="shared" si="8"/>
        <v>93</v>
      </c>
      <c r="KV104" s="4">
        <f t="shared" si="8"/>
        <v>99</v>
      </c>
      <c r="KW104" s="4">
        <f t="shared" si="8"/>
        <v>98</v>
      </c>
      <c r="KX104" s="4">
        <f t="shared" si="8"/>
        <v>63</v>
      </c>
      <c r="KY104" s="4">
        <f t="shared" si="8"/>
        <v>99</v>
      </c>
      <c r="KZ104" s="4">
        <f t="shared" si="8"/>
        <v>99</v>
      </c>
      <c r="LA104" s="4">
        <f t="shared" si="8"/>
        <v>95</v>
      </c>
      <c r="LB104" s="4">
        <f t="shared" si="8"/>
        <v>97</v>
      </c>
      <c r="LC104" s="4">
        <f t="shared" si="8"/>
        <v>98</v>
      </c>
      <c r="LD104" s="4">
        <f t="shared" si="8"/>
        <v>96</v>
      </c>
      <c r="LE104" s="4">
        <f t="shared" si="8"/>
        <v>97</v>
      </c>
      <c r="LF104" s="4">
        <f t="shared" si="8"/>
        <v>98</v>
      </c>
      <c r="LG104" s="4">
        <f t="shared" si="8"/>
        <v>91</v>
      </c>
      <c r="LH104" s="4">
        <f t="shared" si="8"/>
        <v>99</v>
      </c>
      <c r="LI104" s="11">
        <f t="shared" si="8"/>
        <v>0</v>
      </c>
      <c r="LJ104" s="12">
        <f t="shared" si="8"/>
        <v>3</v>
      </c>
      <c r="LK104" s="4">
        <f t="shared" si="8"/>
        <v>92</v>
      </c>
      <c r="LL104" s="4">
        <f t="shared" si="8"/>
        <v>96</v>
      </c>
      <c r="LM104" s="4">
        <f t="shared" si="8"/>
        <v>99</v>
      </c>
      <c r="LN104" s="4">
        <f t="shared" si="8"/>
        <v>98</v>
      </c>
      <c r="LO104" s="4">
        <f t="shared" si="8"/>
        <v>97</v>
      </c>
      <c r="LP104" s="4">
        <f t="shared" si="8"/>
        <v>99</v>
      </c>
      <c r="LQ104" s="4">
        <f t="shared" si="8"/>
        <v>59</v>
      </c>
      <c r="LR104" s="11">
        <f t="shared" si="8"/>
        <v>0</v>
      </c>
      <c r="LS104" s="4">
        <f t="shared" si="8"/>
        <v>96</v>
      </c>
      <c r="LT104" s="4">
        <f t="shared" si="8"/>
        <v>97</v>
      </c>
      <c r="LU104" s="11">
        <f t="shared" si="8"/>
        <v>0</v>
      </c>
      <c r="LV104" s="4">
        <f t="shared" si="8"/>
        <v>96</v>
      </c>
      <c r="LW104" s="4">
        <f t="shared" si="8"/>
        <v>98</v>
      </c>
      <c r="LX104" s="4">
        <f t="shared" si="8"/>
        <v>56</v>
      </c>
      <c r="LY104" s="4">
        <f t="shared" si="8"/>
        <v>91</v>
      </c>
      <c r="LZ104" s="4">
        <f t="shared" si="8"/>
        <v>98</v>
      </c>
      <c r="MA104" s="4">
        <f t="shared" si="8"/>
        <v>84</v>
      </c>
      <c r="MB104" s="4">
        <f t="shared" si="8"/>
        <v>95</v>
      </c>
      <c r="MC104" s="4">
        <f t="shared" si="8"/>
        <v>87</v>
      </c>
      <c r="MD104" s="4">
        <f t="shared" si="8"/>
        <v>99</v>
      </c>
      <c r="ME104" s="4">
        <f t="shared" si="8"/>
        <v>52</v>
      </c>
      <c r="MF104" s="4">
        <f t="shared" si="8"/>
        <v>99</v>
      </c>
      <c r="MG104" s="4">
        <f t="shared" ref="MG104:OQ104" si="9">COUNTIF(MG2:MG101,0)</f>
        <v>55</v>
      </c>
      <c r="MH104" s="4">
        <f t="shared" si="9"/>
        <v>93</v>
      </c>
      <c r="MI104" s="4">
        <f t="shared" si="9"/>
        <v>99</v>
      </c>
      <c r="MJ104" s="4">
        <f t="shared" si="9"/>
        <v>98</v>
      </c>
      <c r="MK104" s="4">
        <f t="shared" si="9"/>
        <v>98</v>
      </c>
      <c r="ML104" s="4">
        <f t="shared" si="9"/>
        <v>63</v>
      </c>
      <c r="MM104" s="4">
        <f t="shared" si="9"/>
        <v>96</v>
      </c>
      <c r="MN104" s="12">
        <f t="shared" si="9"/>
        <v>7</v>
      </c>
      <c r="MO104" s="4">
        <f t="shared" si="9"/>
        <v>87</v>
      </c>
      <c r="MP104" s="4">
        <f t="shared" si="9"/>
        <v>99</v>
      </c>
      <c r="MQ104" s="4">
        <f t="shared" si="9"/>
        <v>100</v>
      </c>
      <c r="MR104" s="4">
        <f t="shared" si="9"/>
        <v>85</v>
      </c>
      <c r="MS104" s="4">
        <f t="shared" si="9"/>
        <v>97</v>
      </c>
      <c r="MT104" s="4">
        <f t="shared" si="9"/>
        <v>99</v>
      </c>
      <c r="MU104" s="13">
        <f t="shared" si="9"/>
        <v>18</v>
      </c>
      <c r="MV104" s="4">
        <f t="shared" si="9"/>
        <v>99</v>
      </c>
      <c r="MW104" s="4">
        <f t="shared" si="9"/>
        <v>95</v>
      </c>
      <c r="MX104" s="4">
        <f t="shared" si="9"/>
        <v>84</v>
      </c>
      <c r="MY104" s="4">
        <f t="shared" si="9"/>
        <v>92</v>
      </c>
      <c r="MZ104" s="4">
        <f t="shared" si="9"/>
        <v>98</v>
      </c>
      <c r="NA104" s="4">
        <f t="shared" si="9"/>
        <v>99</v>
      </c>
      <c r="NB104" s="4">
        <f t="shared" si="9"/>
        <v>99</v>
      </c>
      <c r="NC104" s="4">
        <f t="shared" si="9"/>
        <v>99</v>
      </c>
      <c r="ND104" s="4">
        <f t="shared" si="9"/>
        <v>99</v>
      </c>
      <c r="NE104" s="11">
        <f t="shared" si="9"/>
        <v>0</v>
      </c>
      <c r="NF104" s="4">
        <f t="shared" si="9"/>
        <v>98</v>
      </c>
      <c r="NG104" s="4">
        <f t="shared" si="9"/>
        <v>99</v>
      </c>
      <c r="NH104" s="4">
        <f t="shared" si="9"/>
        <v>95</v>
      </c>
      <c r="NI104" s="4">
        <f t="shared" si="9"/>
        <v>98</v>
      </c>
      <c r="NJ104" s="4">
        <f t="shared" si="9"/>
        <v>99</v>
      </c>
      <c r="NK104" s="4">
        <f t="shared" si="9"/>
        <v>97</v>
      </c>
      <c r="NL104" s="4">
        <f t="shared" si="9"/>
        <v>99</v>
      </c>
      <c r="NM104" s="4">
        <f t="shared" si="9"/>
        <v>95</v>
      </c>
      <c r="NN104" s="11">
        <f t="shared" si="9"/>
        <v>0</v>
      </c>
      <c r="NO104" s="4">
        <f t="shared" si="9"/>
        <v>51</v>
      </c>
      <c r="NP104" s="4">
        <f t="shared" si="9"/>
        <v>92</v>
      </c>
      <c r="NQ104" s="4">
        <f t="shared" si="9"/>
        <v>94</v>
      </c>
      <c r="NR104" s="4">
        <f t="shared" si="9"/>
        <v>57</v>
      </c>
      <c r="NS104" s="4">
        <f t="shared" si="9"/>
        <v>99</v>
      </c>
      <c r="NT104" s="4">
        <f t="shared" si="9"/>
        <v>98</v>
      </c>
      <c r="NU104" s="4">
        <f t="shared" si="9"/>
        <v>99</v>
      </c>
      <c r="NV104" s="4">
        <f t="shared" si="9"/>
        <v>99</v>
      </c>
      <c r="NW104" s="4">
        <f t="shared" si="9"/>
        <v>98</v>
      </c>
      <c r="NX104" s="4">
        <f t="shared" si="9"/>
        <v>75</v>
      </c>
      <c r="NY104" s="4">
        <f t="shared" si="9"/>
        <v>99</v>
      </c>
      <c r="NZ104" s="4">
        <f t="shared" si="9"/>
        <v>93</v>
      </c>
      <c r="OA104" s="4">
        <f t="shared" si="9"/>
        <v>97</v>
      </c>
      <c r="OB104" s="4">
        <f t="shared" si="9"/>
        <v>87</v>
      </c>
      <c r="OC104" s="4">
        <f t="shared" si="9"/>
        <v>73</v>
      </c>
      <c r="OD104" s="4">
        <f t="shared" si="9"/>
        <v>98</v>
      </c>
      <c r="OE104" s="4">
        <f t="shared" si="9"/>
        <v>96</v>
      </c>
      <c r="OF104" s="4">
        <f t="shared" si="9"/>
        <v>99</v>
      </c>
      <c r="OG104" s="4">
        <f t="shared" si="9"/>
        <v>87</v>
      </c>
      <c r="OH104" s="4">
        <f t="shared" si="9"/>
        <v>99</v>
      </c>
      <c r="OI104" s="4">
        <f t="shared" si="9"/>
        <v>82</v>
      </c>
      <c r="OJ104" s="4">
        <f t="shared" si="9"/>
        <v>99</v>
      </c>
      <c r="OK104" s="4">
        <f t="shared" si="9"/>
        <v>63</v>
      </c>
      <c r="OL104" s="12">
        <f t="shared" si="9"/>
        <v>10</v>
      </c>
      <c r="OM104" s="4">
        <f t="shared" si="9"/>
        <v>98</v>
      </c>
      <c r="ON104" s="4">
        <f t="shared" si="9"/>
        <v>59</v>
      </c>
      <c r="OO104" s="4">
        <f t="shared" si="9"/>
        <v>98</v>
      </c>
      <c r="OP104" s="4">
        <f t="shared" si="9"/>
        <v>97</v>
      </c>
      <c r="OQ104" s="4">
        <f t="shared" si="9"/>
        <v>46</v>
      </c>
      <c r="OS104" s="4"/>
    </row>
    <row r="105" spans="1:410" s="1" customFormat="1" x14ac:dyDescent="0.3">
      <c r="A105" s="8" t="s">
        <v>551</v>
      </c>
      <c r="B105" s="1">
        <f t="shared" ref="B105:BM105" si="10">((100-B104)/100)*100</f>
        <v>39</v>
      </c>
      <c r="C105" s="1">
        <f t="shared" si="10"/>
        <v>2</v>
      </c>
      <c r="D105" s="1">
        <f t="shared" si="10"/>
        <v>1</v>
      </c>
      <c r="E105" s="1">
        <f t="shared" si="10"/>
        <v>20</v>
      </c>
      <c r="F105" s="11">
        <f t="shared" si="10"/>
        <v>100</v>
      </c>
      <c r="G105" s="11">
        <f t="shared" si="10"/>
        <v>100</v>
      </c>
      <c r="H105" s="1">
        <f t="shared" si="10"/>
        <v>47</v>
      </c>
      <c r="I105" s="1">
        <f t="shared" si="10"/>
        <v>31</v>
      </c>
      <c r="J105" s="1">
        <f t="shared" si="10"/>
        <v>12</v>
      </c>
      <c r="K105" s="1">
        <f t="shared" si="10"/>
        <v>1</v>
      </c>
      <c r="L105" s="1">
        <f t="shared" si="10"/>
        <v>77</v>
      </c>
      <c r="M105" s="1">
        <f t="shared" si="10"/>
        <v>26</v>
      </c>
      <c r="N105" s="1">
        <f t="shared" si="10"/>
        <v>28.999999999999996</v>
      </c>
      <c r="O105" s="1">
        <f t="shared" si="10"/>
        <v>6</v>
      </c>
      <c r="P105" s="1">
        <f t="shared" si="10"/>
        <v>47</v>
      </c>
      <c r="Q105" s="12">
        <f t="shared" si="10"/>
        <v>97</v>
      </c>
      <c r="R105" s="1">
        <f t="shared" si="10"/>
        <v>74</v>
      </c>
      <c r="S105" s="1">
        <f t="shared" si="10"/>
        <v>9</v>
      </c>
      <c r="T105" s="1">
        <f t="shared" si="10"/>
        <v>6</v>
      </c>
      <c r="U105" s="1">
        <f t="shared" si="10"/>
        <v>1</v>
      </c>
      <c r="V105" s="12">
        <f t="shared" si="10"/>
        <v>96</v>
      </c>
      <c r="W105" s="1">
        <f t="shared" si="10"/>
        <v>4</v>
      </c>
      <c r="X105" s="1">
        <f t="shared" si="10"/>
        <v>47</v>
      </c>
      <c r="Y105" s="1">
        <f t="shared" si="10"/>
        <v>4</v>
      </c>
      <c r="Z105" s="1">
        <f t="shared" si="10"/>
        <v>16</v>
      </c>
      <c r="AA105" s="11">
        <f t="shared" si="10"/>
        <v>100</v>
      </c>
      <c r="AB105" s="1">
        <f t="shared" si="10"/>
        <v>67</v>
      </c>
      <c r="AC105" s="1">
        <f t="shared" si="10"/>
        <v>15</v>
      </c>
      <c r="AD105" s="11">
        <f t="shared" si="10"/>
        <v>100</v>
      </c>
      <c r="AE105" s="1">
        <f t="shared" si="10"/>
        <v>41</v>
      </c>
      <c r="AF105" s="1">
        <f t="shared" si="10"/>
        <v>25</v>
      </c>
      <c r="AG105" s="1">
        <f t="shared" si="10"/>
        <v>32</v>
      </c>
      <c r="AH105" s="1">
        <f t="shared" si="10"/>
        <v>18</v>
      </c>
      <c r="AI105" s="1">
        <f t="shared" si="10"/>
        <v>82</v>
      </c>
      <c r="AJ105" s="12">
        <f t="shared" si="10"/>
        <v>94</v>
      </c>
      <c r="AK105" s="13">
        <f t="shared" si="10"/>
        <v>83</v>
      </c>
      <c r="AL105" s="1">
        <f t="shared" si="10"/>
        <v>2</v>
      </c>
      <c r="AM105" s="1">
        <f t="shared" si="10"/>
        <v>23</v>
      </c>
      <c r="AN105" s="1">
        <f t="shared" si="10"/>
        <v>73</v>
      </c>
      <c r="AO105" s="1">
        <f t="shared" si="10"/>
        <v>65</v>
      </c>
      <c r="AP105" s="1">
        <f t="shared" si="10"/>
        <v>25</v>
      </c>
      <c r="AQ105" s="1">
        <f t="shared" si="10"/>
        <v>69</v>
      </c>
      <c r="AR105" s="1">
        <f t="shared" si="10"/>
        <v>14.000000000000002</v>
      </c>
      <c r="AS105" s="1">
        <f t="shared" si="10"/>
        <v>11</v>
      </c>
      <c r="AT105" s="1">
        <f t="shared" si="10"/>
        <v>8</v>
      </c>
      <c r="AU105" s="11">
        <f t="shared" si="10"/>
        <v>100</v>
      </c>
      <c r="AV105" s="1">
        <f t="shared" si="10"/>
        <v>9</v>
      </c>
      <c r="AW105" s="1">
        <f t="shared" si="10"/>
        <v>8</v>
      </c>
      <c r="AX105" s="1">
        <f t="shared" si="10"/>
        <v>2</v>
      </c>
      <c r="AY105" s="12">
        <f t="shared" si="10"/>
        <v>90</v>
      </c>
      <c r="AZ105" s="1">
        <f t="shared" si="10"/>
        <v>4</v>
      </c>
      <c r="BA105" s="1">
        <f t="shared" si="10"/>
        <v>3</v>
      </c>
      <c r="BB105" s="1">
        <f t="shared" si="10"/>
        <v>5</v>
      </c>
      <c r="BC105" s="1">
        <f t="shared" si="10"/>
        <v>10</v>
      </c>
      <c r="BD105" s="1">
        <f t="shared" si="10"/>
        <v>4</v>
      </c>
      <c r="BE105" s="1">
        <f t="shared" si="10"/>
        <v>4</v>
      </c>
      <c r="BF105" s="1">
        <f t="shared" si="10"/>
        <v>17</v>
      </c>
      <c r="BG105" s="1">
        <f t="shared" si="10"/>
        <v>20</v>
      </c>
      <c r="BH105" s="1">
        <f t="shared" si="10"/>
        <v>3</v>
      </c>
      <c r="BI105" s="1">
        <f t="shared" si="10"/>
        <v>1</v>
      </c>
      <c r="BJ105" s="1">
        <f t="shared" si="10"/>
        <v>3</v>
      </c>
      <c r="BK105" s="1">
        <f t="shared" si="10"/>
        <v>1</v>
      </c>
      <c r="BL105" s="1">
        <f t="shared" si="10"/>
        <v>15</v>
      </c>
      <c r="BM105" s="1">
        <f t="shared" si="10"/>
        <v>1</v>
      </c>
      <c r="BN105" s="1">
        <f t="shared" ref="BN105:ED105" si="11">((100-BN104)/100)*100</f>
        <v>15</v>
      </c>
      <c r="BO105" s="1">
        <f t="shared" si="11"/>
        <v>11</v>
      </c>
      <c r="BP105" s="1">
        <f t="shared" si="11"/>
        <v>5</v>
      </c>
      <c r="BQ105" s="1">
        <f t="shared" si="11"/>
        <v>1</v>
      </c>
      <c r="BR105" s="1">
        <f t="shared" si="11"/>
        <v>2</v>
      </c>
      <c r="BS105" s="11">
        <f t="shared" si="11"/>
        <v>100</v>
      </c>
      <c r="BT105" s="1">
        <f t="shared" si="11"/>
        <v>2</v>
      </c>
      <c r="BU105" s="1">
        <f t="shared" si="11"/>
        <v>1</v>
      </c>
      <c r="BV105" s="1">
        <f t="shared" si="11"/>
        <v>1</v>
      </c>
      <c r="BW105" s="1">
        <f t="shared" si="11"/>
        <v>1</v>
      </c>
      <c r="BX105" s="1">
        <f t="shared" si="11"/>
        <v>2</v>
      </c>
      <c r="BY105" s="1">
        <f t="shared" si="11"/>
        <v>39</v>
      </c>
      <c r="BZ105" s="1">
        <f t="shared" si="11"/>
        <v>2</v>
      </c>
      <c r="CA105" s="1">
        <f t="shared" si="11"/>
        <v>1</v>
      </c>
      <c r="CB105" s="1">
        <f t="shared" si="11"/>
        <v>5</v>
      </c>
      <c r="CC105" s="1">
        <f t="shared" si="11"/>
        <v>36</v>
      </c>
      <c r="CD105" s="1">
        <f t="shared" si="11"/>
        <v>1</v>
      </c>
      <c r="CE105" s="1">
        <f t="shared" si="11"/>
        <v>3</v>
      </c>
      <c r="CF105" s="1">
        <f t="shared" si="11"/>
        <v>26</v>
      </c>
      <c r="CG105" s="1">
        <f t="shared" si="11"/>
        <v>1</v>
      </c>
      <c r="CH105" s="1">
        <f t="shared" si="11"/>
        <v>1</v>
      </c>
      <c r="CI105" s="1">
        <f t="shared" si="11"/>
        <v>4</v>
      </c>
      <c r="CJ105" s="1">
        <f t="shared" si="11"/>
        <v>8</v>
      </c>
      <c r="CK105" s="1">
        <f t="shared" si="11"/>
        <v>8</v>
      </c>
      <c r="CL105" s="1">
        <f t="shared" si="11"/>
        <v>1</v>
      </c>
      <c r="CM105" s="1">
        <f t="shared" si="11"/>
        <v>36</v>
      </c>
      <c r="CN105" s="1">
        <f t="shared" si="11"/>
        <v>4</v>
      </c>
      <c r="CO105" s="1">
        <f t="shared" si="11"/>
        <v>3</v>
      </c>
      <c r="CP105" s="1">
        <f t="shared" si="11"/>
        <v>7.0000000000000009</v>
      </c>
      <c r="CQ105" s="1">
        <f t="shared" si="11"/>
        <v>7.0000000000000009</v>
      </c>
      <c r="CR105" s="1">
        <f t="shared" si="11"/>
        <v>2</v>
      </c>
      <c r="CS105" s="1">
        <f t="shared" si="11"/>
        <v>2</v>
      </c>
      <c r="CT105" s="1">
        <f t="shared" si="11"/>
        <v>1</v>
      </c>
      <c r="CU105" s="1">
        <f t="shared" si="11"/>
        <v>9</v>
      </c>
      <c r="CV105" s="1">
        <f t="shared" si="11"/>
        <v>3</v>
      </c>
      <c r="CW105" s="1">
        <f t="shared" si="11"/>
        <v>2</v>
      </c>
      <c r="CX105" s="1">
        <f t="shared" si="11"/>
        <v>1</v>
      </c>
      <c r="CY105" s="1">
        <f t="shared" si="11"/>
        <v>3</v>
      </c>
      <c r="CZ105" s="1">
        <f t="shared" si="11"/>
        <v>2</v>
      </c>
      <c r="DA105" s="1">
        <f t="shared" si="11"/>
        <v>4</v>
      </c>
      <c r="DB105" s="1">
        <f t="shared" si="11"/>
        <v>4</v>
      </c>
      <c r="DC105" s="1">
        <f t="shared" si="11"/>
        <v>14.000000000000002</v>
      </c>
      <c r="DD105" s="1">
        <f t="shared" si="11"/>
        <v>3</v>
      </c>
      <c r="DE105" s="1">
        <f t="shared" si="11"/>
        <v>2</v>
      </c>
      <c r="DF105" s="1">
        <f t="shared" si="11"/>
        <v>6</v>
      </c>
      <c r="DG105" s="1">
        <f t="shared" si="11"/>
        <v>1</v>
      </c>
      <c r="DH105" s="1">
        <f t="shared" si="11"/>
        <v>77</v>
      </c>
      <c r="DI105" s="1">
        <f t="shared" si="11"/>
        <v>6</v>
      </c>
      <c r="DJ105" s="1">
        <f t="shared" si="11"/>
        <v>2</v>
      </c>
      <c r="DK105" s="1">
        <f t="shared" si="11"/>
        <v>5</v>
      </c>
      <c r="DL105" s="1">
        <f t="shared" si="11"/>
        <v>5</v>
      </c>
      <c r="DM105" s="1">
        <f t="shared" si="11"/>
        <v>2</v>
      </c>
      <c r="DN105" s="1">
        <f t="shared" si="11"/>
        <v>1</v>
      </c>
      <c r="DO105" s="1">
        <f t="shared" si="11"/>
        <v>1</v>
      </c>
      <c r="DP105" s="1">
        <f t="shared" si="11"/>
        <v>1</v>
      </c>
      <c r="DQ105" s="1">
        <f t="shared" si="11"/>
        <v>6</v>
      </c>
      <c r="DR105" s="1">
        <f t="shared" si="11"/>
        <v>74</v>
      </c>
      <c r="DS105" s="1">
        <f t="shared" si="11"/>
        <v>2</v>
      </c>
      <c r="DT105" s="1">
        <f t="shared" si="11"/>
        <v>2</v>
      </c>
      <c r="DU105" s="1">
        <f t="shared" si="11"/>
        <v>3</v>
      </c>
      <c r="DV105" s="1">
        <f t="shared" si="11"/>
        <v>2</v>
      </c>
      <c r="DW105" s="1">
        <f t="shared" si="11"/>
        <v>1</v>
      </c>
      <c r="DX105" s="1">
        <f t="shared" si="11"/>
        <v>1</v>
      </c>
      <c r="DY105" s="1">
        <f t="shared" si="11"/>
        <v>1</v>
      </c>
      <c r="DZ105" s="1">
        <f t="shared" si="11"/>
        <v>1</v>
      </c>
      <c r="EA105" s="1">
        <f t="shared" si="11"/>
        <v>4</v>
      </c>
      <c r="EB105" s="1">
        <f t="shared" si="11"/>
        <v>14.000000000000002</v>
      </c>
      <c r="EC105" s="1">
        <f t="shared" si="11"/>
        <v>2</v>
      </c>
      <c r="ED105" s="1">
        <f t="shared" si="11"/>
        <v>18</v>
      </c>
      <c r="EE105" s="1">
        <f t="shared" ref="EE105:GU105" si="12">((100-EE104)/100)*100</f>
        <v>7.0000000000000009</v>
      </c>
      <c r="EF105" s="1">
        <f t="shared" si="12"/>
        <v>4</v>
      </c>
      <c r="EG105" s="1">
        <f t="shared" si="12"/>
        <v>2</v>
      </c>
      <c r="EH105" s="1">
        <f t="shared" si="12"/>
        <v>37</v>
      </c>
      <c r="EI105" s="1">
        <f t="shared" si="12"/>
        <v>1</v>
      </c>
      <c r="EJ105" s="1">
        <f t="shared" si="12"/>
        <v>2</v>
      </c>
      <c r="EK105" s="1">
        <f t="shared" si="12"/>
        <v>3</v>
      </c>
      <c r="EL105" s="1">
        <f t="shared" si="12"/>
        <v>1</v>
      </c>
      <c r="EM105" s="1">
        <f t="shared" si="12"/>
        <v>3</v>
      </c>
      <c r="EN105" s="1">
        <f t="shared" si="12"/>
        <v>2</v>
      </c>
      <c r="EO105" s="1">
        <f t="shared" si="12"/>
        <v>2</v>
      </c>
      <c r="EP105" s="1">
        <f t="shared" si="12"/>
        <v>2</v>
      </c>
      <c r="EQ105" s="1">
        <f t="shared" si="12"/>
        <v>2</v>
      </c>
      <c r="ER105" s="1">
        <f t="shared" si="12"/>
        <v>1</v>
      </c>
      <c r="ES105" s="1">
        <f t="shared" si="12"/>
        <v>1</v>
      </c>
      <c r="ET105" s="1">
        <f t="shared" si="12"/>
        <v>1</v>
      </c>
      <c r="EU105" s="1">
        <f t="shared" si="12"/>
        <v>1</v>
      </c>
      <c r="EV105" s="1">
        <f t="shared" si="12"/>
        <v>70</v>
      </c>
      <c r="EW105" s="1">
        <f t="shared" si="12"/>
        <v>3</v>
      </c>
      <c r="EX105" s="1">
        <f t="shared" si="12"/>
        <v>1</v>
      </c>
      <c r="EY105" s="1">
        <f t="shared" si="12"/>
        <v>6</v>
      </c>
      <c r="EZ105" s="1">
        <f t="shared" si="12"/>
        <v>18</v>
      </c>
      <c r="FA105" s="1">
        <f t="shared" si="12"/>
        <v>41</v>
      </c>
      <c r="FB105" s="1">
        <f t="shared" si="12"/>
        <v>2</v>
      </c>
      <c r="FC105" s="1">
        <f t="shared" si="12"/>
        <v>3</v>
      </c>
      <c r="FD105" s="1">
        <f t="shared" si="12"/>
        <v>3</v>
      </c>
      <c r="FE105" s="1">
        <f t="shared" si="12"/>
        <v>22</v>
      </c>
      <c r="FF105" s="1">
        <f t="shared" si="12"/>
        <v>13</v>
      </c>
      <c r="FG105" s="1">
        <f t="shared" si="12"/>
        <v>18</v>
      </c>
      <c r="FH105" s="13">
        <f t="shared" si="12"/>
        <v>87</v>
      </c>
      <c r="FI105" s="1">
        <f t="shared" si="12"/>
        <v>41</v>
      </c>
      <c r="FJ105" s="1">
        <f t="shared" si="12"/>
        <v>6</v>
      </c>
      <c r="FK105" s="1">
        <f t="shared" si="12"/>
        <v>2</v>
      </c>
      <c r="FL105" s="1">
        <f t="shared" si="12"/>
        <v>2</v>
      </c>
      <c r="FM105" s="1">
        <f t="shared" si="12"/>
        <v>1</v>
      </c>
      <c r="FN105" s="1">
        <f t="shared" si="12"/>
        <v>2</v>
      </c>
      <c r="FO105" s="1">
        <f t="shared" si="12"/>
        <v>12</v>
      </c>
      <c r="FP105" s="1">
        <f t="shared" si="12"/>
        <v>2</v>
      </c>
      <c r="FQ105" s="1">
        <f t="shared" si="12"/>
        <v>2</v>
      </c>
      <c r="FR105" s="1">
        <f t="shared" si="12"/>
        <v>1</v>
      </c>
      <c r="FS105" s="11">
        <f t="shared" si="12"/>
        <v>100</v>
      </c>
      <c r="FT105" s="1">
        <f t="shared" si="12"/>
        <v>1</v>
      </c>
      <c r="FU105" s="1">
        <f t="shared" si="12"/>
        <v>16</v>
      </c>
      <c r="FV105" s="1">
        <f t="shared" si="12"/>
        <v>70</v>
      </c>
      <c r="FW105" s="1">
        <f t="shared" si="12"/>
        <v>8</v>
      </c>
      <c r="FX105" s="1">
        <f t="shared" si="12"/>
        <v>2</v>
      </c>
      <c r="FY105" s="1">
        <f t="shared" si="12"/>
        <v>1</v>
      </c>
      <c r="FZ105" s="1">
        <f t="shared" si="12"/>
        <v>2</v>
      </c>
      <c r="GA105" s="1">
        <f t="shared" si="12"/>
        <v>1</v>
      </c>
      <c r="GB105" s="1">
        <f t="shared" si="12"/>
        <v>3</v>
      </c>
      <c r="GC105" s="1">
        <f t="shared" si="12"/>
        <v>8</v>
      </c>
      <c r="GD105" s="1">
        <f t="shared" si="12"/>
        <v>1</v>
      </c>
      <c r="GE105" s="1">
        <f t="shared" si="12"/>
        <v>12</v>
      </c>
      <c r="GF105" s="1">
        <f t="shared" si="12"/>
        <v>1</v>
      </c>
      <c r="GG105" s="1">
        <f t="shared" si="12"/>
        <v>6</v>
      </c>
      <c r="GH105" s="1">
        <f t="shared" si="12"/>
        <v>20</v>
      </c>
      <c r="GI105" s="1">
        <f t="shared" si="12"/>
        <v>26</v>
      </c>
      <c r="GJ105" s="1">
        <f t="shared" si="12"/>
        <v>6</v>
      </c>
      <c r="GK105" s="1">
        <f t="shared" si="12"/>
        <v>4</v>
      </c>
      <c r="GL105" s="1">
        <f t="shared" si="12"/>
        <v>1</v>
      </c>
      <c r="GM105" s="1">
        <f t="shared" si="12"/>
        <v>4</v>
      </c>
      <c r="GN105" s="12">
        <f t="shared" si="12"/>
        <v>96</v>
      </c>
      <c r="GO105" s="1">
        <f t="shared" si="12"/>
        <v>1</v>
      </c>
      <c r="GP105" s="1">
        <f t="shared" si="12"/>
        <v>8</v>
      </c>
      <c r="GQ105" s="1">
        <f t="shared" si="12"/>
        <v>2</v>
      </c>
      <c r="GR105" s="13">
        <f t="shared" si="12"/>
        <v>89</v>
      </c>
      <c r="GS105" s="1">
        <f t="shared" si="12"/>
        <v>7.0000000000000009</v>
      </c>
      <c r="GT105" s="1">
        <f t="shared" si="12"/>
        <v>5</v>
      </c>
      <c r="GU105" s="1">
        <f t="shared" si="12"/>
        <v>5</v>
      </c>
      <c r="GV105" s="1">
        <f t="shared" ref="GV105:JM105" si="13">((100-GV104)/100)*100</f>
        <v>30</v>
      </c>
      <c r="GW105" s="1">
        <f t="shared" si="13"/>
        <v>4</v>
      </c>
      <c r="GX105" s="11">
        <f t="shared" si="13"/>
        <v>100</v>
      </c>
      <c r="GY105" s="1">
        <f t="shared" si="13"/>
        <v>2</v>
      </c>
      <c r="GZ105" s="1">
        <f t="shared" si="13"/>
        <v>35</v>
      </c>
      <c r="HA105" s="1">
        <f t="shared" si="13"/>
        <v>1</v>
      </c>
      <c r="HB105" s="1">
        <f t="shared" si="13"/>
        <v>10</v>
      </c>
      <c r="HC105" s="1">
        <f t="shared" si="13"/>
        <v>1</v>
      </c>
      <c r="HD105" s="1">
        <f t="shared" si="13"/>
        <v>2</v>
      </c>
      <c r="HE105" s="1">
        <f t="shared" si="13"/>
        <v>9</v>
      </c>
      <c r="HF105" s="1">
        <f t="shared" si="13"/>
        <v>19</v>
      </c>
      <c r="HG105" s="1">
        <f t="shared" si="13"/>
        <v>2</v>
      </c>
      <c r="HH105" s="1">
        <f t="shared" si="13"/>
        <v>1</v>
      </c>
      <c r="HI105" s="1">
        <f t="shared" si="13"/>
        <v>10</v>
      </c>
      <c r="HJ105" s="1">
        <f t="shared" si="13"/>
        <v>1</v>
      </c>
      <c r="HK105" s="1">
        <f t="shared" si="13"/>
        <v>7.0000000000000009</v>
      </c>
      <c r="HL105" s="1">
        <f t="shared" si="13"/>
        <v>7.0000000000000009</v>
      </c>
      <c r="HM105" s="1">
        <f t="shared" si="13"/>
        <v>3</v>
      </c>
      <c r="HN105" s="1">
        <f t="shared" si="13"/>
        <v>1</v>
      </c>
      <c r="HO105" s="1">
        <f t="shared" si="13"/>
        <v>5</v>
      </c>
      <c r="HP105" s="1">
        <f t="shared" si="13"/>
        <v>7.0000000000000009</v>
      </c>
      <c r="HQ105" s="1">
        <f t="shared" si="13"/>
        <v>2</v>
      </c>
      <c r="HR105" s="1">
        <f t="shared" si="13"/>
        <v>8</v>
      </c>
      <c r="HS105" s="1">
        <f t="shared" si="13"/>
        <v>4</v>
      </c>
      <c r="HT105" s="1">
        <f t="shared" si="13"/>
        <v>3</v>
      </c>
      <c r="HU105" s="1">
        <f t="shared" si="13"/>
        <v>77</v>
      </c>
      <c r="HV105" s="1">
        <f t="shared" si="13"/>
        <v>52</v>
      </c>
      <c r="HW105" s="1">
        <f t="shared" si="13"/>
        <v>21</v>
      </c>
      <c r="HX105" s="1">
        <f t="shared" si="13"/>
        <v>1</v>
      </c>
      <c r="HY105" s="1">
        <f t="shared" si="13"/>
        <v>16</v>
      </c>
      <c r="HZ105" s="1">
        <f t="shared" si="13"/>
        <v>3</v>
      </c>
      <c r="IA105" s="1">
        <f t="shared" si="13"/>
        <v>1</v>
      </c>
      <c r="IB105" s="1">
        <f t="shared" si="13"/>
        <v>1</v>
      </c>
      <c r="IC105" s="1">
        <f t="shared" si="13"/>
        <v>32</v>
      </c>
      <c r="ID105" s="1">
        <f t="shared" si="13"/>
        <v>5</v>
      </c>
      <c r="IE105" s="1">
        <f t="shared" si="13"/>
        <v>1</v>
      </c>
      <c r="IF105" s="1">
        <f t="shared" si="13"/>
        <v>9</v>
      </c>
      <c r="IG105" s="1">
        <f t="shared" si="13"/>
        <v>1</v>
      </c>
      <c r="IH105" s="1">
        <f t="shared" si="13"/>
        <v>18</v>
      </c>
      <c r="II105" s="1">
        <f t="shared" si="13"/>
        <v>1</v>
      </c>
      <c r="IJ105" s="1">
        <f t="shared" si="13"/>
        <v>8</v>
      </c>
      <c r="IK105" s="1">
        <f t="shared" si="13"/>
        <v>11</v>
      </c>
      <c r="IL105" s="1">
        <f t="shared" si="13"/>
        <v>2</v>
      </c>
      <c r="IM105" s="1">
        <f t="shared" si="13"/>
        <v>28.999999999999996</v>
      </c>
      <c r="IN105" s="1">
        <f t="shared" si="13"/>
        <v>2</v>
      </c>
      <c r="IO105" s="1">
        <f t="shared" si="13"/>
        <v>1</v>
      </c>
      <c r="IP105" s="1">
        <f t="shared" si="13"/>
        <v>30</v>
      </c>
      <c r="IQ105" s="1">
        <f t="shared" si="13"/>
        <v>54</v>
      </c>
      <c r="IR105" s="1">
        <f t="shared" si="13"/>
        <v>1</v>
      </c>
      <c r="IS105" s="1">
        <f t="shared" si="13"/>
        <v>11</v>
      </c>
      <c r="IT105" s="1">
        <f t="shared" si="13"/>
        <v>1</v>
      </c>
      <c r="IU105" s="1">
        <f t="shared" si="13"/>
        <v>3</v>
      </c>
      <c r="IV105" s="1">
        <f t="shared" si="13"/>
        <v>1</v>
      </c>
      <c r="IW105" s="1">
        <f t="shared" si="13"/>
        <v>1</v>
      </c>
      <c r="IX105" s="11">
        <f t="shared" si="13"/>
        <v>100</v>
      </c>
      <c r="IY105" s="1">
        <f t="shared" si="13"/>
        <v>4</v>
      </c>
      <c r="IZ105" s="1">
        <f t="shared" si="13"/>
        <v>1</v>
      </c>
      <c r="JA105" s="1">
        <f t="shared" si="13"/>
        <v>2</v>
      </c>
      <c r="JB105" s="1">
        <f t="shared" si="13"/>
        <v>18</v>
      </c>
      <c r="JC105" s="1">
        <f t="shared" si="13"/>
        <v>5</v>
      </c>
      <c r="JD105" s="1">
        <f t="shared" si="13"/>
        <v>4</v>
      </c>
      <c r="JE105" s="1">
        <f t="shared" si="13"/>
        <v>1</v>
      </c>
      <c r="JF105" s="1">
        <f t="shared" si="13"/>
        <v>3</v>
      </c>
      <c r="JG105" s="1">
        <f t="shared" si="13"/>
        <v>1</v>
      </c>
      <c r="JH105" s="1">
        <f t="shared" si="13"/>
        <v>2</v>
      </c>
      <c r="JI105" s="1">
        <f t="shared" si="13"/>
        <v>74</v>
      </c>
      <c r="JJ105" s="1">
        <f t="shared" si="13"/>
        <v>34</v>
      </c>
      <c r="JK105" s="1">
        <f t="shared" si="13"/>
        <v>1</v>
      </c>
      <c r="JL105" s="1">
        <f t="shared" si="13"/>
        <v>22</v>
      </c>
      <c r="JM105" s="1">
        <f t="shared" si="13"/>
        <v>1</v>
      </c>
      <c r="JN105" s="1">
        <f t="shared" ref="JN105:ME105" si="14">((100-JN104)/100)*100</f>
        <v>5</v>
      </c>
      <c r="JO105" s="1">
        <f t="shared" si="14"/>
        <v>1</v>
      </c>
      <c r="JP105" s="1">
        <f t="shared" si="14"/>
        <v>3</v>
      </c>
      <c r="JQ105" s="1">
        <f t="shared" si="14"/>
        <v>10</v>
      </c>
      <c r="JR105" s="1">
        <f t="shared" si="14"/>
        <v>1</v>
      </c>
      <c r="JS105" s="1">
        <f t="shared" si="14"/>
        <v>16</v>
      </c>
      <c r="JT105" s="1">
        <f t="shared" si="14"/>
        <v>2</v>
      </c>
      <c r="JU105" s="1">
        <f t="shared" si="14"/>
        <v>38</v>
      </c>
      <c r="JV105" s="1">
        <f t="shared" si="14"/>
        <v>4</v>
      </c>
      <c r="JW105" s="1">
        <f t="shared" si="14"/>
        <v>63</v>
      </c>
      <c r="JX105" s="1">
        <f t="shared" si="14"/>
        <v>12</v>
      </c>
      <c r="JY105" s="1">
        <f t="shared" si="14"/>
        <v>8</v>
      </c>
      <c r="JZ105" s="1">
        <f t="shared" si="14"/>
        <v>4</v>
      </c>
      <c r="KA105" s="1">
        <f t="shared" si="14"/>
        <v>1</v>
      </c>
      <c r="KB105" s="1">
        <f t="shared" si="14"/>
        <v>1</v>
      </c>
      <c r="KC105" s="1">
        <f t="shared" si="14"/>
        <v>1</v>
      </c>
      <c r="KD105" s="1">
        <f t="shared" si="14"/>
        <v>6</v>
      </c>
      <c r="KE105" s="1">
        <f t="shared" si="14"/>
        <v>1</v>
      </c>
      <c r="KF105" s="1">
        <f t="shared" si="14"/>
        <v>2</v>
      </c>
      <c r="KG105" s="1">
        <f t="shared" si="14"/>
        <v>1</v>
      </c>
      <c r="KH105" s="1">
        <f t="shared" si="14"/>
        <v>11</v>
      </c>
      <c r="KI105" s="11">
        <f t="shared" si="14"/>
        <v>100</v>
      </c>
      <c r="KJ105" s="1">
        <f t="shared" si="14"/>
        <v>3</v>
      </c>
      <c r="KK105" s="1">
        <f t="shared" si="14"/>
        <v>17</v>
      </c>
      <c r="KL105" s="1">
        <f t="shared" si="14"/>
        <v>13</v>
      </c>
      <c r="KM105" s="1">
        <f t="shared" si="14"/>
        <v>70</v>
      </c>
      <c r="KN105" s="1">
        <f t="shared" si="14"/>
        <v>11</v>
      </c>
      <c r="KO105" s="1">
        <f t="shared" si="14"/>
        <v>1</v>
      </c>
      <c r="KP105" s="1">
        <f t="shared" si="14"/>
        <v>2</v>
      </c>
      <c r="KQ105" s="1">
        <f t="shared" si="14"/>
        <v>56.999999999999993</v>
      </c>
      <c r="KR105" s="1">
        <f t="shared" si="14"/>
        <v>6</v>
      </c>
      <c r="KS105" s="1">
        <f t="shared" si="14"/>
        <v>1</v>
      </c>
      <c r="KT105" s="1">
        <f t="shared" si="14"/>
        <v>19</v>
      </c>
      <c r="KU105" s="1">
        <f t="shared" si="14"/>
        <v>7.0000000000000009</v>
      </c>
      <c r="KV105" s="1">
        <f t="shared" si="14"/>
        <v>1</v>
      </c>
      <c r="KW105" s="1">
        <f t="shared" si="14"/>
        <v>2</v>
      </c>
      <c r="KX105" s="1">
        <f t="shared" si="14"/>
        <v>37</v>
      </c>
      <c r="KY105" s="1">
        <f t="shared" si="14"/>
        <v>1</v>
      </c>
      <c r="KZ105" s="1">
        <f t="shared" si="14"/>
        <v>1</v>
      </c>
      <c r="LA105" s="1">
        <f t="shared" si="14"/>
        <v>5</v>
      </c>
      <c r="LB105" s="1">
        <f t="shared" si="14"/>
        <v>3</v>
      </c>
      <c r="LC105" s="1">
        <f t="shared" si="14"/>
        <v>2</v>
      </c>
      <c r="LD105" s="1">
        <f t="shared" si="14"/>
        <v>4</v>
      </c>
      <c r="LE105" s="1">
        <f t="shared" si="14"/>
        <v>3</v>
      </c>
      <c r="LF105" s="1">
        <f t="shared" si="14"/>
        <v>2</v>
      </c>
      <c r="LG105" s="1">
        <f t="shared" si="14"/>
        <v>9</v>
      </c>
      <c r="LH105" s="1">
        <f t="shared" si="14"/>
        <v>1</v>
      </c>
      <c r="LI105" s="11">
        <f t="shared" si="14"/>
        <v>100</v>
      </c>
      <c r="LJ105" s="12">
        <f t="shared" si="14"/>
        <v>97</v>
      </c>
      <c r="LK105" s="1">
        <f t="shared" si="14"/>
        <v>8</v>
      </c>
      <c r="LL105" s="1">
        <f t="shared" si="14"/>
        <v>4</v>
      </c>
      <c r="LM105" s="1">
        <f t="shared" si="14"/>
        <v>1</v>
      </c>
      <c r="LN105" s="1">
        <f t="shared" si="14"/>
        <v>2</v>
      </c>
      <c r="LO105" s="1">
        <f t="shared" si="14"/>
        <v>3</v>
      </c>
      <c r="LP105" s="1">
        <f t="shared" si="14"/>
        <v>1</v>
      </c>
      <c r="LQ105" s="1">
        <f t="shared" si="14"/>
        <v>41</v>
      </c>
      <c r="LR105" s="11">
        <f t="shared" si="14"/>
        <v>100</v>
      </c>
      <c r="LS105" s="1">
        <f t="shared" si="14"/>
        <v>4</v>
      </c>
      <c r="LT105" s="1">
        <f t="shared" si="14"/>
        <v>3</v>
      </c>
      <c r="LU105" s="11">
        <f t="shared" si="14"/>
        <v>100</v>
      </c>
      <c r="LV105" s="1">
        <f t="shared" si="14"/>
        <v>4</v>
      </c>
      <c r="LW105" s="1">
        <f t="shared" si="14"/>
        <v>2</v>
      </c>
      <c r="LX105" s="1">
        <f t="shared" si="14"/>
        <v>44</v>
      </c>
      <c r="LY105" s="1">
        <f t="shared" si="14"/>
        <v>9</v>
      </c>
      <c r="LZ105" s="1">
        <f t="shared" si="14"/>
        <v>2</v>
      </c>
      <c r="MA105" s="1">
        <f t="shared" si="14"/>
        <v>16</v>
      </c>
      <c r="MB105" s="1">
        <f t="shared" si="14"/>
        <v>5</v>
      </c>
      <c r="MC105" s="1">
        <f t="shared" si="14"/>
        <v>13</v>
      </c>
      <c r="MD105" s="1">
        <f t="shared" si="14"/>
        <v>1</v>
      </c>
      <c r="ME105" s="1">
        <f t="shared" si="14"/>
        <v>48</v>
      </c>
      <c r="MF105" s="1">
        <f t="shared" ref="MF105:OO105" si="15">((100-MF104)/100)*100</f>
        <v>1</v>
      </c>
      <c r="MG105" s="1">
        <f t="shared" si="15"/>
        <v>45</v>
      </c>
      <c r="MH105" s="1">
        <f t="shared" si="15"/>
        <v>7.0000000000000009</v>
      </c>
      <c r="MI105" s="1">
        <f t="shared" si="15"/>
        <v>1</v>
      </c>
      <c r="MJ105" s="1">
        <f t="shared" si="15"/>
        <v>2</v>
      </c>
      <c r="MK105" s="1">
        <f t="shared" si="15"/>
        <v>2</v>
      </c>
      <c r="ML105" s="1">
        <f t="shared" si="15"/>
        <v>37</v>
      </c>
      <c r="MM105" s="1">
        <f t="shared" si="15"/>
        <v>4</v>
      </c>
      <c r="MN105" s="12">
        <f t="shared" si="15"/>
        <v>93</v>
      </c>
      <c r="MO105" s="1">
        <f t="shared" si="15"/>
        <v>13</v>
      </c>
      <c r="MP105" s="1">
        <f t="shared" si="15"/>
        <v>1</v>
      </c>
      <c r="MQ105" s="1">
        <f t="shared" si="15"/>
        <v>0</v>
      </c>
      <c r="MR105" s="1">
        <f t="shared" si="15"/>
        <v>15</v>
      </c>
      <c r="MS105" s="1">
        <f t="shared" si="15"/>
        <v>3</v>
      </c>
      <c r="MT105" s="1">
        <f t="shared" si="15"/>
        <v>1</v>
      </c>
      <c r="MU105" s="13">
        <f t="shared" si="15"/>
        <v>82</v>
      </c>
      <c r="MV105" s="1">
        <f t="shared" si="15"/>
        <v>1</v>
      </c>
      <c r="MW105" s="1">
        <f t="shared" si="15"/>
        <v>5</v>
      </c>
      <c r="MX105" s="1">
        <f t="shared" si="15"/>
        <v>16</v>
      </c>
      <c r="MY105" s="1">
        <f t="shared" si="15"/>
        <v>8</v>
      </c>
      <c r="MZ105" s="1">
        <f t="shared" si="15"/>
        <v>2</v>
      </c>
      <c r="NA105" s="1">
        <f t="shared" si="15"/>
        <v>1</v>
      </c>
      <c r="NB105" s="1">
        <f t="shared" si="15"/>
        <v>1</v>
      </c>
      <c r="NC105" s="1">
        <f t="shared" si="15"/>
        <v>1</v>
      </c>
      <c r="ND105" s="1">
        <f t="shared" si="15"/>
        <v>1</v>
      </c>
      <c r="NE105" s="11">
        <f t="shared" si="15"/>
        <v>100</v>
      </c>
      <c r="NF105" s="1">
        <f t="shared" si="15"/>
        <v>2</v>
      </c>
      <c r="NG105" s="1">
        <f t="shared" si="15"/>
        <v>1</v>
      </c>
      <c r="NH105" s="1">
        <f t="shared" si="15"/>
        <v>5</v>
      </c>
      <c r="NI105" s="1">
        <f t="shared" si="15"/>
        <v>2</v>
      </c>
      <c r="NJ105" s="1">
        <f t="shared" si="15"/>
        <v>1</v>
      </c>
      <c r="NK105" s="1">
        <f t="shared" si="15"/>
        <v>3</v>
      </c>
      <c r="NL105" s="1">
        <f t="shared" si="15"/>
        <v>1</v>
      </c>
      <c r="NM105" s="1">
        <f t="shared" si="15"/>
        <v>5</v>
      </c>
      <c r="NN105" s="11">
        <f t="shared" si="15"/>
        <v>100</v>
      </c>
      <c r="NO105" s="1">
        <f t="shared" si="15"/>
        <v>49</v>
      </c>
      <c r="NP105" s="1">
        <f t="shared" si="15"/>
        <v>8</v>
      </c>
      <c r="NQ105" s="1">
        <f t="shared" si="15"/>
        <v>6</v>
      </c>
      <c r="NR105" s="1">
        <f t="shared" si="15"/>
        <v>43</v>
      </c>
      <c r="NS105" s="1">
        <f t="shared" si="15"/>
        <v>1</v>
      </c>
      <c r="NT105" s="1">
        <f t="shared" si="15"/>
        <v>2</v>
      </c>
      <c r="NU105" s="1">
        <f t="shared" si="15"/>
        <v>1</v>
      </c>
      <c r="NV105" s="1">
        <f t="shared" si="15"/>
        <v>1</v>
      </c>
      <c r="NW105" s="1">
        <f t="shared" si="15"/>
        <v>2</v>
      </c>
      <c r="NX105" s="1">
        <f t="shared" si="15"/>
        <v>25</v>
      </c>
      <c r="NY105" s="1">
        <f t="shared" si="15"/>
        <v>1</v>
      </c>
      <c r="NZ105" s="1">
        <f t="shared" si="15"/>
        <v>7.0000000000000009</v>
      </c>
      <c r="OA105" s="1">
        <f t="shared" si="15"/>
        <v>3</v>
      </c>
      <c r="OB105" s="1">
        <f t="shared" si="15"/>
        <v>13</v>
      </c>
      <c r="OC105" s="1">
        <f t="shared" si="15"/>
        <v>27</v>
      </c>
      <c r="OD105" s="1">
        <f t="shared" si="15"/>
        <v>2</v>
      </c>
      <c r="OE105" s="1">
        <f t="shared" si="15"/>
        <v>4</v>
      </c>
      <c r="OF105" s="1">
        <f t="shared" si="15"/>
        <v>1</v>
      </c>
      <c r="OG105" s="1">
        <f t="shared" si="15"/>
        <v>13</v>
      </c>
      <c r="OH105" s="1">
        <f t="shared" si="15"/>
        <v>1</v>
      </c>
      <c r="OI105" s="1">
        <f t="shared" si="15"/>
        <v>18</v>
      </c>
      <c r="OJ105" s="1">
        <f t="shared" si="15"/>
        <v>1</v>
      </c>
      <c r="OK105" s="1">
        <f t="shared" si="15"/>
        <v>37</v>
      </c>
      <c r="OL105" s="12">
        <f t="shared" si="15"/>
        <v>90</v>
      </c>
      <c r="OM105" s="1">
        <f t="shared" si="15"/>
        <v>2</v>
      </c>
      <c r="ON105" s="1">
        <f t="shared" si="15"/>
        <v>41</v>
      </c>
      <c r="OO105" s="1">
        <f t="shared" si="15"/>
        <v>2</v>
      </c>
      <c r="OP105" s="1">
        <f>((100-OP104)/100)*100</f>
        <v>3</v>
      </c>
      <c r="OQ105" s="1">
        <f>((100-OQ104)/100)*100</f>
        <v>54</v>
      </c>
    </row>
    <row r="107" spans="1:410" x14ac:dyDescent="0.3">
      <c r="A107" s="9" t="s">
        <v>599</v>
      </c>
      <c r="B107" s="1">
        <f t="shared" ref="B107:D107" si="16">SUM(B2:B101)/100</f>
        <v>0.41</v>
      </c>
      <c r="C107" s="1">
        <f t="shared" si="16"/>
        <v>0.02</v>
      </c>
      <c r="D107" s="1">
        <f t="shared" si="16"/>
        <v>0.01</v>
      </c>
      <c r="E107" s="1">
        <f>SUM(E2:E101)/100</f>
        <v>0.25</v>
      </c>
      <c r="F107" s="1">
        <f>SUM(F2:F101)/100</f>
        <v>1.1299999999999999</v>
      </c>
      <c r="G107" s="1">
        <f>SUM(G2:G101)/100</f>
        <v>1.31</v>
      </c>
      <c r="H107" s="1">
        <f t="shared" ref="H107:J107" si="17">SUM(H2:H101)/100</f>
        <v>0.48</v>
      </c>
      <c r="I107" s="1">
        <f t="shared" si="17"/>
        <v>0.31</v>
      </c>
      <c r="J107" s="1">
        <f t="shared" si="17"/>
        <v>0.13</v>
      </c>
      <c r="K107" s="1">
        <f t="shared" ref="K107:BV107" si="18">SUM(K2:K101)/100</f>
        <v>0.01</v>
      </c>
      <c r="L107" s="1">
        <f t="shared" si="18"/>
        <v>0.78</v>
      </c>
      <c r="M107" s="1">
        <f t="shared" si="18"/>
        <v>0.26</v>
      </c>
      <c r="N107" s="1">
        <f t="shared" si="18"/>
        <v>0.31</v>
      </c>
      <c r="O107" s="1">
        <f t="shared" si="18"/>
        <v>0.06</v>
      </c>
      <c r="P107" s="1">
        <f t="shared" si="18"/>
        <v>0.47</v>
      </c>
      <c r="Q107" s="1">
        <f t="shared" si="18"/>
        <v>0.97</v>
      </c>
      <c r="R107" s="1">
        <f t="shared" si="18"/>
        <v>0.75</v>
      </c>
      <c r="S107" s="1">
        <f t="shared" si="18"/>
        <v>0.09</v>
      </c>
      <c r="T107" s="1">
        <f t="shared" si="18"/>
        <v>0.06</v>
      </c>
      <c r="U107" s="1">
        <f t="shared" si="18"/>
        <v>0.01</v>
      </c>
      <c r="V107" s="1">
        <f t="shared" si="18"/>
        <v>1</v>
      </c>
      <c r="W107" s="1">
        <f t="shared" si="18"/>
        <v>0.04</v>
      </c>
      <c r="X107" s="1">
        <f t="shared" si="18"/>
        <v>0.48</v>
      </c>
      <c r="Y107" s="1">
        <f t="shared" si="18"/>
        <v>0.04</v>
      </c>
      <c r="Z107" s="1">
        <f t="shared" si="18"/>
        <v>0.17</v>
      </c>
      <c r="AA107" s="1">
        <f t="shared" si="18"/>
        <v>1.01</v>
      </c>
      <c r="AB107" s="1">
        <f t="shared" si="18"/>
        <v>0.69</v>
      </c>
      <c r="AC107" s="1">
        <f t="shared" si="18"/>
        <v>0.15</v>
      </c>
      <c r="AD107" s="1">
        <f t="shared" si="18"/>
        <v>1.06</v>
      </c>
      <c r="AE107" s="1">
        <f t="shared" si="18"/>
        <v>0.41</v>
      </c>
      <c r="AF107" s="1">
        <f t="shared" si="18"/>
        <v>0.25</v>
      </c>
      <c r="AG107" s="1">
        <f t="shared" si="18"/>
        <v>0.32</v>
      </c>
      <c r="AH107" s="1">
        <f t="shared" si="18"/>
        <v>0.18</v>
      </c>
      <c r="AI107" s="1">
        <f t="shared" si="18"/>
        <v>0.84</v>
      </c>
      <c r="AJ107" s="1">
        <f t="shared" si="18"/>
        <v>1.54</v>
      </c>
      <c r="AK107" s="1">
        <f t="shared" si="18"/>
        <v>0.83</v>
      </c>
      <c r="AL107" s="1">
        <f t="shared" si="18"/>
        <v>0.02</v>
      </c>
      <c r="AM107" s="1">
        <f t="shared" si="18"/>
        <v>0.23</v>
      </c>
      <c r="AN107" s="1">
        <f t="shared" si="18"/>
        <v>0.74</v>
      </c>
      <c r="AO107" s="1">
        <f t="shared" si="18"/>
        <v>0.65</v>
      </c>
      <c r="AP107" s="1">
        <f t="shared" si="18"/>
        <v>0.26</v>
      </c>
      <c r="AQ107" s="1">
        <f t="shared" si="18"/>
        <v>0.7</v>
      </c>
      <c r="AR107" s="1">
        <f t="shared" si="18"/>
        <v>0.14000000000000001</v>
      </c>
      <c r="AS107" s="1">
        <f t="shared" si="18"/>
        <v>0.11</v>
      </c>
      <c r="AT107" s="1">
        <f t="shared" si="18"/>
        <v>0.08</v>
      </c>
      <c r="AU107" s="1">
        <f t="shared" si="18"/>
        <v>1.02</v>
      </c>
      <c r="AV107" s="1">
        <f t="shared" si="18"/>
        <v>0.1</v>
      </c>
      <c r="AW107" s="1">
        <f t="shared" si="18"/>
        <v>0.08</v>
      </c>
      <c r="AX107" s="1">
        <f t="shared" si="18"/>
        <v>0.02</v>
      </c>
      <c r="AY107" s="1">
        <f t="shared" si="18"/>
        <v>0.93</v>
      </c>
      <c r="AZ107" s="1">
        <f t="shared" si="18"/>
        <v>0.05</v>
      </c>
      <c r="BA107" s="1">
        <f t="shared" si="18"/>
        <v>0.03</v>
      </c>
      <c r="BB107" s="1">
        <f t="shared" si="18"/>
        <v>0.05</v>
      </c>
      <c r="BC107" s="1">
        <f t="shared" si="18"/>
        <v>0.1</v>
      </c>
      <c r="BD107" s="1">
        <f t="shared" si="18"/>
        <v>0.04</v>
      </c>
      <c r="BE107" s="1">
        <f t="shared" si="18"/>
        <v>0.04</v>
      </c>
      <c r="BF107" s="1">
        <f t="shared" si="18"/>
        <v>0.17</v>
      </c>
      <c r="BG107" s="1">
        <f t="shared" si="18"/>
        <v>0.2</v>
      </c>
      <c r="BH107" s="1">
        <f t="shared" si="18"/>
        <v>0.03</v>
      </c>
      <c r="BI107" s="1">
        <f t="shared" si="18"/>
        <v>0.01</v>
      </c>
      <c r="BJ107" s="1">
        <f t="shared" si="18"/>
        <v>0.03</v>
      </c>
      <c r="BK107" s="1">
        <f t="shared" si="18"/>
        <v>0.01</v>
      </c>
      <c r="BL107" s="1">
        <f t="shared" si="18"/>
        <v>0.15</v>
      </c>
      <c r="BM107" s="1">
        <f t="shared" si="18"/>
        <v>0.01</v>
      </c>
      <c r="BN107" s="1">
        <f t="shared" si="18"/>
        <v>0.15</v>
      </c>
      <c r="BO107" s="1">
        <f t="shared" si="18"/>
        <v>0.11</v>
      </c>
      <c r="BP107" s="1">
        <f t="shared" si="18"/>
        <v>0.05</v>
      </c>
      <c r="BQ107" s="1">
        <f t="shared" si="18"/>
        <v>0.01</v>
      </c>
      <c r="BR107" s="1">
        <f t="shared" si="18"/>
        <v>0.02</v>
      </c>
      <c r="BS107" s="1">
        <f t="shared" si="18"/>
        <v>1.01</v>
      </c>
      <c r="BT107" s="1">
        <f t="shared" si="18"/>
        <v>0.02</v>
      </c>
      <c r="BU107" s="1">
        <f t="shared" si="18"/>
        <v>0.01</v>
      </c>
      <c r="BV107" s="1">
        <f t="shared" si="18"/>
        <v>0.01</v>
      </c>
      <c r="BW107" s="1">
        <f t="shared" ref="BW107:EH107" si="19">SUM(BW2:BW101)/100</f>
        <v>7.0000000000000007E-2</v>
      </c>
      <c r="BX107" s="1">
        <f t="shared" si="19"/>
        <v>0.02</v>
      </c>
      <c r="BY107" s="1">
        <f t="shared" si="19"/>
        <v>0.71</v>
      </c>
      <c r="BZ107" s="1">
        <f t="shared" si="19"/>
        <v>0.02</v>
      </c>
      <c r="CA107" s="1">
        <f t="shared" si="19"/>
        <v>0.01</v>
      </c>
      <c r="CB107" s="1">
        <f t="shared" si="19"/>
        <v>0.05</v>
      </c>
      <c r="CC107" s="1">
        <f t="shared" si="19"/>
        <v>0.36</v>
      </c>
      <c r="CD107" s="1">
        <f t="shared" si="19"/>
        <v>0.01</v>
      </c>
      <c r="CE107" s="1">
        <f t="shared" si="19"/>
        <v>0.03</v>
      </c>
      <c r="CF107" s="1">
        <f t="shared" si="19"/>
        <v>0.27</v>
      </c>
      <c r="CG107" s="1">
        <f t="shared" si="19"/>
        <v>0.01</v>
      </c>
      <c r="CH107" s="1">
        <f t="shared" si="19"/>
        <v>0.01</v>
      </c>
      <c r="CI107" s="1">
        <f t="shared" si="19"/>
        <v>0.04</v>
      </c>
      <c r="CJ107" s="1">
        <f t="shared" si="19"/>
        <v>0.08</v>
      </c>
      <c r="CK107" s="1">
        <f t="shared" si="19"/>
        <v>0.08</v>
      </c>
      <c r="CL107" s="1">
        <f t="shared" si="19"/>
        <v>0.01</v>
      </c>
      <c r="CM107" s="1">
        <f t="shared" si="19"/>
        <v>0.4</v>
      </c>
      <c r="CN107" s="1">
        <f t="shared" si="19"/>
        <v>0.04</v>
      </c>
      <c r="CO107" s="1">
        <f t="shared" si="19"/>
        <v>7.0000000000000007E-2</v>
      </c>
      <c r="CP107" s="1">
        <f t="shared" si="19"/>
        <v>7.0000000000000007E-2</v>
      </c>
      <c r="CQ107" s="1">
        <f t="shared" si="19"/>
        <v>7.0000000000000007E-2</v>
      </c>
      <c r="CR107" s="1">
        <f t="shared" si="19"/>
        <v>0.02</v>
      </c>
      <c r="CS107" s="1">
        <f t="shared" si="19"/>
        <v>0.02</v>
      </c>
      <c r="CT107" s="1">
        <f t="shared" si="19"/>
        <v>0.01</v>
      </c>
      <c r="CU107" s="1">
        <f t="shared" si="19"/>
        <v>0.09</v>
      </c>
      <c r="CV107" s="1">
        <f t="shared" si="19"/>
        <v>0.03</v>
      </c>
      <c r="CW107" s="1">
        <f t="shared" si="19"/>
        <v>0.02</v>
      </c>
      <c r="CX107" s="1">
        <f t="shared" si="19"/>
        <v>0.01</v>
      </c>
      <c r="CY107" s="1">
        <f t="shared" si="19"/>
        <v>0.04</v>
      </c>
      <c r="CZ107" s="1">
        <f t="shared" si="19"/>
        <v>0.02</v>
      </c>
      <c r="DA107" s="1">
        <f t="shared" si="19"/>
        <v>0.04</v>
      </c>
      <c r="DB107" s="1">
        <f t="shared" si="19"/>
        <v>0.04</v>
      </c>
      <c r="DC107" s="1">
        <f t="shared" si="19"/>
        <v>0.14000000000000001</v>
      </c>
      <c r="DD107" s="1">
        <f t="shared" si="19"/>
        <v>0.03</v>
      </c>
      <c r="DE107" s="1">
        <f t="shared" si="19"/>
        <v>0.03</v>
      </c>
      <c r="DF107" s="1">
        <f t="shared" si="19"/>
        <v>0.06</v>
      </c>
      <c r="DG107" s="1">
        <f t="shared" si="19"/>
        <v>0.01</v>
      </c>
      <c r="DH107" s="1">
        <f t="shared" si="19"/>
        <v>0.79</v>
      </c>
      <c r="DI107" s="1">
        <f t="shared" si="19"/>
        <v>0.06</v>
      </c>
      <c r="DJ107" s="1">
        <f t="shared" si="19"/>
        <v>0.02</v>
      </c>
      <c r="DK107" s="1">
        <f t="shared" si="19"/>
        <v>0.05</v>
      </c>
      <c r="DL107" s="1">
        <f t="shared" si="19"/>
        <v>0.05</v>
      </c>
      <c r="DM107" s="1">
        <f t="shared" si="19"/>
        <v>0.02</v>
      </c>
      <c r="DN107" s="1">
        <f t="shared" si="19"/>
        <v>0.01</v>
      </c>
      <c r="DO107" s="1">
        <f t="shared" si="19"/>
        <v>0.01</v>
      </c>
      <c r="DP107" s="1">
        <f t="shared" si="19"/>
        <v>0.01</v>
      </c>
      <c r="DQ107" s="1">
        <f t="shared" si="19"/>
        <v>0.06</v>
      </c>
      <c r="DR107" s="1">
        <f t="shared" si="19"/>
        <v>0.95</v>
      </c>
      <c r="DS107" s="1">
        <f t="shared" si="19"/>
        <v>0.02</v>
      </c>
      <c r="DT107" s="1">
        <f t="shared" si="19"/>
        <v>0.03</v>
      </c>
      <c r="DU107" s="1">
        <f t="shared" si="19"/>
        <v>0.03</v>
      </c>
      <c r="DV107" s="1">
        <f t="shared" si="19"/>
        <v>0.03</v>
      </c>
      <c r="DW107" s="1">
        <f t="shared" si="19"/>
        <v>0.01</v>
      </c>
      <c r="DX107" s="1">
        <f t="shared" si="19"/>
        <v>0.01</v>
      </c>
      <c r="DY107" s="1">
        <f t="shared" si="19"/>
        <v>0.01</v>
      </c>
      <c r="DZ107" s="1">
        <f t="shared" si="19"/>
        <v>0.01</v>
      </c>
      <c r="EA107" s="1">
        <f t="shared" si="19"/>
        <v>0.04</v>
      </c>
      <c r="EB107" s="1">
        <f t="shared" si="19"/>
        <v>0.14000000000000001</v>
      </c>
      <c r="EC107" s="1">
        <f t="shared" si="19"/>
        <v>0.02</v>
      </c>
      <c r="ED107" s="1">
        <f t="shared" si="19"/>
        <v>0.19</v>
      </c>
      <c r="EE107" s="1">
        <f t="shared" si="19"/>
        <v>7.0000000000000007E-2</v>
      </c>
      <c r="EF107" s="1">
        <f t="shared" si="19"/>
        <v>0.04</v>
      </c>
      <c r="EG107" s="1">
        <f t="shared" si="19"/>
        <v>0.02</v>
      </c>
      <c r="EH107" s="1">
        <f t="shared" si="19"/>
        <v>0.37</v>
      </c>
      <c r="EI107" s="1">
        <f t="shared" ref="EI107:GT107" si="20">SUM(EI2:EI101)/100</f>
        <v>0.02</v>
      </c>
      <c r="EJ107" s="1">
        <f t="shared" si="20"/>
        <v>0.02</v>
      </c>
      <c r="EK107" s="1">
        <f t="shared" si="20"/>
        <v>0.03</v>
      </c>
      <c r="EL107" s="1">
        <f t="shared" si="20"/>
        <v>0.01</v>
      </c>
      <c r="EM107" s="1">
        <f t="shared" si="20"/>
        <v>0.03</v>
      </c>
      <c r="EN107" s="1">
        <f t="shared" si="20"/>
        <v>0.02</v>
      </c>
      <c r="EO107" s="1">
        <f t="shared" si="20"/>
        <v>0.02</v>
      </c>
      <c r="EP107" s="1">
        <f t="shared" si="20"/>
        <v>0.02</v>
      </c>
      <c r="EQ107" s="1">
        <f t="shared" si="20"/>
        <v>0.02</v>
      </c>
      <c r="ER107" s="1">
        <f t="shared" si="20"/>
        <v>0.01</v>
      </c>
      <c r="ES107" s="1">
        <f t="shared" si="20"/>
        <v>0.01</v>
      </c>
      <c r="ET107" s="1">
        <f t="shared" si="20"/>
        <v>0.01</v>
      </c>
      <c r="EU107" s="1">
        <f t="shared" si="20"/>
        <v>0.01</v>
      </c>
      <c r="EV107" s="1">
        <f t="shared" si="20"/>
        <v>0.71</v>
      </c>
      <c r="EW107" s="1">
        <f t="shared" si="20"/>
        <v>0.03</v>
      </c>
      <c r="EX107" s="1">
        <f t="shared" si="20"/>
        <v>0.01</v>
      </c>
      <c r="EY107" s="1">
        <f t="shared" si="20"/>
        <v>0.06</v>
      </c>
      <c r="EZ107" s="1">
        <f t="shared" si="20"/>
        <v>0.18</v>
      </c>
      <c r="FA107" s="1">
        <f t="shared" si="20"/>
        <v>0.45</v>
      </c>
      <c r="FB107" s="1">
        <f t="shared" si="20"/>
        <v>0.02</v>
      </c>
      <c r="FC107" s="1">
        <f t="shared" si="20"/>
        <v>0.03</v>
      </c>
      <c r="FD107" s="1">
        <f t="shared" si="20"/>
        <v>0.03</v>
      </c>
      <c r="FE107" s="1">
        <f t="shared" si="20"/>
        <v>0.27</v>
      </c>
      <c r="FF107" s="1">
        <f t="shared" si="20"/>
        <v>0.13</v>
      </c>
      <c r="FG107" s="1">
        <f t="shared" si="20"/>
        <v>0.18</v>
      </c>
      <c r="FH107" s="1">
        <f t="shared" si="20"/>
        <v>0.88</v>
      </c>
      <c r="FI107" s="1">
        <f t="shared" si="20"/>
        <v>0.41</v>
      </c>
      <c r="FJ107" s="1">
        <f t="shared" si="20"/>
        <v>0.06</v>
      </c>
      <c r="FK107" s="1">
        <f t="shared" si="20"/>
        <v>0.02</v>
      </c>
      <c r="FL107" s="1">
        <f t="shared" si="20"/>
        <v>0.02</v>
      </c>
      <c r="FM107" s="1">
        <f t="shared" si="20"/>
        <v>0.01</v>
      </c>
      <c r="FN107" s="1">
        <f t="shared" si="20"/>
        <v>0.02</v>
      </c>
      <c r="FO107" s="1">
        <f t="shared" si="20"/>
        <v>0.12</v>
      </c>
      <c r="FP107" s="1">
        <f t="shared" si="20"/>
        <v>0.02</v>
      </c>
      <c r="FQ107" s="1">
        <f t="shared" si="20"/>
        <v>0.02</v>
      </c>
      <c r="FR107" s="1">
        <f t="shared" si="20"/>
        <v>0.01</v>
      </c>
      <c r="FS107" s="1">
        <f t="shared" si="20"/>
        <v>1</v>
      </c>
      <c r="FT107" s="1">
        <f t="shared" si="20"/>
        <v>0.01</v>
      </c>
      <c r="FU107" s="1">
        <f t="shared" si="20"/>
        <v>0.18</v>
      </c>
      <c r="FV107" s="1">
        <f t="shared" si="20"/>
        <v>0.71</v>
      </c>
      <c r="FW107" s="1">
        <f t="shared" si="20"/>
        <v>0.08</v>
      </c>
      <c r="FX107" s="1">
        <f t="shared" si="20"/>
        <v>0.02</v>
      </c>
      <c r="FY107" s="1">
        <f t="shared" si="20"/>
        <v>0.01</v>
      </c>
      <c r="FZ107" s="1">
        <f t="shared" si="20"/>
        <v>0.02</v>
      </c>
      <c r="GA107" s="1">
        <f t="shared" si="20"/>
        <v>0.01</v>
      </c>
      <c r="GB107" s="1">
        <f t="shared" si="20"/>
        <v>0.03</v>
      </c>
      <c r="GC107" s="1">
        <f t="shared" si="20"/>
        <v>0.09</v>
      </c>
      <c r="GD107" s="1">
        <f t="shared" si="20"/>
        <v>0.01</v>
      </c>
      <c r="GE107" s="1">
        <f t="shared" si="20"/>
        <v>0.12</v>
      </c>
      <c r="GF107" s="1">
        <f t="shared" si="20"/>
        <v>0.01</v>
      </c>
      <c r="GG107" s="1">
        <f t="shared" si="20"/>
        <v>0.06</v>
      </c>
      <c r="GH107" s="1">
        <f t="shared" si="20"/>
        <v>0.2</v>
      </c>
      <c r="GI107" s="1">
        <f t="shared" si="20"/>
        <v>0.26</v>
      </c>
      <c r="GJ107" s="1">
        <f t="shared" si="20"/>
        <v>7.0000000000000007E-2</v>
      </c>
      <c r="GK107" s="1">
        <f t="shared" si="20"/>
        <v>0.04</v>
      </c>
      <c r="GL107" s="1">
        <f t="shared" si="20"/>
        <v>0.01</v>
      </c>
      <c r="GM107" s="1">
        <f t="shared" si="20"/>
        <v>0.04</v>
      </c>
      <c r="GN107" s="1">
        <f t="shared" si="20"/>
        <v>0.99</v>
      </c>
      <c r="GO107" s="1">
        <f t="shared" si="20"/>
        <v>0.01</v>
      </c>
      <c r="GP107" s="1">
        <f t="shared" si="20"/>
        <v>0.09</v>
      </c>
      <c r="GQ107" s="1">
        <f t="shared" si="20"/>
        <v>0.02</v>
      </c>
      <c r="GR107" s="1">
        <f t="shared" si="20"/>
        <v>0.89</v>
      </c>
      <c r="GS107" s="1">
        <f t="shared" si="20"/>
        <v>7.0000000000000007E-2</v>
      </c>
      <c r="GT107" s="1">
        <f t="shared" si="20"/>
        <v>0.05</v>
      </c>
      <c r="GU107" s="1">
        <f t="shared" ref="GU107:JF107" si="21">SUM(GU2:GU101)/100</f>
        <v>0.05</v>
      </c>
      <c r="GV107" s="1">
        <f t="shared" si="21"/>
        <v>0.31</v>
      </c>
      <c r="GW107" s="1">
        <f t="shared" si="21"/>
        <v>0.04</v>
      </c>
      <c r="GX107" s="1">
        <f t="shared" si="21"/>
        <v>1</v>
      </c>
      <c r="GY107" s="1">
        <f t="shared" si="21"/>
        <v>0.02</v>
      </c>
      <c r="GZ107" s="1">
        <f t="shared" si="21"/>
        <v>0.35</v>
      </c>
      <c r="HA107" s="1">
        <f t="shared" si="21"/>
        <v>0.01</v>
      </c>
      <c r="HB107" s="1">
        <f t="shared" si="21"/>
        <v>0.13</v>
      </c>
      <c r="HC107" s="1">
        <f t="shared" si="21"/>
        <v>0.01</v>
      </c>
      <c r="HD107" s="1">
        <f t="shared" si="21"/>
        <v>0.02</v>
      </c>
      <c r="HE107" s="1">
        <f t="shared" si="21"/>
        <v>0.09</v>
      </c>
      <c r="HF107" s="1">
        <f t="shared" si="21"/>
        <v>0.19</v>
      </c>
      <c r="HG107" s="1">
        <f t="shared" si="21"/>
        <v>0.02</v>
      </c>
      <c r="HH107" s="1">
        <f t="shared" si="21"/>
        <v>0.01</v>
      </c>
      <c r="HI107" s="1">
        <f t="shared" si="21"/>
        <v>0.1</v>
      </c>
      <c r="HJ107" s="1">
        <f t="shared" si="21"/>
        <v>0.01</v>
      </c>
      <c r="HK107" s="1">
        <f t="shared" si="21"/>
        <v>7.0000000000000007E-2</v>
      </c>
      <c r="HL107" s="1">
        <f t="shared" si="21"/>
        <v>7.0000000000000007E-2</v>
      </c>
      <c r="HM107" s="1">
        <f t="shared" si="21"/>
        <v>0.03</v>
      </c>
      <c r="HN107" s="1">
        <f t="shared" si="21"/>
        <v>0.01</v>
      </c>
      <c r="HO107" s="1">
        <f t="shared" si="21"/>
        <v>0.05</v>
      </c>
      <c r="HP107" s="1">
        <f t="shared" si="21"/>
        <v>7.0000000000000007E-2</v>
      </c>
      <c r="HQ107" s="1">
        <f t="shared" si="21"/>
        <v>0.02</v>
      </c>
      <c r="HR107" s="1">
        <f t="shared" si="21"/>
        <v>0.09</v>
      </c>
      <c r="HS107" s="1">
        <f t="shared" si="21"/>
        <v>0.04</v>
      </c>
      <c r="HT107" s="1">
        <f t="shared" si="21"/>
        <v>0.03</v>
      </c>
      <c r="HU107" s="1">
        <f t="shared" si="21"/>
        <v>0.77</v>
      </c>
      <c r="HV107" s="1">
        <f t="shared" si="21"/>
        <v>0.52</v>
      </c>
      <c r="HW107" s="1">
        <f t="shared" si="21"/>
        <v>0.21</v>
      </c>
      <c r="HX107" s="1">
        <f t="shared" si="21"/>
        <v>0.01</v>
      </c>
      <c r="HY107" s="1">
        <f t="shared" si="21"/>
        <v>0.16</v>
      </c>
      <c r="HZ107" s="1">
        <f t="shared" si="21"/>
        <v>0.03</v>
      </c>
      <c r="IA107" s="1">
        <f t="shared" si="21"/>
        <v>0.01</v>
      </c>
      <c r="IB107" s="1">
        <f t="shared" si="21"/>
        <v>0.01</v>
      </c>
      <c r="IC107" s="1">
        <f t="shared" si="21"/>
        <v>0.32</v>
      </c>
      <c r="ID107" s="1">
        <f t="shared" si="21"/>
        <v>0.05</v>
      </c>
      <c r="IE107" s="1">
        <f t="shared" si="21"/>
        <v>0.01</v>
      </c>
      <c r="IF107" s="1">
        <f t="shared" si="21"/>
        <v>0.09</v>
      </c>
      <c r="IG107" s="1">
        <f t="shared" si="21"/>
        <v>0.01</v>
      </c>
      <c r="IH107" s="1">
        <f t="shared" si="21"/>
        <v>0.18</v>
      </c>
      <c r="II107" s="1">
        <f t="shared" si="21"/>
        <v>0.01</v>
      </c>
      <c r="IJ107" s="1">
        <f t="shared" si="21"/>
        <v>0.08</v>
      </c>
      <c r="IK107" s="1">
        <f t="shared" si="21"/>
        <v>0.11</v>
      </c>
      <c r="IL107" s="1">
        <f t="shared" si="21"/>
        <v>0.02</v>
      </c>
      <c r="IM107" s="1">
        <f t="shared" si="21"/>
        <v>0.28999999999999998</v>
      </c>
      <c r="IN107" s="1">
        <f t="shared" si="21"/>
        <v>0.02</v>
      </c>
      <c r="IO107" s="1">
        <f t="shared" si="21"/>
        <v>0.01</v>
      </c>
      <c r="IP107" s="1">
        <f t="shared" si="21"/>
        <v>0.31</v>
      </c>
      <c r="IQ107" s="1">
        <f t="shared" si="21"/>
        <v>0.54</v>
      </c>
      <c r="IR107" s="1">
        <f t="shared" si="21"/>
        <v>0.01</v>
      </c>
      <c r="IS107" s="1">
        <f t="shared" si="21"/>
        <v>0.12</v>
      </c>
      <c r="IT107" s="1">
        <f t="shared" si="21"/>
        <v>0.01</v>
      </c>
      <c r="IU107" s="1">
        <f t="shared" si="21"/>
        <v>0.03</v>
      </c>
      <c r="IV107" s="1">
        <f t="shared" si="21"/>
        <v>0.01</v>
      </c>
      <c r="IW107" s="1">
        <f t="shared" si="21"/>
        <v>0.01</v>
      </c>
      <c r="IX107" s="1">
        <f t="shared" si="21"/>
        <v>1</v>
      </c>
      <c r="IY107" s="1">
        <f t="shared" si="21"/>
        <v>0.04</v>
      </c>
      <c r="IZ107" s="1">
        <f t="shared" si="21"/>
        <v>0.01</v>
      </c>
      <c r="JA107" s="1">
        <f t="shared" si="21"/>
        <v>0.02</v>
      </c>
      <c r="JB107" s="1">
        <f t="shared" si="21"/>
        <v>0.2</v>
      </c>
      <c r="JC107" s="1">
        <f t="shared" si="21"/>
        <v>0.05</v>
      </c>
      <c r="JD107" s="1">
        <f t="shared" si="21"/>
        <v>0.04</v>
      </c>
      <c r="JE107" s="1">
        <f t="shared" si="21"/>
        <v>0.01</v>
      </c>
      <c r="JF107" s="1">
        <f t="shared" si="21"/>
        <v>0.03</v>
      </c>
      <c r="JG107" s="1">
        <f t="shared" ref="JG107:LR107" si="22">SUM(JG2:JG101)/100</f>
        <v>0.01</v>
      </c>
      <c r="JH107" s="1">
        <f t="shared" si="22"/>
        <v>0.02</v>
      </c>
      <c r="JI107" s="1">
        <f t="shared" si="22"/>
        <v>0.74</v>
      </c>
      <c r="JJ107" s="1">
        <f t="shared" si="22"/>
        <v>0.35</v>
      </c>
      <c r="JK107" s="1">
        <f t="shared" si="22"/>
        <v>0.01</v>
      </c>
      <c r="JL107" s="1">
        <f t="shared" si="22"/>
        <v>0.22</v>
      </c>
      <c r="JM107" s="1">
        <f t="shared" si="22"/>
        <v>0.01</v>
      </c>
      <c r="JN107" s="1">
        <f t="shared" si="22"/>
        <v>0.05</v>
      </c>
      <c r="JO107" s="1">
        <f t="shared" si="22"/>
        <v>0.01</v>
      </c>
      <c r="JP107" s="1">
        <f t="shared" si="22"/>
        <v>0.09</v>
      </c>
      <c r="JQ107" s="1">
        <f t="shared" si="22"/>
        <v>0.1</v>
      </c>
      <c r="JR107" s="1">
        <f t="shared" si="22"/>
        <v>0.01</v>
      </c>
      <c r="JS107" s="1">
        <f t="shared" si="22"/>
        <v>0.16</v>
      </c>
      <c r="JT107" s="1">
        <f t="shared" si="22"/>
        <v>0.02</v>
      </c>
      <c r="JU107" s="1">
        <f t="shared" si="22"/>
        <v>0.38</v>
      </c>
      <c r="JV107" s="1">
        <f t="shared" si="22"/>
        <v>0.04</v>
      </c>
      <c r="JW107" s="1">
        <f t="shared" si="22"/>
        <v>0.63</v>
      </c>
      <c r="JX107" s="1">
        <f t="shared" si="22"/>
        <v>0.12</v>
      </c>
      <c r="JY107" s="1">
        <f t="shared" si="22"/>
        <v>0.08</v>
      </c>
      <c r="JZ107" s="1">
        <f t="shared" si="22"/>
        <v>0.04</v>
      </c>
      <c r="KA107" s="1">
        <f t="shared" si="22"/>
        <v>0.01</v>
      </c>
      <c r="KB107" s="1">
        <f t="shared" si="22"/>
        <v>0.01</v>
      </c>
      <c r="KC107" s="1">
        <f t="shared" si="22"/>
        <v>0.01</v>
      </c>
      <c r="KD107" s="1">
        <f t="shared" si="22"/>
        <v>0.06</v>
      </c>
      <c r="KE107" s="1">
        <f t="shared" si="22"/>
        <v>0.01</v>
      </c>
      <c r="KF107" s="1">
        <f t="shared" si="22"/>
        <v>0.02</v>
      </c>
      <c r="KG107" s="1">
        <f t="shared" si="22"/>
        <v>0.01</v>
      </c>
      <c r="KH107" s="1">
        <f t="shared" si="22"/>
        <v>0.11</v>
      </c>
      <c r="KI107" s="1">
        <f t="shared" si="22"/>
        <v>1.05</v>
      </c>
      <c r="KJ107" s="1">
        <f t="shared" si="22"/>
        <v>0.03</v>
      </c>
      <c r="KK107" s="1">
        <f t="shared" si="22"/>
        <v>0.23</v>
      </c>
      <c r="KL107" s="1">
        <f t="shared" si="22"/>
        <v>0.14000000000000001</v>
      </c>
      <c r="KM107" s="1">
        <f t="shared" si="22"/>
        <v>0.71</v>
      </c>
      <c r="KN107" s="1">
        <f t="shared" si="22"/>
        <v>0.11</v>
      </c>
      <c r="KO107" s="1">
        <f t="shared" si="22"/>
        <v>0.01</v>
      </c>
      <c r="KP107" s="1">
        <f t="shared" si="22"/>
        <v>0.02</v>
      </c>
      <c r="KQ107" s="1">
        <f t="shared" si="22"/>
        <v>0.65</v>
      </c>
      <c r="KR107" s="1">
        <f t="shared" si="22"/>
        <v>0.06</v>
      </c>
      <c r="KS107" s="1">
        <f t="shared" si="22"/>
        <v>0.01</v>
      </c>
      <c r="KT107" s="1">
        <f t="shared" si="22"/>
        <v>0.19</v>
      </c>
      <c r="KU107" s="1">
        <f t="shared" si="22"/>
        <v>0.09</v>
      </c>
      <c r="KV107" s="1">
        <f t="shared" si="22"/>
        <v>0.01</v>
      </c>
      <c r="KW107" s="1">
        <f t="shared" si="22"/>
        <v>0.02</v>
      </c>
      <c r="KX107" s="1">
        <f t="shared" si="22"/>
        <v>0.39</v>
      </c>
      <c r="KY107" s="1">
        <f t="shared" si="22"/>
        <v>0.01</v>
      </c>
      <c r="KZ107" s="1">
        <f t="shared" si="22"/>
        <v>0.01</v>
      </c>
      <c r="LA107" s="1">
        <f t="shared" si="22"/>
        <v>0.05</v>
      </c>
      <c r="LB107" s="1">
        <f t="shared" si="22"/>
        <v>0.03</v>
      </c>
      <c r="LC107" s="1">
        <f t="shared" si="22"/>
        <v>0.02</v>
      </c>
      <c r="LD107" s="1">
        <f t="shared" si="22"/>
        <v>0.04</v>
      </c>
      <c r="LE107" s="1">
        <f t="shared" si="22"/>
        <v>0.03</v>
      </c>
      <c r="LF107" s="1">
        <f t="shared" si="22"/>
        <v>0.02</v>
      </c>
      <c r="LG107" s="1">
        <f t="shared" si="22"/>
        <v>0.1</v>
      </c>
      <c r="LH107" s="1">
        <f t="shared" si="22"/>
        <v>0.01</v>
      </c>
      <c r="LI107" s="1">
        <f t="shared" si="22"/>
        <v>1</v>
      </c>
      <c r="LJ107" s="1">
        <f t="shared" si="22"/>
        <v>1.26</v>
      </c>
      <c r="LK107" s="1">
        <f t="shared" si="22"/>
        <v>0.08</v>
      </c>
      <c r="LL107" s="1">
        <f t="shared" si="22"/>
        <v>0.04</v>
      </c>
      <c r="LM107" s="1">
        <f t="shared" si="22"/>
        <v>0.01</v>
      </c>
      <c r="LN107" s="1">
        <f t="shared" si="22"/>
        <v>0.02</v>
      </c>
      <c r="LO107" s="1">
        <f t="shared" si="22"/>
        <v>0.16</v>
      </c>
      <c r="LP107" s="1">
        <f t="shared" si="22"/>
        <v>0.01</v>
      </c>
      <c r="LQ107" s="1">
        <f t="shared" si="22"/>
        <v>0.41</v>
      </c>
      <c r="LR107" s="1">
        <f t="shared" si="22"/>
        <v>1.02</v>
      </c>
      <c r="LS107" s="1">
        <f t="shared" ref="LS107:OD107" si="23">SUM(LS2:LS101)/100</f>
        <v>0.04</v>
      </c>
      <c r="LT107" s="1">
        <f t="shared" si="23"/>
        <v>0.03</v>
      </c>
      <c r="LU107" s="1">
        <f t="shared" si="23"/>
        <v>1</v>
      </c>
      <c r="LV107" s="1">
        <f t="shared" si="23"/>
        <v>0.04</v>
      </c>
      <c r="LW107" s="1">
        <f t="shared" si="23"/>
        <v>0.02</v>
      </c>
      <c r="LX107" s="1">
        <f t="shared" si="23"/>
        <v>0.44</v>
      </c>
      <c r="LY107" s="1">
        <f t="shared" si="23"/>
        <v>0.09</v>
      </c>
      <c r="LZ107" s="1">
        <f t="shared" si="23"/>
        <v>0.02</v>
      </c>
      <c r="MA107" s="1">
        <f t="shared" si="23"/>
        <v>0.16</v>
      </c>
      <c r="MB107" s="1">
        <f t="shared" si="23"/>
        <v>0.05</v>
      </c>
      <c r="MC107" s="1">
        <f t="shared" si="23"/>
        <v>0.13</v>
      </c>
      <c r="MD107" s="1">
        <f t="shared" si="23"/>
        <v>0.01</v>
      </c>
      <c r="ME107" s="1">
        <f t="shared" si="23"/>
        <v>0.48</v>
      </c>
      <c r="MF107" s="1">
        <f t="shared" si="23"/>
        <v>0.01</v>
      </c>
      <c r="MG107" s="1">
        <f t="shared" si="23"/>
        <v>0.48</v>
      </c>
      <c r="MH107" s="1">
        <f t="shared" si="23"/>
        <v>7.0000000000000007E-2</v>
      </c>
      <c r="MI107" s="1">
        <f t="shared" si="23"/>
        <v>0.01</v>
      </c>
      <c r="MJ107" s="1">
        <f t="shared" si="23"/>
        <v>0.02</v>
      </c>
      <c r="MK107" s="1">
        <f t="shared" si="23"/>
        <v>0.02</v>
      </c>
      <c r="ML107" s="1">
        <f t="shared" si="23"/>
        <v>0.41</v>
      </c>
      <c r="MM107" s="1">
        <f t="shared" si="23"/>
        <v>0.04</v>
      </c>
      <c r="MN107" s="1">
        <f t="shared" si="23"/>
        <v>0.93</v>
      </c>
      <c r="MO107" s="1">
        <f t="shared" si="23"/>
        <v>0.13</v>
      </c>
      <c r="MP107" s="1">
        <f t="shared" si="23"/>
        <v>0.01</v>
      </c>
      <c r="MQ107" s="1">
        <f t="shared" si="23"/>
        <v>0</v>
      </c>
      <c r="MR107" s="1">
        <f t="shared" si="23"/>
        <v>0.16</v>
      </c>
      <c r="MS107" s="1">
        <f t="shared" si="23"/>
        <v>0.03</v>
      </c>
      <c r="MT107" s="1">
        <f t="shared" si="23"/>
        <v>0.01</v>
      </c>
      <c r="MU107" s="1">
        <f t="shared" si="23"/>
        <v>0.85</v>
      </c>
      <c r="MV107" s="1">
        <f t="shared" si="23"/>
        <v>0.01</v>
      </c>
      <c r="MW107" s="1">
        <f t="shared" si="23"/>
        <v>0.05</v>
      </c>
      <c r="MX107" s="1">
        <f t="shared" si="23"/>
        <v>0.17</v>
      </c>
      <c r="MY107" s="1">
        <f t="shared" si="23"/>
        <v>0.08</v>
      </c>
      <c r="MZ107" s="1">
        <f t="shared" si="23"/>
        <v>0.02</v>
      </c>
      <c r="NA107" s="1">
        <f t="shared" si="23"/>
        <v>0.01</v>
      </c>
      <c r="NB107" s="1">
        <f t="shared" si="23"/>
        <v>0.01</v>
      </c>
      <c r="NC107" s="1">
        <f t="shared" si="23"/>
        <v>0.01</v>
      </c>
      <c r="ND107" s="1">
        <f t="shared" si="23"/>
        <v>0.01</v>
      </c>
      <c r="NE107" s="1">
        <f t="shared" si="23"/>
        <v>1.06</v>
      </c>
      <c r="NF107" s="1">
        <f t="shared" si="23"/>
        <v>0.02</v>
      </c>
      <c r="NG107" s="1">
        <f t="shared" si="23"/>
        <v>0.01</v>
      </c>
      <c r="NH107" s="1">
        <f t="shared" si="23"/>
        <v>0.05</v>
      </c>
      <c r="NI107" s="1">
        <f t="shared" si="23"/>
        <v>0.02</v>
      </c>
      <c r="NJ107" s="1">
        <f t="shared" si="23"/>
        <v>0.01</v>
      </c>
      <c r="NK107" s="1">
        <f t="shared" si="23"/>
        <v>0.03</v>
      </c>
      <c r="NL107" s="1">
        <f t="shared" si="23"/>
        <v>0.01</v>
      </c>
      <c r="NM107" s="1">
        <f t="shared" si="23"/>
        <v>0.09</v>
      </c>
      <c r="NN107" s="1">
        <f t="shared" si="23"/>
        <v>1.01</v>
      </c>
      <c r="NO107" s="1">
        <f t="shared" si="23"/>
        <v>0.49</v>
      </c>
      <c r="NP107" s="1">
        <f t="shared" si="23"/>
        <v>0.1</v>
      </c>
      <c r="NQ107" s="1">
        <f t="shared" si="23"/>
        <v>0.06</v>
      </c>
      <c r="NR107" s="1">
        <f t="shared" si="23"/>
        <v>0.45</v>
      </c>
      <c r="NS107" s="1">
        <f t="shared" si="23"/>
        <v>0.01</v>
      </c>
      <c r="NT107" s="1">
        <f t="shared" si="23"/>
        <v>0.02</v>
      </c>
      <c r="NU107" s="1">
        <f t="shared" si="23"/>
        <v>0.01</v>
      </c>
      <c r="NV107" s="1">
        <f t="shared" si="23"/>
        <v>0.01</v>
      </c>
      <c r="NW107" s="1">
        <f t="shared" si="23"/>
        <v>0.02</v>
      </c>
      <c r="NX107" s="1">
        <f t="shared" si="23"/>
        <v>0.26</v>
      </c>
      <c r="NY107" s="1">
        <f t="shared" si="23"/>
        <v>0.01</v>
      </c>
      <c r="NZ107" s="1">
        <f t="shared" si="23"/>
        <v>7.0000000000000007E-2</v>
      </c>
      <c r="OA107" s="1">
        <f t="shared" si="23"/>
        <v>0.03</v>
      </c>
      <c r="OB107" s="1">
        <f t="shared" si="23"/>
        <v>0.13</v>
      </c>
      <c r="OC107" s="1">
        <f t="shared" si="23"/>
        <v>0.27</v>
      </c>
      <c r="OD107" s="1">
        <f t="shared" si="23"/>
        <v>0.02</v>
      </c>
      <c r="OE107" s="1">
        <f t="shared" ref="OE107:OQ107" si="24">SUM(OE2:OE101)/100</f>
        <v>0.04</v>
      </c>
      <c r="OF107" s="1">
        <f t="shared" si="24"/>
        <v>0.01</v>
      </c>
      <c r="OG107" s="1">
        <f t="shared" si="24"/>
        <v>0.13</v>
      </c>
      <c r="OH107" s="1">
        <f t="shared" si="24"/>
        <v>0.01</v>
      </c>
      <c r="OI107" s="1">
        <f t="shared" si="24"/>
        <v>0.18</v>
      </c>
      <c r="OJ107" s="1">
        <f t="shared" si="24"/>
        <v>0.01</v>
      </c>
      <c r="OK107" s="1">
        <f t="shared" si="24"/>
        <v>0.37</v>
      </c>
      <c r="OL107" s="1">
        <f t="shared" si="24"/>
        <v>1.19</v>
      </c>
      <c r="OM107" s="1">
        <f t="shared" si="24"/>
        <v>0.02</v>
      </c>
      <c r="ON107" s="1">
        <f t="shared" si="24"/>
        <v>0.41</v>
      </c>
      <c r="OO107" s="1">
        <f t="shared" si="24"/>
        <v>0.02</v>
      </c>
      <c r="OP107" s="1">
        <f t="shared" si="24"/>
        <v>0.03</v>
      </c>
      <c r="OQ107" s="1">
        <f t="shared" si="24"/>
        <v>0.55000000000000004</v>
      </c>
    </row>
    <row r="108" spans="1:410" x14ac:dyDescent="0.3">
      <c r="A108" s="9" t="s">
        <v>603</v>
      </c>
      <c r="B108" s="4">
        <f t="shared" ref="B108:BM108" si="25">_xlfn.VAR.S(B2:B101)</f>
        <v>0.28474747474747475</v>
      </c>
      <c r="C108" s="4">
        <f t="shared" si="25"/>
        <v>1.9797979797979797E-2</v>
      </c>
      <c r="D108" s="4">
        <f t="shared" si="25"/>
        <v>0.01</v>
      </c>
      <c r="E108" s="4">
        <f t="shared" si="25"/>
        <v>0.31060606060606061</v>
      </c>
      <c r="F108" s="4">
        <f t="shared" si="25"/>
        <v>0.11424242424242427</v>
      </c>
      <c r="G108" s="4">
        <f t="shared" si="25"/>
        <v>0.25646464646464634</v>
      </c>
      <c r="H108" s="4">
        <f t="shared" si="25"/>
        <v>0.27232323232323236</v>
      </c>
      <c r="I108" s="4">
        <f t="shared" si="25"/>
        <v>0.21606060606060606</v>
      </c>
      <c r="J108" s="4">
        <f t="shared" si="25"/>
        <v>0.13444444444444445</v>
      </c>
      <c r="K108" s="4">
        <f t="shared" si="25"/>
        <v>0.01</v>
      </c>
      <c r="L108" s="4">
        <f t="shared" si="25"/>
        <v>0.1935353535353535</v>
      </c>
      <c r="M108" s="4">
        <f t="shared" si="25"/>
        <v>0.19434343434343437</v>
      </c>
      <c r="N108" s="4">
        <f t="shared" si="25"/>
        <v>0.25646464646464645</v>
      </c>
      <c r="O108" s="4">
        <f t="shared" si="25"/>
        <v>5.6969696969696969E-2</v>
      </c>
      <c r="P108" s="4">
        <f t="shared" si="25"/>
        <v>0.25161616161616163</v>
      </c>
      <c r="Q108" s="4">
        <f t="shared" si="25"/>
        <v>2.9393939393939361E-2</v>
      </c>
      <c r="R108" s="4">
        <f t="shared" si="25"/>
        <v>0.20959595959595959</v>
      </c>
      <c r="S108" s="4">
        <f t="shared" si="25"/>
        <v>8.2727272727272719E-2</v>
      </c>
      <c r="T108" s="4">
        <f t="shared" si="25"/>
        <v>5.6969696969696969E-2</v>
      </c>
      <c r="U108" s="4">
        <f t="shared" si="25"/>
        <v>0.01</v>
      </c>
      <c r="V108" s="4">
        <f t="shared" si="25"/>
        <v>8.0808080808080815E-2</v>
      </c>
      <c r="W108" s="4">
        <f t="shared" si="25"/>
        <v>3.8787878787878788E-2</v>
      </c>
      <c r="X108" s="4">
        <f t="shared" si="25"/>
        <v>0.27232323232323236</v>
      </c>
      <c r="Y108" s="4">
        <f t="shared" si="25"/>
        <v>3.8787878787878788E-2</v>
      </c>
      <c r="Z108" s="4">
        <f t="shared" si="25"/>
        <v>0.16272727272727272</v>
      </c>
      <c r="AA108" s="4">
        <f t="shared" si="25"/>
        <v>9.9999999999999898E-3</v>
      </c>
      <c r="AB108" s="4">
        <f t="shared" si="25"/>
        <v>0.25646464646464645</v>
      </c>
      <c r="AC108" s="4">
        <f t="shared" si="25"/>
        <v>0.12878787878787878</v>
      </c>
      <c r="AD108" s="4">
        <f t="shared" si="25"/>
        <v>0.17818181818181819</v>
      </c>
      <c r="AE108" s="4">
        <f t="shared" si="25"/>
        <v>0.24434343434343436</v>
      </c>
      <c r="AF108" s="4">
        <f t="shared" si="25"/>
        <v>0.18939393939393939</v>
      </c>
      <c r="AG108" s="4">
        <f t="shared" si="25"/>
        <v>0.21979797979797977</v>
      </c>
      <c r="AH108" s="4">
        <f t="shared" si="25"/>
        <v>0.14909090909090908</v>
      </c>
      <c r="AI108" s="4">
        <f t="shared" si="25"/>
        <v>0.17616161616161613</v>
      </c>
      <c r="AJ108" s="4">
        <f t="shared" si="25"/>
        <v>1.2610101010101011</v>
      </c>
      <c r="AK108" s="4">
        <f t="shared" si="25"/>
        <v>0.14252525252525253</v>
      </c>
      <c r="AL108" s="4">
        <f t="shared" si="25"/>
        <v>1.9797979797979797E-2</v>
      </c>
      <c r="AM108" s="4">
        <f t="shared" si="25"/>
        <v>0.1788888888888889</v>
      </c>
      <c r="AN108" s="4">
        <f t="shared" si="25"/>
        <v>0.21454545454545457</v>
      </c>
      <c r="AO108" s="4">
        <f t="shared" si="25"/>
        <v>0.22979797979797981</v>
      </c>
      <c r="AP108" s="4">
        <f t="shared" si="25"/>
        <v>0.21454545454545457</v>
      </c>
      <c r="AQ108" s="4">
        <f t="shared" si="25"/>
        <v>0.23232323232323232</v>
      </c>
      <c r="AR108" s="4">
        <f t="shared" si="25"/>
        <v>0.12161616161616161</v>
      </c>
      <c r="AS108" s="4">
        <f t="shared" si="25"/>
        <v>9.8888888888888873E-2</v>
      </c>
      <c r="AT108" s="4">
        <f t="shared" si="25"/>
        <v>7.434343434343435E-2</v>
      </c>
      <c r="AU108" s="4">
        <f t="shared" si="25"/>
        <v>1.9797979797979735E-2</v>
      </c>
      <c r="AV108" s="4">
        <f t="shared" si="25"/>
        <v>0.1111111111111111</v>
      </c>
      <c r="AW108" s="4">
        <f t="shared" si="25"/>
        <v>7.434343434343435E-2</v>
      </c>
      <c r="AX108" s="4">
        <f t="shared" si="25"/>
        <v>1.9797979797979797E-2</v>
      </c>
      <c r="AY108" s="4">
        <f t="shared" si="25"/>
        <v>0.12636363636363643</v>
      </c>
      <c r="AZ108" s="4">
        <f t="shared" si="25"/>
        <v>6.8181818181818177E-2</v>
      </c>
      <c r="BA108" s="4">
        <f t="shared" si="25"/>
        <v>2.9393939393939396E-2</v>
      </c>
      <c r="BB108" s="4">
        <f t="shared" si="25"/>
        <v>4.7979797979797977E-2</v>
      </c>
      <c r="BC108" s="4">
        <f t="shared" si="25"/>
        <v>9.0909090909090912E-2</v>
      </c>
      <c r="BD108" s="4">
        <f t="shared" si="25"/>
        <v>3.8787878787878788E-2</v>
      </c>
      <c r="BE108" s="4">
        <f t="shared" si="25"/>
        <v>3.8787878787878788E-2</v>
      </c>
      <c r="BF108" s="4">
        <f t="shared" si="25"/>
        <v>0.14252525252525253</v>
      </c>
      <c r="BG108" s="4">
        <f t="shared" si="25"/>
        <v>0.16161616161616163</v>
      </c>
      <c r="BH108" s="4">
        <f t="shared" si="25"/>
        <v>2.9393939393939396E-2</v>
      </c>
      <c r="BI108" s="4">
        <f t="shared" si="25"/>
        <v>0.01</v>
      </c>
      <c r="BJ108" s="4">
        <f t="shared" si="25"/>
        <v>2.9393939393939396E-2</v>
      </c>
      <c r="BK108" s="4">
        <f t="shared" si="25"/>
        <v>0.01</v>
      </c>
      <c r="BL108" s="4">
        <f t="shared" si="25"/>
        <v>0.12878787878787878</v>
      </c>
      <c r="BM108" s="4">
        <f t="shared" si="25"/>
        <v>0.01</v>
      </c>
      <c r="BN108" s="4">
        <f t="shared" ref="BN108:DY108" si="26">_xlfn.VAR.S(BN2:BN101)</f>
        <v>0.12878787878787878</v>
      </c>
      <c r="BO108" s="4">
        <f t="shared" si="26"/>
        <v>9.8888888888888873E-2</v>
      </c>
      <c r="BP108" s="4">
        <f t="shared" si="26"/>
        <v>4.7979797979797977E-2</v>
      </c>
      <c r="BQ108" s="4">
        <f t="shared" si="26"/>
        <v>0.01</v>
      </c>
      <c r="BR108" s="4">
        <f t="shared" si="26"/>
        <v>1.9797979797979797E-2</v>
      </c>
      <c r="BS108" s="4">
        <f t="shared" si="26"/>
        <v>9.9999999999999915E-3</v>
      </c>
      <c r="BT108" s="4">
        <f t="shared" si="26"/>
        <v>1.9797979797979797E-2</v>
      </c>
      <c r="BU108" s="4">
        <f t="shared" si="26"/>
        <v>0.01</v>
      </c>
      <c r="BV108" s="4">
        <f t="shared" si="26"/>
        <v>0.01</v>
      </c>
      <c r="BW108" s="4">
        <f t="shared" si="26"/>
        <v>0.49</v>
      </c>
      <c r="BX108" s="4">
        <f t="shared" si="26"/>
        <v>1.9797979797979797E-2</v>
      </c>
      <c r="BY108" s="4">
        <f t="shared" si="26"/>
        <v>1.39989898989899</v>
      </c>
      <c r="BZ108" s="4">
        <f t="shared" si="26"/>
        <v>1.9797979797979797E-2</v>
      </c>
      <c r="CA108" s="4">
        <f t="shared" si="26"/>
        <v>0.01</v>
      </c>
      <c r="CB108" s="4">
        <f t="shared" si="26"/>
        <v>4.7979797979797977E-2</v>
      </c>
      <c r="CC108" s="4">
        <f t="shared" si="26"/>
        <v>0.23272727272727273</v>
      </c>
      <c r="CD108" s="4">
        <f t="shared" si="26"/>
        <v>0.01</v>
      </c>
      <c r="CE108" s="4">
        <f t="shared" si="26"/>
        <v>2.9393939393939396E-2</v>
      </c>
      <c r="CF108" s="4">
        <f t="shared" si="26"/>
        <v>0.21929292929292929</v>
      </c>
      <c r="CG108" s="4">
        <f t="shared" si="26"/>
        <v>0.01</v>
      </c>
      <c r="CH108" s="4">
        <f t="shared" si="26"/>
        <v>0.01</v>
      </c>
      <c r="CI108" s="4">
        <f t="shared" si="26"/>
        <v>3.8787878787878788E-2</v>
      </c>
      <c r="CJ108" s="4">
        <f t="shared" si="26"/>
        <v>7.434343434343435E-2</v>
      </c>
      <c r="CK108" s="4">
        <f t="shared" si="26"/>
        <v>7.434343434343435E-2</v>
      </c>
      <c r="CL108" s="4">
        <f t="shared" si="26"/>
        <v>0.01</v>
      </c>
      <c r="CM108" s="4">
        <f t="shared" si="26"/>
        <v>0.32323232323232326</v>
      </c>
      <c r="CN108" s="4">
        <f t="shared" si="26"/>
        <v>3.8787878787878788E-2</v>
      </c>
      <c r="CO108" s="4">
        <f t="shared" si="26"/>
        <v>0.2071717171717172</v>
      </c>
      <c r="CP108" s="4">
        <f t="shared" si="26"/>
        <v>6.5757575757575751E-2</v>
      </c>
      <c r="CQ108" s="4">
        <f t="shared" si="26"/>
        <v>6.5757575757575751E-2</v>
      </c>
      <c r="CR108" s="4">
        <f t="shared" si="26"/>
        <v>1.9797979797979797E-2</v>
      </c>
      <c r="CS108" s="4">
        <f t="shared" si="26"/>
        <v>1.9797979797979797E-2</v>
      </c>
      <c r="CT108" s="4">
        <f t="shared" si="26"/>
        <v>0.01</v>
      </c>
      <c r="CU108" s="4">
        <f t="shared" si="26"/>
        <v>8.2727272727272719E-2</v>
      </c>
      <c r="CV108" s="4">
        <f t="shared" si="26"/>
        <v>2.9393939393939396E-2</v>
      </c>
      <c r="CW108" s="4">
        <f t="shared" si="26"/>
        <v>1.9797979797979797E-2</v>
      </c>
      <c r="CX108" s="4">
        <f t="shared" si="26"/>
        <v>0.01</v>
      </c>
      <c r="CY108" s="4">
        <f t="shared" si="26"/>
        <v>5.8989898989898988E-2</v>
      </c>
      <c r="CZ108" s="4">
        <f t="shared" si="26"/>
        <v>1.9797979797979797E-2</v>
      </c>
      <c r="DA108" s="4">
        <f t="shared" si="26"/>
        <v>3.8787878787878788E-2</v>
      </c>
      <c r="DB108" s="4">
        <f t="shared" si="26"/>
        <v>3.8787878787878788E-2</v>
      </c>
      <c r="DC108" s="4">
        <f t="shared" si="26"/>
        <v>0.12161616161616161</v>
      </c>
      <c r="DD108" s="4">
        <f t="shared" si="26"/>
        <v>2.9393939393939396E-2</v>
      </c>
      <c r="DE108" s="4">
        <f t="shared" si="26"/>
        <v>4.9595959595959596E-2</v>
      </c>
      <c r="DF108" s="4">
        <f t="shared" si="26"/>
        <v>5.6969696969696969E-2</v>
      </c>
      <c r="DG108" s="4">
        <f t="shared" si="26"/>
        <v>0.01</v>
      </c>
      <c r="DH108" s="4">
        <f t="shared" si="26"/>
        <v>0.20797979797979801</v>
      </c>
      <c r="DI108" s="4">
        <f t="shared" si="26"/>
        <v>5.6969696969696969E-2</v>
      </c>
      <c r="DJ108" s="4">
        <f t="shared" si="26"/>
        <v>1.9797979797979797E-2</v>
      </c>
      <c r="DK108" s="4">
        <f t="shared" si="26"/>
        <v>4.7979797979797977E-2</v>
      </c>
      <c r="DL108" s="4">
        <f t="shared" si="26"/>
        <v>4.7979797979797977E-2</v>
      </c>
      <c r="DM108" s="4">
        <f t="shared" si="26"/>
        <v>1.9797979797979797E-2</v>
      </c>
      <c r="DN108" s="4">
        <f t="shared" si="26"/>
        <v>0.01</v>
      </c>
      <c r="DO108" s="4">
        <f t="shared" si="26"/>
        <v>0.01</v>
      </c>
      <c r="DP108" s="4">
        <f t="shared" si="26"/>
        <v>0.01</v>
      </c>
      <c r="DQ108" s="4">
        <f t="shared" si="26"/>
        <v>5.6969696969696969E-2</v>
      </c>
      <c r="DR108" s="4">
        <f t="shared" si="26"/>
        <v>0.63383838383838387</v>
      </c>
      <c r="DS108" s="4">
        <f t="shared" si="26"/>
        <v>1.9797979797979797E-2</v>
      </c>
      <c r="DT108" s="4">
        <f t="shared" si="26"/>
        <v>4.9595959595959596E-2</v>
      </c>
      <c r="DU108" s="4">
        <f t="shared" si="26"/>
        <v>2.9393939393939396E-2</v>
      </c>
      <c r="DV108" s="4">
        <f t="shared" si="26"/>
        <v>4.9595959595959596E-2</v>
      </c>
      <c r="DW108" s="4">
        <f t="shared" si="26"/>
        <v>0.01</v>
      </c>
      <c r="DX108" s="4">
        <f t="shared" si="26"/>
        <v>0.01</v>
      </c>
      <c r="DY108" s="4">
        <f t="shared" si="26"/>
        <v>0.01</v>
      </c>
      <c r="DZ108" s="4">
        <f t="shared" ref="DZ108:FJ108" si="27">_xlfn.VAR.S(DZ2:DZ101)</f>
        <v>0.01</v>
      </c>
      <c r="EA108" s="4">
        <f t="shared" si="27"/>
        <v>3.8787878787878788E-2</v>
      </c>
      <c r="EB108" s="4">
        <f t="shared" si="27"/>
        <v>0.12161616161616161</v>
      </c>
      <c r="EC108" s="4">
        <f t="shared" si="27"/>
        <v>1.9797979797979797E-2</v>
      </c>
      <c r="ED108" s="4">
        <f t="shared" si="27"/>
        <v>0.17565656565656565</v>
      </c>
      <c r="EE108" s="4">
        <f t="shared" si="27"/>
        <v>6.5757575757575751E-2</v>
      </c>
      <c r="EF108" s="4">
        <f t="shared" si="27"/>
        <v>3.8787878787878788E-2</v>
      </c>
      <c r="EG108" s="4">
        <f t="shared" si="27"/>
        <v>1.9797979797979797E-2</v>
      </c>
      <c r="EH108" s="4">
        <f t="shared" si="27"/>
        <v>0.23545454545454547</v>
      </c>
      <c r="EI108" s="4">
        <f t="shared" si="27"/>
        <v>0.04</v>
      </c>
      <c r="EJ108" s="4">
        <f t="shared" si="27"/>
        <v>1.9797979797979797E-2</v>
      </c>
      <c r="EK108" s="4">
        <f t="shared" si="27"/>
        <v>2.9393939393939396E-2</v>
      </c>
      <c r="EL108" s="4">
        <f t="shared" si="27"/>
        <v>0.01</v>
      </c>
      <c r="EM108" s="4">
        <f t="shared" si="27"/>
        <v>2.9393939393939396E-2</v>
      </c>
      <c r="EN108" s="4">
        <f t="shared" si="27"/>
        <v>1.9797979797979797E-2</v>
      </c>
      <c r="EO108" s="4">
        <f t="shared" si="27"/>
        <v>1.9797979797979797E-2</v>
      </c>
      <c r="EP108" s="4">
        <f t="shared" si="27"/>
        <v>1.9797979797979797E-2</v>
      </c>
      <c r="EQ108" s="4">
        <f t="shared" si="27"/>
        <v>1.9797979797979797E-2</v>
      </c>
      <c r="ER108" s="4">
        <f t="shared" si="27"/>
        <v>0.01</v>
      </c>
      <c r="ES108" s="4">
        <f t="shared" si="27"/>
        <v>0.01</v>
      </c>
      <c r="ET108" s="4">
        <f t="shared" si="27"/>
        <v>0.01</v>
      </c>
      <c r="EU108" s="4">
        <f t="shared" si="27"/>
        <v>0.01</v>
      </c>
      <c r="EV108" s="4">
        <f t="shared" si="27"/>
        <v>0.22818181818181821</v>
      </c>
      <c r="EW108" s="4">
        <f t="shared" si="27"/>
        <v>2.9393939393939396E-2</v>
      </c>
      <c r="EX108" s="4">
        <f t="shared" si="27"/>
        <v>0.01</v>
      </c>
      <c r="EY108" s="4">
        <f t="shared" si="27"/>
        <v>5.6969696969696969E-2</v>
      </c>
      <c r="EZ108" s="4">
        <f t="shared" si="27"/>
        <v>0.14909090909090908</v>
      </c>
      <c r="FA108" s="4">
        <f t="shared" si="27"/>
        <v>0.33080808080808083</v>
      </c>
      <c r="FB108" s="4">
        <f t="shared" si="27"/>
        <v>1.9797979797979797E-2</v>
      </c>
      <c r="FC108" s="4">
        <f t="shared" si="27"/>
        <v>2.9393939393939396E-2</v>
      </c>
      <c r="FD108" s="4">
        <f t="shared" si="27"/>
        <v>2.9393939393939396E-2</v>
      </c>
      <c r="FE108" s="4">
        <f t="shared" si="27"/>
        <v>0.30010101010101009</v>
      </c>
      <c r="FF108" s="4">
        <f t="shared" si="27"/>
        <v>0.11424242424242424</v>
      </c>
      <c r="FG108" s="4">
        <f t="shared" si="27"/>
        <v>0.14909090909090908</v>
      </c>
      <c r="FH108" s="4">
        <f t="shared" si="27"/>
        <v>0.12686868686868688</v>
      </c>
      <c r="FI108" s="4">
        <f t="shared" si="27"/>
        <v>0.24434343434343436</v>
      </c>
      <c r="FJ108" s="4">
        <f t="shared" si="27"/>
        <v>5.6969696969696969E-2</v>
      </c>
      <c r="FK108">
        <f>_xlfn.VAR.S(FK2:FK101)</f>
        <v>1.9797979797979797E-2</v>
      </c>
      <c r="FL108" s="4">
        <f t="shared" ref="FL108:HW108" si="28">_xlfn.VAR.S(FL2:FL101)</f>
        <v>1.9797979797979797E-2</v>
      </c>
      <c r="FM108" s="4">
        <f t="shared" si="28"/>
        <v>0.01</v>
      </c>
      <c r="FN108" s="4">
        <f t="shared" si="28"/>
        <v>1.9797979797979797E-2</v>
      </c>
      <c r="FO108" s="4">
        <f t="shared" si="28"/>
        <v>0.10666666666666667</v>
      </c>
      <c r="FP108" s="4">
        <f t="shared" si="28"/>
        <v>1.9797979797979797E-2</v>
      </c>
      <c r="FQ108" s="4">
        <f t="shared" si="28"/>
        <v>1.9797979797979797E-2</v>
      </c>
      <c r="FR108" s="4">
        <f t="shared" si="28"/>
        <v>0.01</v>
      </c>
      <c r="FS108" s="4">
        <f t="shared" si="28"/>
        <v>0</v>
      </c>
      <c r="FT108" s="4">
        <f t="shared" si="28"/>
        <v>0.01</v>
      </c>
      <c r="FU108" s="4">
        <f t="shared" si="28"/>
        <v>0.18949494949494947</v>
      </c>
      <c r="FV108" s="4">
        <f t="shared" si="28"/>
        <v>0.22818181818181821</v>
      </c>
      <c r="FW108" s="4">
        <f t="shared" si="28"/>
        <v>7.434343434343435E-2</v>
      </c>
      <c r="FX108" s="4">
        <f t="shared" si="28"/>
        <v>1.9797979797979797E-2</v>
      </c>
      <c r="FY108" s="4">
        <f t="shared" si="28"/>
        <v>0.01</v>
      </c>
      <c r="FZ108" s="4">
        <f t="shared" si="28"/>
        <v>1.9797979797979797E-2</v>
      </c>
      <c r="GA108" s="4">
        <f t="shared" si="28"/>
        <v>0.01</v>
      </c>
      <c r="GB108" s="4">
        <f t="shared" si="28"/>
        <v>2.9393939393939396E-2</v>
      </c>
      <c r="GC108" s="4">
        <f t="shared" si="28"/>
        <v>0.10292929292929293</v>
      </c>
      <c r="GD108" s="4">
        <f t="shared" si="28"/>
        <v>0.01</v>
      </c>
      <c r="GE108" s="4">
        <f t="shared" si="28"/>
        <v>0.10666666666666667</v>
      </c>
      <c r="GF108" s="4">
        <f t="shared" si="28"/>
        <v>0.01</v>
      </c>
      <c r="GG108" s="4">
        <f t="shared" si="28"/>
        <v>5.6969696969696969E-2</v>
      </c>
      <c r="GH108" s="4">
        <f t="shared" si="28"/>
        <v>0.16161616161616163</v>
      </c>
      <c r="GI108" s="4">
        <f t="shared" si="28"/>
        <v>0.19434343434343437</v>
      </c>
      <c r="GJ108" s="4">
        <f t="shared" si="28"/>
        <v>8.5959595959595958E-2</v>
      </c>
      <c r="GK108" s="4">
        <f t="shared" si="28"/>
        <v>3.8787878787878788E-2</v>
      </c>
      <c r="GL108" s="4">
        <f t="shared" si="28"/>
        <v>0.01</v>
      </c>
      <c r="GM108" s="4">
        <f t="shared" si="28"/>
        <v>3.8787878787878788E-2</v>
      </c>
      <c r="GN108" s="4">
        <f t="shared" si="28"/>
        <v>7.0606060606060561E-2</v>
      </c>
      <c r="GO108" s="4">
        <f t="shared" si="28"/>
        <v>0.01</v>
      </c>
      <c r="GP108" s="4">
        <f t="shared" si="28"/>
        <v>0.10292929292929293</v>
      </c>
      <c r="GQ108" s="4">
        <f t="shared" si="28"/>
        <v>1.9797979797979797E-2</v>
      </c>
      <c r="GR108" s="4">
        <f t="shared" si="28"/>
        <v>9.8888888888888957E-2</v>
      </c>
      <c r="GS108" s="4">
        <f t="shared" si="28"/>
        <v>6.5757575757575751E-2</v>
      </c>
      <c r="GT108" s="4">
        <f t="shared" si="28"/>
        <v>4.7979797979797977E-2</v>
      </c>
      <c r="GU108" s="4">
        <f t="shared" si="28"/>
        <v>4.7979797979797977E-2</v>
      </c>
      <c r="GV108" s="4">
        <f t="shared" si="28"/>
        <v>0.23626262626262626</v>
      </c>
      <c r="GW108" s="4">
        <f t="shared" si="28"/>
        <v>3.8787878787878788E-2</v>
      </c>
      <c r="GX108" s="4">
        <f t="shared" si="28"/>
        <v>0</v>
      </c>
      <c r="GY108" s="4">
        <f t="shared" si="28"/>
        <v>1.9797979797979797E-2</v>
      </c>
      <c r="GZ108" s="4">
        <f t="shared" si="28"/>
        <v>0.22979797979797981</v>
      </c>
      <c r="HA108" s="4">
        <f t="shared" si="28"/>
        <v>0.01</v>
      </c>
      <c r="HB108" s="4">
        <f t="shared" si="28"/>
        <v>0.17484848484848484</v>
      </c>
      <c r="HC108" s="4">
        <f t="shared" si="28"/>
        <v>0.01</v>
      </c>
      <c r="HD108" s="4">
        <f t="shared" si="28"/>
        <v>1.9797979797979797E-2</v>
      </c>
      <c r="HE108" s="4">
        <f t="shared" si="28"/>
        <v>8.2727272727272719E-2</v>
      </c>
      <c r="HF108" s="4">
        <f t="shared" si="28"/>
        <v>0.15545454545454546</v>
      </c>
      <c r="HG108" s="4">
        <f t="shared" si="28"/>
        <v>1.9797979797979797E-2</v>
      </c>
      <c r="HH108" s="4">
        <f t="shared" si="28"/>
        <v>0.01</v>
      </c>
      <c r="HI108" s="4">
        <f t="shared" si="28"/>
        <v>9.0909090909090912E-2</v>
      </c>
      <c r="HJ108" s="4">
        <f t="shared" si="28"/>
        <v>0.01</v>
      </c>
      <c r="HK108" s="4">
        <f t="shared" si="28"/>
        <v>6.5757575757575751E-2</v>
      </c>
      <c r="HL108" s="4">
        <f t="shared" si="28"/>
        <v>6.5757575757575751E-2</v>
      </c>
      <c r="HM108" s="4">
        <f t="shared" si="28"/>
        <v>2.9393939393939396E-2</v>
      </c>
      <c r="HN108" s="4">
        <f t="shared" si="28"/>
        <v>0.01</v>
      </c>
      <c r="HO108" s="4">
        <f t="shared" si="28"/>
        <v>4.7979797979797977E-2</v>
      </c>
      <c r="HP108" s="4">
        <f t="shared" si="28"/>
        <v>6.5757575757575751E-2</v>
      </c>
      <c r="HQ108" s="4">
        <f t="shared" si="28"/>
        <v>1.9797979797979797E-2</v>
      </c>
      <c r="HR108" s="4">
        <f t="shared" si="28"/>
        <v>0.10292929292929293</v>
      </c>
      <c r="HS108" s="4">
        <f t="shared" si="28"/>
        <v>3.8787878787878788E-2</v>
      </c>
      <c r="HT108" s="4">
        <f t="shared" si="28"/>
        <v>2.9393939393939396E-2</v>
      </c>
      <c r="HU108" s="4">
        <f t="shared" si="28"/>
        <v>0.1788888888888889</v>
      </c>
      <c r="HV108" s="4">
        <f t="shared" si="28"/>
        <v>0.25212121212121213</v>
      </c>
      <c r="HW108" s="4">
        <f t="shared" si="28"/>
        <v>0.16757575757575757</v>
      </c>
      <c r="HX108" s="4">
        <f t="shared" ref="HX108:KI108" si="29">_xlfn.VAR.S(HX2:HX101)</f>
        <v>0.01</v>
      </c>
      <c r="HY108" s="4">
        <f t="shared" si="29"/>
        <v>0.13575757575757574</v>
      </c>
      <c r="HZ108" s="4">
        <f t="shared" si="29"/>
        <v>2.9393939393939396E-2</v>
      </c>
      <c r="IA108" s="4">
        <f t="shared" si="29"/>
        <v>0.01</v>
      </c>
      <c r="IB108" s="4">
        <f t="shared" si="29"/>
        <v>0.01</v>
      </c>
      <c r="IC108" s="4">
        <f t="shared" si="29"/>
        <v>0.21979797979797977</v>
      </c>
      <c r="ID108" s="4">
        <f t="shared" si="29"/>
        <v>4.7979797979797977E-2</v>
      </c>
      <c r="IE108" s="4">
        <f t="shared" si="29"/>
        <v>0.01</v>
      </c>
      <c r="IF108" s="4">
        <f t="shared" si="29"/>
        <v>8.2727272727272719E-2</v>
      </c>
      <c r="IG108" s="4">
        <f t="shared" si="29"/>
        <v>0.01</v>
      </c>
      <c r="IH108" s="4">
        <f t="shared" si="29"/>
        <v>0.14909090909090908</v>
      </c>
      <c r="II108" s="4">
        <f t="shared" si="29"/>
        <v>0.01</v>
      </c>
      <c r="IJ108" s="4">
        <f t="shared" si="29"/>
        <v>7.434343434343435E-2</v>
      </c>
      <c r="IK108" s="4">
        <f t="shared" si="29"/>
        <v>9.8888888888888873E-2</v>
      </c>
      <c r="IL108" s="4">
        <f t="shared" si="29"/>
        <v>1.9797979797979797E-2</v>
      </c>
      <c r="IM108" s="4">
        <f t="shared" si="29"/>
        <v>0.20797979797979799</v>
      </c>
      <c r="IN108" s="4">
        <f t="shared" si="29"/>
        <v>1.9797979797979797E-2</v>
      </c>
      <c r="IO108" s="4">
        <f t="shared" si="29"/>
        <v>0.01</v>
      </c>
      <c r="IP108" s="4">
        <f t="shared" si="29"/>
        <v>0.23626262626262626</v>
      </c>
      <c r="IQ108" s="4">
        <f t="shared" si="29"/>
        <v>0.25090909090909091</v>
      </c>
      <c r="IR108" s="4">
        <f t="shared" si="29"/>
        <v>0.01</v>
      </c>
      <c r="IS108" s="4">
        <f t="shared" si="29"/>
        <v>0.12686868686868688</v>
      </c>
      <c r="IT108" s="4">
        <f t="shared" si="29"/>
        <v>0.01</v>
      </c>
      <c r="IU108" s="4">
        <f t="shared" si="29"/>
        <v>2.9393939393939396E-2</v>
      </c>
      <c r="IV108" s="4">
        <f t="shared" si="29"/>
        <v>0.01</v>
      </c>
      <c r="IW108" s="4">
        <f t="shared" si="29"/>
        <v>0.01</v>
      </c>
      <c r="IX108" s="4">
        <f t="shared" si="29"/>
        <v>0</v>
      </c>
      <c r="IY108" s="4">
        <f t="shared" si="29"/>
        <v>3.8787878787878788E-2</v>
      </c>
      <c r="IZ108" s="4">
        <f t="shared" si="29"/>
        <v>0.01</v>
      </c>
      <c r="JA108" s="4">
        <f t="shared" si="29"/>
        <v>1.9797979797979797E-2</v>
      </c>
      <c r="JB108" s="4">
        <f t="shared" si="29"/>
        <v>0.20202020202020202</v>
      </c>
      <c r="JC108" s="4">
        <f t="shared" si="29"/>
        <v>4.7979797979797977E-2</v>
      </c>
      <c r="JD108" s="4">
        <f t="shared" si="29"/>
        <v>3.8787878787878788E-2</v>
      </c>
      <c r="JE108" s="4">
        <f t="shared" si="29"/>
        <v>0.01</v>
      </c>
      <c r="JF108" s="4">
        <f t="shared" si="29"/>
        <v>2.9393939393939396E-2</v>
      </c>
      <c r="JG108" s="4">
        <f t="shared" si="29"/>
        <v>0.01</v>
      </c>
      <c r="JH108" s="4">
        <f t="shared" si="29"/>
        <v>1.9797979797979797E-2</v>
      </c>
      <c r="JI108" s="4">
        <f t="shared" si="29"/>
        <v>0.19434343434343437</v>
      </c>
      <c r="JJ108" s="4">
        <f t="shared" si="29"/>
        <v>0.25</v>
      </c>
      <c r="JK108" s="4">
        <f t="shared" si="29"/>
        <v>0.01</v>
      </c>
      <c r="JL108" s="4">
        <f t="shared" si="29"/>
        <v>0.17333333333333334</v>
      </c>
      <c r="JM108" s="4">
        <f t="shared" si="29"/>
        <v>0.01</v>
      </c>
      <c r="JN108" s="4">
        <f t="shared" si="29"/>
        <v>4.7979797979797977E-2</v>
      </c>
      <c r="JO108" s="4">
        <f t="shared" si="29"/>
        <v>0.01</v>
      </c>
      <c r="JP108" s="4">
        <f t="shared" si="29"/>
        <v>0.40595959595959591</v>
      </c>
      <c r="JQ108" s="4">
        <f t="shared" si="29"/>
        <v>9.0909090909090912E-2</v>
      </c>
      <c r="JR108" s="4">
        <f t="shared" si="29"/>
        <v>0.01</v>
      </c>
      <c r="JS108" s="4">
        <f t="shared" si="29"/>
        <v>0.13575757575757574</v>
      </c>
      <c r="JT108" s="4">
        <f t="shared" si="29"/>
        <v>1.9797979797979797E-2</v>
      </c>
      <c r="JU108" s="4">
        <f t="shared" si="29"/>
        <v>0.23797979797979801</v>
      </c>
      <c r="JV108" s="4">
        <f t="shared" si="29"/>
        <v>3.8787878787878788E-2</v>
      </c>
      <c r="JW108" s="4">
        <f t="shared" si="29"/>
        <v>0.23545454545454547</v>
      </c>
      <c r="JX108" s="4">
        <f t="shared" si="29"/>
        <v>0.10666666666666667</v>
      </c>
      <c r="JY108" s="4">
        <f t="shared" si="29"/>
        <v>7.434343434343435E-2</v>
      </c>
      <c r="JZ108" s="4">
        <f t="shared" si="29"/>
        <v>3.8787878787878788E-2</v>
      </c>
      <c r="KA108" s="4">
        <f t="shared" si="29"/>
        <v>0.01</v>
      </c>
      <c r="KB108" s="4">
        <f t="shared" si="29"/>
        <v>0.01</v>
      </c>
      <c r="KC108" s="4">
        <f t="shared" si="29"/>
        <v>0.01</v>
      </c>
      <c r="KD108" s="4">
        <f t="shared" si="29"/>
        <v>5.6969696969696969E-2</v>
      </c>
      <c r="KE108" s="4">
        <f t="shared" si="29"/>
        <v>0.01</v>
      </c>
      <c r="KF108" s="4">
        <f t="shared" si="29"/>
        <v>1.9797979797979797E-2</v>
      </c>
      <c r="KG108" s="4">
        <f t="shared" si="29"/>
        <v>0.01</v>
      </c>
      <c r="KH108" s="4">
        <f t="shared" si="29"/>
        <v>9.8888888888888873E-2</v>
      </c>
      <c r="KI108" s="4">
        <f t="shared" si="29"/>
        <v>4.7979797979797977E-2</v>
      </c>
      <c r="KJ108" s="4">
        <f t="shared" ref="KJ108:MU108" si="30">_xlfn.VAR.S(KJ2:KJ101)</f>
        <v>2.9393939393939396E-2</v>
      </c>
      <c r="KK108" s="4">
        <f t="shared" si="30"/>
        <v>0.30010101010101009</v>
      </c>
      <c r="KL108" s="4">
        <f t="shared" si="30"/>
        <v>0.14181818181818182</v>
      </c>
      <c r="KM108" s="4">
        <f t="shared" si="30"/>
        <v>0.22818181818181821</v>
      </c>
      <c r="KN108" s="4">
        <f t="shared" si="30"/>
        <v>9.8888888888888873E-2</v>
      </c>
      <c r="KO108" s="4">
        <f t="shared" si="30"/>
        <v>0.01</v>
      </c>
      <c r="KP108" s="4">
        <f t="shared" si="30"/>
        <v>1.9797979797979797E-2</v>
      </c>
      <c r="KQ108" s="4">
        <f t="shared" si="30"/>
        <v>0.43181818181818182</v>
      </c>
      <c r="KR108" s="4">
        <f t="shared" si="30"/>
        <v>5.6969696969696969E-2</v>
      </c>
      <c r="KS108" s="4">
        <f t="shared" si="30"/>
        <v>0.01</v>
      </c>
      <c r="KT108" s="4">
        <f t="shared" si="30"/>
        <v>0.15545454545454546</v>
      </c>
      <c r="KU108" s="4">
        <f t="shared" si="30"/>
        <v>0.14333333333333334</v>
      </c>
      <c r="KV108" s="4">
        <f t="shared" si="30"/>
        <v>0.01</v>
      </c>
      <c r="KW108" s="4">
        <f t="shared" si="30"/>
        <v>1.9797979797979797E-2</v>
      </c>
      <c r="KX108" s="4">
        <f t="shared" si="30"/>
        <v>0.28070707070707068</v>
      </c>
      <c r="KY108" s="4">
        <f t="shared" si="30"/>
        <v>0.01</v>
      </c>
      <c r="KZ108" s="4">
        <f t="shared" si="30"/>
        <v>0.01</v>
      </c>
      <c r="LA108" s="4">
        <f t="shared" si="30"/>
        <v>4.7979797979797977E-2</v>
      </c>
      <c r="LB108" s="4">
        <f t="shared" si="30"/>
        <v>2.9393939393939396E-2</v>
      </c>
      <c r="LC108" s="4">
        <f t="shared" si="30"/>
        <v>1.9797979797979797E-2</v>
      </c>
      <c r="LD108" s="4">
        <f t="shared" si="30"/>
        <v>3.8787878787878788E-2</v>
      </c>
      <c r="LE108" s="4">
        <f t="shared" si="30"/>
        <v>2.9393939393939396E-2</v>
      </c>
      <c r="LF108" s="4">
        <f t="shared" si="30"/>
        <v>1.9797979797979797E-2</v>
      </c>
      <c r="LG108" s="4">
        <f t="shared" si="30"/>
        <v>0.1111111111111111</v>
      </c>
      <c r="LH108" s="4">
        <f t="shared" si="30"/>
        <v>0.01</v>
      </c>
      <c r="LI108" s="4">
        <f t="shared" si="30"/>
        <v>0</v>
      </c>
      <c r="LJ108" s="4">
        <f t="shared" si="30"/>
        <v>0.43676767676767686</v>
      </c>
      <c r="LK108" s="4">
        <f t="shared" si="30"/>
        <v>7.434343434343435E-2</v>
      </c>
      <c r="LL108" s="4">
        <f t="shared" si="30"/>
        <v>3.8787878787878788E-2</v>
      </c>
      <c r="LM108" s="4">
        <f t="shared" si="30"/>
        <v>0.01</v>
      </c>
      <c r="LN108" s="4">
        <f t="shared" si="30"/>
        <v>1.9797979797979797E-2</v>
      </c>
      <c r="LO108" s="4">
        <f t="shared" si="30"/>
        <v>1.0852525252525251</v>
      </c>
      <c r="LP108" s="4">
        <f t="shared" si="30"/>
        <v>0.01</v>
      </c>
      <c r="LQ108" s="4">
        <f t="shared" si="30"/>
        <v>0.24434343434343436</v>
      </c>
      <c r="LR108" s="4">
        <f t="shared" si="30"/>
        <v>1.9797979797979735E-2</v>
      </c>
      <c r="LS108" s="4">
        <f t="shared" si="30"/>
        <v>3.8787878787878788E-2</v>
      </c>
      <c r="LT108" s="4">
        <f t="shared" si="30"/>
        <v>2.9393939393939396E-2</v>
      </c>
      <c r="LU108" s="4">
        <f t="shared" si="30"/>
        <v>0</v>
      </c>
      <c r="LV108" s="4">
        <f t="shared" si="30"/>
        <v>3.8787878787878788E-2</v>
      </c>
      <c r="LW108" s="4">
        <f t="shared" si="30"/>
        <v>1.9797979797979797E-2</v>
      </c>
      <c r="LX108" s="4">
        <f t="shared" si="30"/>
        <v>0.24888888888888888</v>
      </c>
      <c r="LY108" s="4">
        <f t="shared" si="30"/>
        <v>8.2727272727272719E-2</v>
      </c>
      <c r="LZ108" s="4">
        <f t="shared" si="30"/>
        <v>1.9797979797979797E-2</v>
      </c>
      <c r="MA108" s="4">
        <f t="shared" si="30"/>
        <v>0.13575757575757574</v>
      </c>
      <c r="MB108" s="4">
        <f t="shared" si="30"/>
        <v>4.7979797979797977E-2</v>
      </c>
      <c r="MC108" s="4">
        <f t="shared" si="30"/>
        <v>0.11424242424242424</v>
      </c>
      <c r="MD108" s="4">
        <f t="shared" si="30"/>
        <v>0.01</v>
      </c>
      <c r="ME108" s="4">
        <f t="shared" si="30"/>
        <v>0.25212121212121213</v>
      </c>
      <c r="MF108" s="4">
        <f t="shared" si="30"/>
        <v>0.01</v>
      </c>
      <c r="MG108" s="4">
        <f t="shared" si="30"/>
        <v>0.33292929292929296</v>
      </c>
      <c r="MH108" s="4">
        <f t="shared" si="30"/>
        <v>6.5757575757575751E-2</v>
      </c>
      <c r="MI108" s="4">
        <f t="shared" si="30"/>
        <v>0.01</v>
      </c>
      <c r="MJ108" s="4">
        <f t="shared" si="30"/>
        <v>1.9797979797979797E-2</v>
      </c>
      <c r="MK108" s="4">
        <f t="shared" si="30"/>
        <v>1.9797979797979797E-2</v>
      </c>
      <c r="ML108" s="4">
        <f t="shared" si="30"/>
        <v>0.34535353535353536</v>
      </c>
      <c r="MM108" s="4">
        <f t="shared" si="30"/>
        <v>3.8787878787878788E-2</v>
      </c>
      <c r="MN108" s="4">
        <f t="shared" si="30"/>
        <v>6.5757575757575806E-2</v>
      </c>
      <c r="MO108" s="4">
        <f t="shared" si="30"/>
        <v>0.11424242424242424</v>
      </c>
      <c r="MP108" s="4">
        <f t="shared" si="30"/>
        <v>0.01</v>
      </c>
      <c r="MQ108" s="4">
        <f t="shared" si="30"/>
        <v>0</v>
      </c>
      <c r="MR108" s="4">
        <f t="shared" si="30"/>
        <v>0.15595959595959596</v>
      </c>
      <c r="MS108" s="4">
        <f t="shared" si="30"/>
        <v>2.9393939393939396E-2</v>
      </c>
      <c r="MT108" s="4">
        <f t="shared" si="30"/>
        <v>0.01</v>
      </c>
      <c r="MU108" s="4">
        <f t="shared" si="30"/>
        <v>0.18939393939393939</v>
      </c>
      <c r="MV108" s="4">
        <f t="shared" ref="MV108:OQ108" si="31">_xlfn.VAR.S(MV2:MV101)</f>
        <v>0.01</v>
      </c>
      <c r="MW108" s="4">
        <f t="shared" si="31"/>
        <v>4.7979797979797977E-2</v>
      </c>
      <c r="MX108" s="4">
        <f t="shared" si="31"/>
        <v>0.16272727272727272</v>
      </c>
      <c r="MY108" s="4">
        <f t="shared" si="31"/>
        <v>7.434343434343435E-2</v>
      </c>
      <c r="MZ108" s="4">
        <f t="shared" si="31"/>
        <v>1.9797979797979797E-2</v>
      </c>
      <c r="NA108" s="4">
        <f t="shared" si="31"/>
        <v>0.01</v>
      </c>
      <c r="NB108" s="4">
        <f t="shared" si="31"/>
        <v>0.01</v>
      </c>
      <c r="NC108" s="4">
        <f t="shared" si="31"/>
        <v>0.01</v>
      </c>
      <c r="ND108" s="4">
        <f t="shared" si="31"/>
        <v>0.01</v>
      </c>
      <c r="NE108" s="4">
        <f t="shared" si="31"/>
        <v>5.6969696969696976E-2</v>
      </c>
      <c r="NF108" s="4">
        <f t="shared" si="31"/>
        <v>1.9797979797979797E-2</v>
      </c>
      <c r="NG108" s="4">
        <f t="shared" si="31"/>
        <v>0.01</v>
      </c>
      <c r="NH108" s="4">
        <f t="shared" si="31"/>
        <v>4.7979797979797977E-2</v>
      </c>
      <c r="NI108" s="4">
        <f t="shared" si="31"/>
        <v>1.9797979797979797E-2</v>
      </c>
      <c r="NJ108" s="4">
        <f t="shared" si="31"/>
        <v>0.01</v>
      </c>
      <c r="NK108" s="4">
        <f t="shared" si="31"/>
        <v>2.9393939393939396E-2</v>
      </c>
      <c r="NL108" s="4">
        <f t="shared" si="31"/>
        <v>0.01</v>
      </c>
      <c r="NM108" s="4">
        <f t="shared" si="31"/>
        <v>0.18373737373737375</v>
      </c>
      <c r="NN108" s="4">
        <f t="shared" si="31"/>
        <v>9.9999999999999915E-3</v>
      </c>
      <c r="NO108" s="4">
        <f t="shared" si="31"/>
        <v>0.25242424242424238</v>
      </c>
      <c r="NP108" s="4">
        <f t="shared" si="31"/>
        <v>0.15151515151515152</v>
      </c>
      <c r="NQ108" s="4">
        <f t="shared" si="31"/>
        <v>5.6969696969696969E-2</v>
      </c>
      <c r="NR108" s="4">
        <f t="shared" si="31"/>
        <v>0.29040404040404039</v>
      </c>
      <c r="NS108" s="4">
        <f t="shared" si="31"/>
        <v>0.01</v>
      </c>
      <c r="NT108" s="4">
        <f t="shared" si="31"/>
        <v>1.9797979797979797E-2</v>
      </c>
      <c r="NU108" s="4">
        <f t="shared" si="31"/>
        <v>0.01</v>
      </c>
      <c r="NV108" s="4">
        <f t="shared" si="31"/>
        <v>0.01</v>
      </c>
      <c r="NW108" s="4">
        <f t="shared" si="31"/>
        <v>1.9797979797979797E-2</v>
      </c>
      <c r="NX108" s="4">
        <f t="shared" si="31"/>
        <v>0.21454545454545457</v>
      </c>
      <c r="NY108" s="4">
        <f t="shared" si="31"/>
        <v>0.01</v>
      </c>
      <c r="NZ108" s="4">
        <f t="shared" si="31"/>
        <v>6.5757575757575751E-2</v>
      </c>
      <c r="OA108" s="4">
        <f t="shared" si="31"/>
        <v>2.9393939393939396E-2</v>
      </c>
      <c r="OB108" s="4">
        <f t="shared" si="31"/>
        <v>0.11424242424242424</v>
      </c>
      <c r="OC108" s="4">
        <f t="shared" si="31"/>
        <v>0.1990909090909091</v>
      </c>
      <c r="OD108" s="4">
        <f t="shared" si="31"/>
        <v>1.9797979797979797E-2</v>
      </c>
      <c r="OE108" s="4">
        <f t="shared" si="31"/>
        <v>3.8787878787878788E-2</v>
      </c>
      <c r="OF108" s="4">
        <f t="shared" si="31"/>
        <v>0.01</v>
      </c>
      <c r="OG108" s="4">
        <f t="shared" si="31"/>
        <v>0.11424242424242424</v>
      </c>
      <c r="OH108" s="4">
        <f t="shared" si="31"/>
        <v>0.01</v>
      </c>
      <c r="OI108" s="4">
        <f t="shared" si="31"/>
        <v>0.14909090909090908</v>
      </c>
      <c r="OJ108" s="4">
        <f t="shared" si="31"/>
        <v>0.01</v>
      </c>
      <c r="OK108" s="4">
        <f t="shared" si="31"/>
        <v>0.23545454545454547</v>
      </c>
      <c r="OL108" s="4">
        <f t="shared" si="31"/>
        <v>0.45848484848484833</v>
      </c>
      <c r="OM108" s="4">
        <f t="shared" si="31"/>
        <v>1.9797979797979797E-2</v>
      </c>
      <c r="ON108" s="4">
        <f t="shared" si="31"/>
        <v>0.24434343434343436</v>
      </c>
      <c r="OO108" s="4">
        <f t="shared" si="31"/>
        <v>1.9797979797979797E-2</v>
      </c>
      <c r="OP108" s="4">
        <f t="shared" si="31"/>
        <v>2.9393939393939396E-2</v>
      </c>
      <c r="OQ108" s="4">
        <f t="shared" si="31"/>
        <v>0.27020202020202022</v>
      </c>
    </row>
    <row r="109" spans="1:410" x14ac:dyDescent="0.3">
      <c r="A109" s="9" t="s">
        <v>600</v>
      </c>
      <c r="B109" s="1">
        <f>SQRT(B108)</f>
        <v>0.53361734861928423</v>
      </c>
      <c r="C109" s="1">
        <f>SQRT(C108)</f>
        <v>0.14070529413628968</v>
      </c>
      <c r="D109" s="1">
        <f t="shared" ref="D109:BO109" si="32">SQRT(D108)</f>
        <v>0.1</v>
      </c>
      <c r="E109" s="1">
        <f t="shared" si="32"/>
        <v>0.55732042902271273</v>
      </c>
      <c r="F109" s="1">
        <f t="shared" si="32"/>
        <v>0.33799766898963113</v>
      </c>
      <c r="G109" s="1">
        <f t="shared" si="32"/>
        <v>0.50642338656962349</v>
      </c>
      <c r="H109" s="1">
        <f t="shared" si="32"/>
        <v>0.5218459852516184</v>
      </c>
      <c r="I109" s="1">
        <f t="shared" si="32"/>
        <v>0.46482319871173178</v>
      </c>
      <c r="J109" s="1">
        <f t="shared" si="32"/>
        <v>0.3666666666666667</v>
      </c>
      <c r="K109" s="1">
        <f t="shared" si="32"/>
        <v>0.1</v>
      </c>
      <c r="L109" s="1">
        <f t="shared" si="32"/>
        <v>0.43992653197477588</v>
      </c>
      <c r="M109" s="1">
        <f t="shared" si="32"/>
        <v>0.44084400227680809</v>
      </c>
      <c r="N109" s="1">
        <f t="shared" si="32"/>
        <v>0.5064233865696236</v>
      </c>
      <c r="O109" s="1">
        <f t="shared" si="32"/>
        <v>0.23868325657594203</v>
      </c>
      <c r="P109" s="1">
        <f t="shared" si="32"/>
        <v>0.50161355804659191</v>
      </c>
      <c r="Q109" s="1">
        <f t="shared" si="32"/>
        <v>0.17144660799776518</v>
      </c>
      <c r="R109" s="1">
        <f t="shared" si="32"/>
        <v>0.45781651302236748</v>
      </c>
      <c r="S109" s="1">
        <f t="shared" si="32"/>
        <v>0.28762349126466136</v>
      </c>
      <c r="T109" s="1">
        <f t="shared" si="32"/>
        <v>0.23868325657594203</v>
      </c>
      <c r="U109" s="1">
        <f t="shared" si="32"/>
        <v>0.1</v>
      </c>
      <c r="V109" s="1">
        <f t="shared" si="32"/>
        <v>0.28426762180748061</v>
      </c>
      <c r="W109" s="1">
        <f t="shared" si="32"/>
        <v>0.19694638556693236</v>
      </c>
      <c r="X109" s="1">
        <f t="shared" si="32"/>
        <v>0.5218459852516184</v>
      </c>
      <c r="Y109" s="1">
        <f t="shared" si="32"/>
        <v>0.19694638556693236</v>
      </c>
      <c r="Z109" s="1">
        <f t="shared" si="32"/>
        <v>0.40339468604243256</v>
      </c>
      <c r="AA109" s="1">
        <f t="shared" si="32"/>
        <v>9.999999999999995E-2</v>
      </c>
      <c r="AB109" s="1">
        <f t="shared" si="32"/>
        <v>0.5064233865696236</v>
      </c>
      <c r="AC109" s="1">
        <f t="shared" si="32"/>
        <v>0.35887028128263671</v>
      </c>
      <c r="AD109" s="1">
        <f t="shared" si="32"/>
        <v>0.4221158824088691</v>
      </c>
      <c r="AE109" s="1">
        <f t="shared" si="32"/>
        <v>0.49431107042371036</v>
      </c>
      <c r="AF109" s="1">
        <f t="shared" si="32"/>
        <v>0.4351941398892446</v>
      </c>
      <c r="AG109" s="1">
        <f t="shared" si="32"/>
        <v>0.46882617226215068</v>
      </c>
      <c r="AH109" s="1">
        <f t="shared" si="32"/>
        <v>0.3861229196653691</v>
      </c>
      <c r="AI109" s="1">
        <f t="shared" si="32"/>
        <v>0.41971611377407958</v>
      </c>
      <c r="AJ109" s="1">
        <f t="shared" si="32"/>
        <v>1.1229470606444905</v>
      </c>
      <c r="AK109" s="1">
        <f t="shared" si="32"/>
        <v>0.3775251680686369</v>
      </c>
      <c r="AL109" s="1">
        <f t="shared" si="32"/>
        <v>0.14070529413628968</v>
      </c>
      <c r="AM109" s="1">
        <f t="shared" si="32"/>
        <v>0.4229525846816507</v>
      </c>
      <c r="AN109" s="1">
        <f t="shared" si="32"/>
        <v>0.46319051646752718</v>
      </c>
      <c r="AO109" s="1">
        <f t="shared" si="32"/>
        <v>0.47937248544110228</v>
      </c>
      <c r="AP109" s="1">
        <f t="shared" si="32"/>
        <v>0.46319051646752718</v>
      </c>
      <c r="AQ109" s="1">
        <f t="shared" si="32"/>
        <v>0.48199920365414745</v>
      </c>
      <c r="AR109" s="1">
        <f t="shared" si="32"/>
        <v>0.34873508801977698</v>
      </c>
      <c r="AS109" s="1">
        <f t="shared" si="32"/>
        <v>0.31446603773522008</v>
      </c>
      <c r="AT109" s="1">
        <f t="shared" si="32"/>
        <v>0.27265992434429076</v>
      </c>
      <c r="AU109" s="1">
        <f t="shared" si="32"/>
        <v>0.14070529413628946</v>
      </c>
      <c r="AV109" s="1">
        <f t="shared" si="32"/>
        <v>0.33333333333333331</v>
      </c>
      <c r="AW109" s="1">
        <f t="shared" si="32"/>
        <v>0.27265992434429076</v>
      </c>
      <c r="AX109" s="1">
        <f t="shared" si="32"/>
        <v>0.14070529413628968</v>
      </c>
      <c r="AY109" s="1">
        <f t="shared" si="32"/>
        <v>0.35547663265485741</v>
      </c>
      <c r="AZ109" s="1">
        <f t="shared" si="32"/>
        <v>0.26111648393354675</v>
      </c>
      <c r="BA109" s="1">
        <f t="shared" si="32"/>
        <v>0.17144660799776529</v>
      </c>
      <c r="BB109" s="1">
        <f t="shared" si="32"/>
        <v>0.21904291355759031</v>
      </c>
      <c r="BC109" s="1">
        <f t="shared" si="32"/>
        <v>0.30151134457776363</v>
      </c>
      <c r="BD109" s="1">
        <f t="shared" si="32"/>
        <v>0.19694638556693236</v>
      </c>
      <c r="BE109" s="1">
        <f t="shared" si="32"/>
        <v>0.19694638556693236</v>
      </c>
      <c r="BF109" s="1">
        <f t="shared" si="32"/>
        <v>0.3775251680686369</v>
      </c>
      <c r="BG109" s="1">
        <f t="shared" si="32"/>
        <v>0.40201512610368484</v>
      </c>
      <c r="BH109" s="1">
        <f t="shared" si="32"/>
        <v>0.17144660799776529</v>
      </c>
      <c r="BI109" s="1">
        <f t="shared" si="32"/>
        <v>0.1</v>
      </c>
      <c r="BJ109" s="1">
        <f t="shared" si="32"/>
        <v>0.17144660799776529</v>
      </c>
      <c r="BK109" s="1">
        <f t="shared" si="32"/>
        <v>0.1</v>
      </c>
      <c r="BL109" s="1">
        <f t="shared" si="32"/>
        <v>0.35887028128263671</v>
      </c>
      <c r="BM109" s="1">
        <f t="shared" si="32"/>
        <v>0.1</v>
      </c>
      <c r="BN109" s="1">
        <f t="shared" si="32"/>
        <v>0.35887028128263671</v>
      </c>
      <c r="BO109" s="1">
        <f t="shared" si="32"/>
        <v>0.31446603773522008</v>
      </c>
      <c r="BP109" s="1">
        <f t="shared" ref="BP109:EA109" si="33">SQRT(BP108)</f>
        <v>0.21904291355759031</v>
      </c>
      <c r="BQ109" s="1">
        <f t="shared" si="33"/>
        <v>0.1</v>
      </c>
      <c r="BR109" s="1">
        <f t="shared" si="33"/>
        <v>0.14070529413628968</v>
      </c>
      <c r="BS109" s="1">
        <f t="shared" si="33"/>
        <v>9.9999999999999964E-2</v>
      </c>
      <c r="BT109" s="1">
        <f t="shared" si="33"/>
        <v>0.14070529413628968</v>
      </c>
      <c r="BU109" s="1">
        <f t="shared" si="33"/>
        <v>0.1</v>
      </c>
      <c r="BV109" s="1">
        <f t="shared" si="33"/>
        <v>0.1</v>
      </c>
      <c r="BW109" s="1">
        <f t="shared" si="33"/>
        <v>0.7</v>
      </c>
      <c r="BX109" s="1">
        <f t="shared" si="33"/>
        <v>0.14070529413628968</v>
      </c>
      <c r="BY109" s="1">
        <f t="shared" si="33"/>
        <v>1.1831732712916523</v>
      </c>
      <c r="BZ109" s="1">
        <f t="shared" si="33"/>
        <v>0.14070529413628968</v>
      </c>
      <c r="CA109" s="1">
        <f t="shared" si="33"/>
        <v>0.1</v>
      </c>
      <c r="CB109" s="1">
        <f t="shared" si="33"/>
        <v>0.21904291355759031</v>
      </c>
      <c r="CC109" s="1">
        <f t="shared" si="33"/>
        <v>0.48241815132442178</v>
      </c>
      <c r="CD109" s="1">
        <f t="shared" si="33"/>
        <v>0.1</v>
      </c>
      <c r="CE109" s="1">
        <f t="shared" si="33"/>
        <v>0.17144660799776529</v>
      </c>
      <c r="CF109" s="1">
        <f t="shared" si="33"/>
        <v>0.46828722947879892</v>
      </c>
      <c r="CG109" s="1">
        <f t="shared" si="33"/>
        <v>0.1</v>
      </c>
      <c r="CH109" s="1">
        <f t="shared" si="33"/>
        <v>0.1</v>
      </c>
      <c r="CI109" s="1">
        <f t="shared" si="33"/>
        <v>0.19694638556693236</v>
      </c>
      <c r="CJ109" s="1">
        <f t="shared" si="33"/>
        <v>0.27265992434429076</v>
      </c>
      <c r="CK109" s="1">
        <f t="shared" si="33"/>
        <v>0.27265992434429076</v>
      </c>
      <c r="CL109" s="1">
        <f t="shared" si="33"/>
        <v>0.1</v>
      </c>
      <c r="CM109" s="1">
        <f t="shared" si="33"/>
        <v>0.56853524361496122</v>
      </c>
      <c r="CN109" s="1">
        <f t="shared" si="33"/>
        <v>0.19694638556693236</v>
      </c>
      <c r="CO109" s="1">
        <f t="shared" si="33"/>
        <v>0.4551611991061158</v>
      </c>
      <c r="CP109" s="1">
        <f t="shared" si="33"/>
        <v>0.25643239997624279</v>
      </c>
      <c r="CQ109" s="1">
        <f t="shared" si="33"/>
        <v>0.25643239997624279</v>
      </c>
      <c r="CR109" s="1">
        <f t="shared" si="33"/>
        <v>0.14070529413628968</v>
      </c>
      <c r="CS109" s="1">
        <f t="shared" si="33"/>
        <v>0.14070529413628968</v>
      </c>
      <c r="CT109" s="1">
        <f t="shared" si="33"/>
        <v>0.1</v>
      </c>
      <c r="CU109" s="1">
        <f t="shared" si="33"/>
        <v>0.28762349126466136</v>
      </c>
      <c r="CV109" s="1">
        <f t="shared" si="33"/>
        <v>0.17144660799776529</v>
      </c>
      <c r="CW109" s="1">
        <f t="shared" si="33"/>
        <v>0.14070529413628968</v>
      </c>
      <c r="CX109" s="1">
        <f t="shared" si="33"/>
        <v>0.1</v>
      </c>
      <c r="CY109" s="1">
        <f t="shared" si="33"/>
        <v>0.24287836253956216</v>
      </c>
      <c r="CZ109" s="1">
        <f t="shared" si="33"/>
        <v>0.14070529413628968</v>
      </c>
      <c r="DA109" s="1">
        <f t="shared" si="33"/>
        <v>0.19694638556693236</v>
      </c>
      <c r="DB109" s="1">
        <f t="shared" si="33"/>
        <v>0.19694638556693236</v>
      </c>
      <c r="DC109" s="1">
        <f t="shared" si="33"/>
        <v>0.34873508801977698</v>
      </c>
      <c r="DD109" s="1">
        <f t="shared" si="33"/>
        <v>0.17144660799776529</v>
      </c>
      <c r="DE109" s="1">
        <f t="shared" si="33"/>
        <v>0.22270150335361366</v>
      </c>
      <c r="DF109" s="1">
        <f t="shared" si="33"/>
        <v>0.23868325657594203</v>
      </c>
      <c r="DG109" s="1">
        <f t="shared" si="33"/>
        <v>0.1</v>
      </c>
      <c r="DH109" s="1">
        <f t="shared" si="33"/>
        <v>0.4560480215720687</v>
      </c>
      <c r="DI109" s="1">
        <f t="shared" si="33"/>
        <v>0.23868325657594203</v>
      </c>
      <c r="DJ109" s="1">
        <f t="shared" si="33"/>
        <v>0.14070529413628968</v>
      </c>
      <c r="DK109" s="1">
        <f t="shared" si="33"/>
        <v>0.21904291355759031</v>
      </c>
      <c r="DL109" s="1">
        <f t="shared" si="33"/>
        <v>0.21904291355759031</v>
      </c>
      <c r="DM109" s="1">
        <f t="shared" si="33"/>
        <v>0.14070529413628968</v>
      </c>
      <c r="DN109" s="1">
        <f t="shared" si="33"/>
        <v>0.1</v>
      </c>
      <c r="DO109" s="1">
        <f t="shared" si="33"/>
        <v>0.1</v>
      </c>
      <c r="DP109" s="1">
        <f t="shared" si="33"/>
        <v>0.1</v>
      </c>
      <c r="DQ109" s="1">
        <f t="shared" si="33"/>
        <v>0.23868325657594203</v>
      </c>
      <c r="DR109" s="1">
        <f t="shared" si="33"/>
        <v>0.79613967608603953</v>
      </c>
      <c r="DS109" s="1">
        <f t="shared" si="33"/>
        <v>0.14070529413628968</v>
      </c>
      <c r="DT109" s="1">
        <f t="shared" si="33"/>
        <v>0.22270150335361366</v>
      </c>
      <c r="DU109" s="1">
        <f t="shared" si="33"/>
        <v>0.17144660799776529</v>
      </c>
      <c r="DV109" s="1">
        <f t="shared" si="33"/>
        <v>0.22270150335361366</v>
      </c>
      <c r="DW109" s="1">
        <f t="shared" si="33"/>
        <v>0.1</v>
      </c>
      <c r="DX109" s="1">
        <f t="shared" si="33"/>
        <v>0.1</v>
      </c>
      <c r="DY109" s="1">
        <f t="shared" si="33"/>
        <v>0.1</v>
      </c>
      <c r="DZ109" s="1">
        <f t="shared" si="33"/>
        <v>0.1</v>
      </c>
      <c r="EA109" s="1">
        <f t="shared" si="33"/>
        <v>0.19694638556693236</v>
      </c>
      <c r="EB109" s="1">
        <f t="shared" ref="EB109:GM109" si="34">SQRT(EB108)</f>
        <v>0.34873508801977698</v>
      </c>
      <c r="EC109" s="1">
        <f t="shared" si="34"/>
        <v>0.14070529413628968</v>
      </c>
      <c r="ED109" s="1">
        <f t="shared" si="34"/>
        <v>0.41911402464790609</v>
      </c>
      <c r="EE109" s="1">
        <f t="shared" si="34"/>
        <v>0.25643239997624279</v>
      </c>
      <c r="EF109" s="1">
        <f t="shared" si="34"/>
        <v>0.19694638556693236</v>
      </c>
      <c r="EG109" s="1">
        <f t="shared" si="34"/>
        <v>0.14070529413628968</v>
      </c>
      <c r="EH109" s="1">
        <f t="shared" si="34"/>
        <v>0.48523658709390977</v>
      </c>
      <c r="EI109" s="1">
        <f t="shared" si="34"/>
        <v>0.2</v>
      </c>
      <c r="EJ109" s="1">
        <f t="shared" si="34"/>
        <v>0.14070529413628968</v>
      </c>
      <c r="EK109" s="1">
        <f t="shared" si="34"/>
        <v>0.17144660799776529</v>
      </c>
      <c r="EL109" s="1">
        <f t="shared" si="34"/>
        <v>0.1</v>
      </c>
      <c r="EM109" s="1">
        <f t="shared" si="34"/>
        <v>0.17144660799776529</v>
      </c>
      <c r="EN109" s="1">
        <f t="shared" si="34"/>
        <v>0.14070529413628968</v>
      </c>
      <c r="EO109" s="1">
        <f t="shared" si="34"/>
        <v>0.14070529413628968</v>
      </c>
      <c r="EP109" s="1">
        <f t="shared" si="34"/>
        <v>0.14070529413628968</v>
      </c>
      <c r="EQ109" s="1">
        <f t="shared" si="34"/>
        <v>0.14070529413628968</v>
      </c>
      <c r="ER109" s="1">
        <f t="shared" si="34"/>
        <v>0.1</v>
      </c>
      <c r="ES109" s="1">
        <f t="shared" si="34"/>
        <v>0.1</v>
      </c>
      <c r="ET109" s="1">
        <f t="shared" si="34"/>
        <v>0.1</v>
      </c>
      <c r="EU109" s="1">
        <f t="shared" si="34"/>
        <v>0.1</v>
      </c>
      <c r="EV109" s="1">
        <f t="shared" si="34"/>
        <v>0.47768380565162372</v>
      </c>
      <c r="EW109" s="1">
        <f t="shared" si="34"/>
        <v>0.17144660799776529</v>
      </c>
      <c r="EX109" s="1">
        <f t="shared" si="34"/>
        <v>0.1</v>
      </c>
      <c r="EY109" s="1">
        <f t="shared" si="34"/>
        <v>0.23868325657594203</v>
      </c>
      <c r="EZ109" s="1">
        <f t="shared" si="34"/>
        <v>0.3861229196653691</v>
      </c>
      <c r="FA109" s="1">
        <f t="shared" si="34"/>
        <v>0.57515917866976685</v>
      </c>
      <c r="FB109" s="1">
        <f t="shared" si="34"/>
        <v>0.14070529413628968</v>
      </c>
      <c r="FC109" s="1">
        <f t="shared" si="34"/>
        <v>0.17144660799776529</v>
      </c>
      <c r="FD109" s="1">
        <f t="shared" si="34"/>
        <v>0.17144660799776529</v>
      </c>
      <c r="FE109" s="1">
        <f t="shared" si="34"/>
        <v>0.54781475892952181</v>
      </c>
      <c r="FF109" s="1">
        <f t="shared" si="34"/>
        <v>0.33799766898963113</v>
      </c>
      <c r="FG109" s="1">
        <f t="shared" si="34"/>
        <v>0.3861229196653691</v>
      </c>
      <c r="FH109" s="1">
        <f t="shared" si="34"/>
        <v>0.35618630921006339</v>
      </c>
      <c r="FI109" s="1">
        <f t="shared" si="34"/>
        <v>0.49431107042371036</v>
      </c>
      <c r="FJ109" s="1">
        <f t="shared" si="34"/>
        <v>0.23868325657594203</v>
      </c>
      <c r="FK109" s="1">
        <f t="shared" si="34"/>
        <v>0.14070529413628968</v>
      </c>
      <c r="FL109" s="1">
        <f t="shared" si="34"/>
        <v>0.14070529413628968</v>
      </c>
      <c r="FM109" s="1">
        <f t="shared" si="34"/>
        <v>0.1</v>
      </c>
      <c r="FN109" s="1">
        <f t="shared" si="34"/>
        <v>0.14070529413628968</v>
      </c>
      <c r="FO109" s="1">
        <f t="shared" si="34"/>
        <v>0.32659863237109044</v>
      </c>
      <c r="FP109" s="1">
        <f t="shared" si="34"/>
        <v>0.14070529413628968</v>
      </c>
      <c r="FQ109" s="1">
        <f t="shared" si="34"/>
        <v>0.14070529413628968</v>
      </c>
      <c r="FR109" s="1">
        <f t="shared" si="34"/>
        <v>0.1</v>
      </c>
      <c r="FS109" s="1">
        <f t="shared" si="34"/>
        <v>0</v>
      </c>
      <c r="FT109" s="1">
        <f t="shared" si="34"/>
        <v>0.1</v>
      </c>
      <c r="FU109" s="1">
        <f t="shared" si="34"/>
        <v>0.43531017619043716</v>
      </c>
      <c r="FV109" s="1">
        <f t="shared" si="34"/>
        <v>0.47768380565162372</v>
      </c>
      <c r="FW109" s="1">
        <f t="shared" si="34"/>
        <v>0.27265992434429076</v>
      </c>
      <c r="FX109" s="1">
        <f t="shared" si="34"/>
        <v>0.14070529413628968</v>
      </c>
      <c r="FY109" s="1">
        <f t="shared" si="34"/>
        <v>0.1</v>
      </c>
      <c r="FZ109" s="1">
        <f t="shared" si="34"/>
        <v>0.14070529413628968</v>
      </c>
      <c r="GA109" s="1">
        <f t="shared" si="34"/>
        <v>0.1</v>
      </c>
      <c r="GB109" s="1">
        <f t="shared" si="34"/>
        <v>0.17144660799776529</v>
      </c>
      <c r="GC109" s="1">
        <f t="shared" si="34"/>
        <v>0.32082595426382343</v>
      </c>
      <c r="GD109" s="1">
        <f t="shared" si="34"/>
        <v>0.1</v>
      </c>
      <c r="GE109" s="1">
        <f t="shared" si="34"/>
        <v>0.32659863237109044</v>
      </c>
      <c r="GF109" s="1">
        <f t="shared" si="34"/>
        <v>0.1</v>
      </c>
      <c r="GG109" s="1">
        <f t="shared" si="34"/>
        <v>0.23868325657594203</v>
      </c>
      <c r="GH109" s="1">
        <f t="shared" si="34"/>
        <v>0.40201512610368484</v>
      </c>
      <c r="GI109" s="1">
        <f t="shared" si="34"/>
        <v>0.44084400227680809</v>
      </c>
      <c r="GJ109" s="1">
        <f t="shared" si="34"/>
        <v>0.29318866956210288</v>
      </c>
      <c r="GK109" s="1">
        <f t="shared" si="34"/>
        <v>0.19694638556693236</v>
      </c>
      <c r="GL109" s="1">
        <f t="shared" si="34"/>
        <v>0.1</v>
      </c>
      <c r="GM109" s="1">
        <f t="shared" si="34"/>
        <v>0.19694638556693236</v>
      </c>
      <c r="GN109" s="1">
        <f t="shared" ref="GN109:IY109" si="35">SQRT(GN108)</f>
        <v>0.26571800956288333</v>
      </c>
      <c r="GO109" s="1">
        <f t="shared" si="35"/>
        <v>0.1</v>
      </c>
      <c r="GP109" s="1">
        <f t="shared" si="35"/>
        <v>0.32082595426382343</v>
      </c>
      <c r="GQ109" s="1">
        <f t="shared" si="35"/>
        <v>0.14070529413628968</v>
      </c>
      <c r="GR109" s="1">
        <f t="shared" si="35"/>
        <v>0.31446603773522025</v>
      </c>
      <c r="GS109" s="1">
        <f t="shared" si="35"/>
        <v>0.25643239997624279</v>
      </c>
      <c r="GT109" s="1">
        <f t="shared" si="35"/>
        <v>0.21904291355759031</v>
      </c>
      <c r="GU109" s="1">
        <f t="shared" si="35"/>
        <v>0.21904291355759031</v>
      </c>
      <c r="GV109" s="1">
        <f t="shared" si="35"/>
        <v>0.48606854070452477</v>
      </c>
      <c r="GW109" s="1">
        <f t="shared" si="35"/>
        <v>0.19694638556693236</v>
      </c>
      <c r="GX109" s="1">
        <f t="shared" si="35"/>
        <v>0</v>
      </c>
      <c r="GY109" s="1">
        <f t="shared" si="35"/>
        <v>0.14070529413628968</v>
      </c>
      <c r="GZ109" s="1">
        <f t="shared" si="35"/>
        <v>0.47937248544110228</v>
      </c>
      <c r="HA109" s="1">
        <f t="shared" si="35"/>
        <v>0.1</v>
      </c>
      <c r="HB109" s="1">
        <f t="shared" si="35"/>
        <v>0.41814887880811641</v>
      </c>
      <c r="HC109" s="1">
        <f t="shared" si="35"/>
        <v>0.1</v>
      </c>
      <c r="HD109" s="1">
        <f t="shared" si="35"/>
        <v>0.14070529413628968</v>
      </c>
      <c r="HE109" s="1">
        <f t="shared" si="35"/>
        <v>0.28762349126466136</v>
      </c>
      <c r="HF109" s="1">
        <f t="shared" si="35"/>
        <v>0.39427724440366257</v>
      </c>
      <c r="HG109" s="1">
        <f t="shared" si="35"/>
        <v>0.14070529413628968</v>
      </c>
      <c r="HH109" s="1">
        <f t="shared" si="35"/>
        <v>0.1</v>
      </c>
      <c r="HI109" s="1">
        <f t="shared" si="35"/>
        <v>0.30151134457776363</v>
      </c>
      <c r="HJ109" s="1">
        <f t="shared" si="35"/>
        <v>0.1</v>
      </c>
      <c r="HK109" s="1">
        <f t="shared" si="35"/>
        <v>0.25643239997624279</v>
      </c>
      <c r="HL109" s="1">
        <f t="shared" si="35"/>
        <v>0.25643239997624279</v>
      </c>
      <c r="HM109" s="1">
        <f t="shared" si="35"/>
        <v>0.17144660799776529</v>
      </c>
      <c r="HN109" s="1">
        <f t="shared" si="35"/>
        <v>0.1</v>
      </c>
      <c r="HO109" s="1">
        <f t="shared" si="35"/>
        <v>0.21904291355759031</v>
      </c>
      <c r="HP109" s="1">
        <f t="shared" si="35"/>
        <v>0.25643239997624279</v>
      </c>
      <c r="HQ109" s="1">
        <f t="shared" si="35"/>
        <v>0.14070529413628968</v>
      </c>
      <c r="HR109" s="1">
        <f t="shared" si="35"/>
        <v>0.32082595426382343</v>
      </c>
      <c r="HS109" s="1">
        <f t="shared" si="35"/>
        <v>0.19694638556693236</v>
      </c>
      <c r="HT109" s="1">
        <f t="shared" si="35"/>
        <v>0.17144660799776529</v>
      </c>
      <c r="HU109" s="1">
        <f t="shared" si="35"/>
        <v>0.4229525846816507</v>
      </c>
      <c r="HV109" s="1">
        <f t="shared" si="35"/>
        <v>0.50211673156867831</v>
      </c>
      <c r="HW109" s="1">
        <f t="shared" si="35"/>
        <v>0.40936018074033237</v>
      </c>
      <c r="HX109" s="1">
        <f t="shared" si="35"/>
        <v>0.1</v>
      </c>
      <c r="HY109" s="1">
        <f t="shared" si="35"/>
        <v>0.36845294917747062</v>
      </c>
      <c r="HZ109" s="1">
        <f t="shared" si="35"/>
        <v>0.17144660799776529</v>
      </c>
      <c r="IA109" s="1">
        <f t="shared" si="35"/>
        <v>0.1</v>
      </c>
      <c r="IB109" s="1">
        <f t="shared" si="35"/>
        <v>0.1</v>
      </c>
      <c r="IC109" s="1">
        <f t="shared" si="35"/>
        <v>0.46882617226215068</v>
      </c>
      <c r="ID109" s="1">
        <f t="shared" si="35"/>
        <v>0.21904291355759031</v>
      </c>
      <c r="IE109" s="1">
        <f t="shared" si="35"/>
        <v>0.1</v>
      </c>
      <c r="IF109" s="1">
        <f t="shared" si="35"/>
        <v>0.28762349126466136</v>
      </c>
      <c r="IG109" s="1">
        <f t="shared" si="35"/>
        <v>0.1</v>
      </c>
      <c r="IH109" s="1">
        <f t="shared" si="35"/>
        <v>0.3861229196653691</v>
      </c>
      <c r="II109" s="1">
        <f t="shared" si="35"/>
        <v>0.1</v>
      </c>
      <c r="IJ109" s="1">
        <f t="shared" si="35"/>
        <v>0.27265992434429076</v>
      </c>
      <c r="IK109" s="1">
        <f t="shared" si="35"/>
        <v>0.31446603773522008</v>
      </c>
      <c r="IL109" s="1">
        <f t="shared" si="35"/>
        <v>0.14070529413628968</v>
      </c>
      <c r="IM109" s="1">
        <f t="shared" si="35"/>
        <v>0.45604802157206864</v>
      </c>
      <c r="IN109" s="1">
        <f t="shared" si="35"/>
        <v>0.14070529413628968</v>
      </c>
      <c r="IO109" s="1">
        <f t="shared" si="35"/>
        <v>0.1</v>
      </c>
      <c r="IP109" s="1">
        <f t="shared" si="35"/>
        <v>0.48606854070452477</v>
      </c>
      <c r="IQ109" s="1">
        <f t="shared" si="35"/>
        <v>0.50090826596203308</v>
      </c>
      <c r="IR109" s="1">
        <f t="shared" si="35"/>
        <v>0.1</v>
      </c>
      <c r="IS109" s="1">
        <f t="shared" si="35"/>
        <v>0.35618630921006339</v>
      </c>
      <c r="IT109" s="1">
        <f t="shared" si="35"/>
        <v>0.1</v>
      </c>
      <c r="IU109" s="1">
        <f t="shared" si="35"/>
        <v>0.17144660799776529</v>
      </c>
      <c r="IV109" s="1">
        <f t="shared" si="35"/>
        <v>0.1</v>
      </c>
      <c r="IW109" s="1">
        <f t="shared" si="35"/>
        <v>0.1</v>
      </c>
      <c r="IX109" s="1">
        <f t="shared" si="35"/>
        <v>0</v>
      </c>
      <c r="IY109" s="1">
        <f t="shared" si="35"/>
        <v>0.19694638556693236</v>
      </c>
      <c r="IZ109" s="1">
        <f t="shared" ref="IZ109:LK109" si="36">SQRT(IZ108)</f>
        <v>0.1</v>
      </c>
      <c r="JA109" s="1">
        <f t="shared" si="36"/>
        <v>0.14070529413628968</v>
      </c>
      <c r="JB109" s="1">
        <f t="shared" si="36"/>
        <v>0.44946657497549469</v>
      </c>
      <c r="JC109" s="1">
        <f t="shared" si="36"/>
        <v>0.21904291355759031</v>
      </c>
      <c r="JD109" s="1">
        <f t="shared" si="36"/>
        <v>0.19694638556693236</v>
      </c>
      <c r="JE109" s="1">
        <f t="shared" si="36"/>
        <v>0.1</v>
      </c>
      <c r="JF109" s="1">
        <f t="shared" si="36"/>
        <v>0.17144660799776529</v>
      </c>
      <c r="JG109" s="1">
        <f t="shared" si="36"/>
        <v>0.1</v>
      </c>
      <c r="JH109" s="1">
        <f t="shared" si="36"/>
        <v>0.14070529413628968</v>
      </c>
      <c r="JI109" s="1">
        <f t="shared" si="36"/>
        <v>0.44084400227680809</v>
      </c>
      <c r="JJ109" s="1">
        <f t="shared" si="36"/>
        <v>0.5</v>
      </c>
      <c r="JK109" s="1">
        <f t="shared" si="36"/>
        <v>0.1</v>
      </c>
      <c r="JL109" s="1">
        <f t="shared" si="36"/>
        <v>0.41633319989322654</v>
      </c>
      <c r="JM109" s="1">
        <f t="shared" si="36"/>
        <v>0.1</v>
      </c>
      <c r="JN109" s="1">
        <f t="shared" si="36"/>
        <v>0.21904291355759031</v>
      </c>
      <c r="JO109" s="1">
        <f t="shared" si="36"/>
        <v>0.1</v>
      </c>
      <c r="JP109" s="1">
        <f t="shared" si="36"/>
        <v>0.63714958680014533</v>
      </c>
      <c r="JQ109" s="1">
        <f t="shared" si="36"/>
        <v>0.30151134457776363</v>
      </c>
      <c r="JR109" s="1">
        <f t="shared" si="36"/>
        <v>0.1</v>
      </c>
      <c r="JS109" s="1">
        <f t="shared" si="36"/>
        <v>0.36845294917747062</v>
      </c>
      <c r="JT109" s="1">
        <f t="shared" si="36"/>
        <v>0.14070529413628968</v>
      </c>
      <c r="JU109" s="1">
        <f t="shared" si="36"/>
        <v>0.48783173121456336</v>
      </c>
      <c r="JV109" s="1">
        <f t="shared" si="36"/>
        <v>0.19694638556693236</v>
      </c>
      <c r="JW109" s="1">
        <f t="shared" si="36"/>
        <v>0.48523658709390977</v>
      </c>
      <c r="JX109" s="1">
        <f t="shared" si="36"/>
        <v>0.32659863237109044</v>
      </c>
      <c r="JY109" s="1">
        <f t="shared" si="36"/>
        <v>0.27265992434429076</v>
      </c>
      <c r="JZ109" s="1">
        <f t="shared" si="36"/>
        <v>0.19694638556693236</v>
      </c>
      <c r="KA109" s="1">
        <f t="shared" si="36"/>
        <v>0.1</v>
      </c>
      <c r="KB109" s="1">
        <f t="shared" si="36"/>
        <v>0.1</v>
      </c>
      <c r="KC109" s="1">
        <f t="shared" si="36"/>
        <v>0.1</v>
      </c>
      <c r="KD109" s="1">
        <f t="shared" si="36"/>
        <v>0.23868325657594203</v>
      </c>
      <c r="KE109" s="1">
        <f t="shared" si="36"/>
        <v>0.1</v>
      </c>
      <c r="KF109" s="1">
        <f t="shared" si="36"/>
        <v>0.14070529413628968</v>
      </c>
      <c r="KG109" s="1">
        <f t="shared" si="36"/>
        <v>0.1</v>
      </c>
      <c r="KH109" s="1">
        <f t="shared" si="36"/>
        <v>0.31446603773522008</v>
      </c>
      <c r="KI109" s="1">
        <f t="shared" si="36"/>
        <v>0.21904291355759031</v>
      </c>
      <c r="KJ109" s="1">
        <f t="shared" si="36"/>
        <v>0.17144660799776529</v>
      </c>
      <c r="KK109" s="1">
        <f t="shared" si="36"/>
        <v>0.54781475892952181</v>
      </c>
      <c r="KL109" s="1">
        <f t="shared" si="36"/>
        <v>0.37658754867650873</v>
      </c>
      <c r="KM109" s="1">
        <f t="shared" si="36"/>
        <v>0.47768380565162372</v>
      </c>
      <c r="KN109" s="1">
        <f t="shared" si="36"/>
        <v>0.31446603773522008</v>
      </c>
      <c r="KO109" s="1">
        <f t="shared" si="36"/>
        <v>0.1</v>
      </c>
      <c r="KP109" s="1">
        <f t="shared" si="36"/>
        <v>0.14070529413628968</v>
      </c>
      <c r="KQ109" s="1">
        <f t="shared" si="36"/>
        <v>0.65712874067277094</v>
      </c>
      <c r="KR109" s="1">
        <f t="shared" si="36"/>
        <v>0.23868325657594203</v>
      </c>
      <c r="KS109" s="1">
        <f t="shared" si="36"/>
        <v>0.1</v>
      </c>
      <c r="KT109" s="1">
        <f t="shared" si="36"/>
        <v>0.39427724440366257</v>
      </c>
      <c r="KU109" s="1">
        <f t="shared" si="36"/>
        <v>0.37859388972001823</v>
      </c>
      <c r="KV109" s="1">
        <f t="shared" si="36"/>
        <v>0.1</v>
      </c>
      <c r="KW109" s="1">
        <f t="shared" si="36"/>
        <v>0.14070529413628968</v>
      </c>
      <c r="KX109" s="1">
        <f t="shared" si="36"/>
        <v>0.52981795997028136</v>
      </c>
      <c r="KY109" s="1">
        <f t="shared" si="36"/>
        <v>0.1</v>
      </c>
      <c r="KZ109" s="1">
        <f t="shared" si="36"/>
        <v>0.1</v>
      </c>
      <c r="LA109" s="1">
        <f t="shared" si="36"/>
        <v>0.21904291355759031</v>
      </c>
      <c r="LB109" s="1">
        <f t="shared" si="36"/>
        <v>0.17144660799776529</v>
      </c>
      <c r="LC109" s="1">
        <f t="shared" si="36"/>
        <v>0.14070529413628968</v>
      </c>
      <c r="LD109" s="1">
        <f t="shared" si="36"/>
        <v>0.19694638556693236</v>
      </c>
      <c r="LE109" s="1">
        <f t="shared" si="36"/>
        <v>0.17144660799776529</v>
      </c>
      <c r="LF109" s="1">
        <f t="shared" si="36"/>
        <v>0.14070529413628968</v>
      </c>
      <c r="LG109" s="1">
        <f t="shared" si="36"/>
        <v>0.33333333333333331</v>
      </c>
      <c r="LH109" s="1">
        <f t="shared" si="36"/>
        <v>0.1</v>
      </c>
      <c r="LI109" s="1">
        <f t="shared" si="36"/>
        <v>0</v>
      </c>
      <c r="LJ109" s="1">
        <f t="shared" si="36"/>
        <v>0.66088401158423926</v>
      </c>
      <c r="LK109" s="1">
        <f t="shared" si="36"/>
        <v>0.27265992434429076</v>
      </c>
      <c r="LL109" s="1">
        <f t="shared" ref="LL109:NW109" si="37">SQRT(LL108)</f>
        <v>0.19694638556693236</v>
      </c>
      <c r="LM109" s="1">
        <f t="shared" si="37"/>
        <v>0.1</v>
      </c>
      <c r="LN109" s="1">
        <f t="shared" si="37"/>
        <v>0.14070529413628968</v>
      </c>
      <c r="LO109" s="1">
        <f t="shared" si="37"/>
        <v>1.041754541747971</v>
      </c>
      <c r="LP109" s="1">
        <f t="shared" si="37"/>
        <v>0.1</v>
      </c>
      <c r="LQ109" s="1">
        <f t="shared" si="37"/>
        <v>0.49431107042371036</v>
      </c>
      <c r="LR109" s="1">
        <f t="shared" si="37"/>
        <v>0.14070529413628946</v>
      </c>
      <c r="LS109" s="1">
        <f t="shared" si="37"/>
        <v>0.19694638556693236</v>
      </c>
      <c r="LT109" s="1">
        <f t="shared" si="37"/>
        <v>0.17144660799776529</v>
      </c>
      <c r="LU109" s="1">
        <f t="shared" si="37"/>
        <v>0</v>
      </c>
      <c r="LV109" s="1">
        <f t="shared" si="37"/>
        <v>0.19694638556693236</v>
      </c>
      <c r="LW109" s="1">
        <f t="shared" si="37"/>
        <v>0.14070529413628968</v>
      </c>
      <c r="LX109" s="1">
        <f t="shared" si="37"/>
        <v>0.49888765156985887</v>
      </c>
      <c r="LY109" s="1">
        <f t="shared" si="37"/>
        <v>0.28762349126466136</v>
      </c>
      <c r="LZ109" s="1">
        <f t="shared" si="37"/>
        <v>0.14070529413628968</v>
      </c>
      <c r="MA109" s="1">
        <f t="shared" si="37"/>
        <v>0.36845294917747062</v>
      </c>
      <c r="MB109" s="1">
        <f t="shared" si="37"/>
        <v>0.21904291355759031</v>
      </c>
      <c r="MC109" s="1">
        <f t="shared" si="37"/>
        <v>0.33799766898963113</v>
      </c>
      <c r="MD109" s="1">
        <f t="shared" si="37"/>
        <v>0.1</v>
      </c>
      <c r="ME109" s="1">
        <f t="shared" si="37"/>
        <v>0.50211673156867831</v>
      </c>
      <c r="MF109" s="1">
        <f t="shared" si="37"/>
        <v>0.1</v>
      </c>
      <c r="MG109" s="1">
        <f t="shared" si="37"/>
        <v>0.57700025383815301</v>
      </c>
      <c r="MH109" s="1">
        <f t="shared" si="37"/>
        <v>0.25643239997624279</v>
      </c>
      <c r="MI109" s="1">
        <f t="shared" si="37"/>
        <v>0.1</v>
      </c>
      <c r="MJ109" s="1">
        <f t="shared" si="37"/>
        <v>0.14070529413628968</v>
      </c>
      <c r="MK109" s="1">
        <f t="shared" si="37"/>
        <v>0.14070529413628968</v>
      </c>
      <c r="ML109" s="1">
        <f t="shared" si="37"/>
        <v>0.58766787844286283</v>
      </c>
      <c r="MM109" s="1">
        <f t="shared" si="37"/>
        <v>0.19694638556693236</v>
      </c>
      <c r="MN109" s="1">
        <f t="shared" si="37"/>
        <v>0.2564323999762429</v>
      </c>
      <c r="MO109" s="1">
        <f t="shared" si="37"/>
        <v>0.33799766898963113</v>
      </c>
      <c r="MP109" s="1">
        <f t="shared" si="37"/>
        <v>0.1</v>
      </c>
      <c r="MQ109" s="1">
        <f t="shared" si="37"/>
        <v>0</v>
      </c>
      <c r="MR109" s="1">
        <f t="shared" si="37"/>
        <v>0.3949172013974524</v>
      </c>
      <c r="MS109" s="1">
        <f t="shared" si="37"/>
        <v>0.17144660799776529</v>
      </c>
      <c r="MT109" s="1">
        <f t="shared" si="37"/>
        <v>0.1</v>
      </c>
      <c r="MU109" s="1">
        <f t="shared" si="37"/>
        <v>0.4351941398892446</v>
      </c>
      <c r="MV109" s="1">
        <f t="shared" si="37"/>
        <v>0.1</v>
      </c>
      <c r="MW109" s="1">
        <f t="shared" si="37"/>
        <v>0.21904291355759031</v>
      </c>
      <c r="MX109" s="1">
        <f t="shared" si="37"/>
        <v>0.40339468604243256</v>
      </c>
      <c r="MY109" s="1">
        <f t="shared" si="37"/>
        <v>0.27265992434429076</v>
      </c>
      <c r="MZ109" s="1">
        <f t="shared" si="37"/>
        <v>0.14070529413628968</v>
      </c>
      <c r="NA109" s="1">
        <f t="shared" si="37"/>
        <v>0.1</v>
      </c>
      <c r="NB109" s="1">
        <f t="shared" si="37"/>
        <v>0.1</v>
      </c>
      <c r="NC109" s="1">
        <f t="shared" si="37"/>
        <v>0.1</v>
      </c>
      <c r="ND109" s="1">
        <f t="shared" si="37"/>
        <v>0.1</v>
      </c>
      <c r="NE109" s="1">
        <f t="shared" si="37"/>
        <v>0.23868325657594203</v>
      </c>
      <c r="NF109" s="1">
        <f t="shared" si="37"/>
        <v>0.14070529413628968</v>
      </c>
      <c r="NG109" s="1">
        <f t="shared" si="37"/>
        <v>0.1</v>
      </c>
      <c r="NH109" s="1">
        <f t="shared" si="37"/>
        <v>0.21904291355759031</v>
      </c>
      <c r="NI109" s="1">
        <f t="shared" si="37"/>
        <v>0.14070529413628968</v>
      </c>
      <c r="NJ109" s="1">
        <f t="shared" si="37"/>
        <v>0.1</v>
      </c>
      <c r="NK109" s="1">
        <f t="shared" si="37"/>
        <v>0.17144660799776529</v>
      </c>
      <c r="NL109" s="1">
        <f t="shared" si="37"/>
        <v>0.1</v>
      </c>
      <c r="NM109" s="1">
        <f t="shared" si="37"/>
        <v>0.42864597716224256</v>
      </c>
      <c r="NN109" s="1">
        <f t="shared" si="37"/>
        <v>9.9999999999999964E-2</v>
      </c>
      <c r="NO109" s="1">
        <f t="shared" si="37"/>
        <v>0.50241839379569131</v>
      </c>
      <c r="NP109" s="1">
        <f t="shared" si="37"/>
        <v>0.38924947208076149</v>
      </c>
      <c r="NQ109" s="1">
        <f t="shared" si="37"/>
        <v>0.23868325657594203</v>
      </c>
      <c r="NR109" s="1">
        <f t="shared" si="37"/>
        <v>0.53889149223571942</v>
      </c>
      <c r="NS109" s="1">
        <f t="shared" si="37"/>
        <v>0.1</v>
      </c>
      <c r="NT109" s="1">
        <f t="shared" si="37"/>
        <v>0.14070529413628968</v>
      </c>
      <c r="NU109" s="1">
        <f t="shared" si="37"/>
        <v>0.1</v>
      </c>
      <c r="NV109" s="1">
        <f t="shared" si="37"/>
        <v>0.1</v>
      </c>
      <c r="NW109" s="1">
        <f t="shared" si="37"/>
        <v>0.14070529413628968</v>
      </c>
      <c r="NX109" s="1">
        <f t="shared" ref="NX109:OQ109" si="38">SQRT(NX108)</f>
        <v>0.46319051646752718</v>
      </c>
      <c r="NY109" s="1">
        <f t="shared" si="38"/>
        <v>0.1</v>
      </c>
      <c r="NZ109" s="1">
        <f t="shared" si="38"/>
        <v>0.25643239997624279</v>
      </c>
      <c r="OA109" s="1">
        <f t="shared" si="38"/>
        <v>0.17144660799776529</v>
      </c>
      <c r="OB109" s="1">
        <f t="shared" si="38"/>
        <v>0.33799766898963113</v>
      </c>
      <c r="OC109" s="1">
        <f t="shared" si="38"/>
        <v>0.44619604333847368</v>
      </c>
      <c r="OD109" s="1">
        <f t="shared" si="38"/>
        <v>0.14070529413628968</v>
      </c>
      <c r="OE109" s="1">
        <f t="shared" si="38"/>
        <v>0.19694638556693236</v>
      </c>
      <c r="OF109" s="1">
        <f t="shared" si="38"/>
        <v>0.1</v>
      </c>
      <c r="OG109" s="1">
        <f t="shared" si="38"/>
        <v>0.33799766898963113</v>
      </c>
      <c r="OH109" s="1">
        <f t="shared" si="38"/>
        <v>0.1</v>
      </c>
      <c r="OI109" s="1">
        <f t="shared" si="38"/>
        <v>0.3861229196653691</v>
      </c>
      <c r="OJ109" s="1">
        <f t="shared" si="38"/>
        <v>0.1</v>
      </c>
      <c r="OK109" s="1">
        <f t="shared" si="38"/>
        <v>0.48523658709390977</v>
      </c>
      <c r="OL109" s="1">
        <f t="shared" si="38"/>
        <v>0.67711509249524804</v>
      </c>
      <c r="OM109" s="1">
        <f t="shared" si="38"/>
        <v>0.14070529413628968</v>
      </c>
      <c r="ON109" s="1">
        <f t="shared" si="38"/>
        <v>0.49431107042371036</v>
      </c>
      <c r="OO109" s="1">
        <f t="shared" si="38"/>
        <v>0.14070529413628968</v>
      </c>
      <c r="OP109" s="1">
        <f t="shared" si="38"/>
        <v>0.17144660799776529</v>
      </c>
      <c r="OQ109" s="1">
        <f t="shared" si="38"/>
        <v>0.51980959995177101</v>
      </c>
    </row>
    <row r="110" spans="1:410" x14ac:dyDescent="0.3">
      <c r="E110" s="4"/>
      <c r="F110" s="4"/>
      <c r="G110" s="4"/>
      <c r="H110" s="4"/>
    </row>
    <row r="111" spans="1:410" x14ac:dyDescent="0.3">
      <c r="A111" s="9" t="s">
        <v>602</v>
      </c>
      <c r="B111">
        <f>MODE(B2:B101)</f>
        <v>0</v>
      </c>
      <c r="C111" s="4">
        <f t="shared" ref="C111:BN111" si="39">MODE(C2:C101)</f>
        <v>0</v>
      </c>
      <c r="D111" s="4">
        <f t="shared" si="39"/>
        <v>0</v>
      </c>
      <c r="E111" s="4">
        <f t="shared" si="39"/>
        <v>0</v>
      </c>
      <c r="F111" s="4">
        <f t="shared" si="39"/>
        <v>1</v>
      </c>
      <c r="G111" s="4">
        <f t="shared" si="39"/>
        <v>1</v>
      </c>
      <c r="H111" s="4">
        <f t="shared" si="39"/>
        <v>0</v>
      </c>
      <c r="I111" s="4">
        <f t="shared" si="39"/>
        <v>0</v>
      </c>
      <c r="J111" s="4">
        <f t="shared" si="39"/>
        <v>0</v>
      </c>
      <c r="K111" s="4">
        <f t="shared" si="39"/>
        <v>0</v>
      </c>
      <c r="L111" s="4">
        <f t="shared" si="39"/>
        <v>1</v>
      </c>
      <c r="M111" s="4">
        <f t="shared" si="39"/>
        <v>0</v>
      </c>
      <c r="N111" s="4">
        <f t="shared" si="39"/>
        <v>0</v>
      </c>
      <c r="O111" s="4">
        <f t="shared" si="39"/>
        <v>0</v>
      </c>
      <c r="P111" s="4">
        <f t="shared" si="39"/>
        <v>0</v>
      </c>
      <c r="Q111" s="4">
        <f t="shared" si="39"/>
        <v>1</v>
      </c>
      <c r="R111" s="4">
        <f t="shared" si="39"/>
        <v>1</v>
      </c>
      <c r="S111" s="4">
        <f t="shared" si="39"/>
        <v>0</v>
      </c>
      <c r="T111" s="4">
        <f t="shared" si="39"/>
        <v>0</v>
      </c>
      <c r="U111" s="4">
        <f t="shared" si="39"/>
        <v>0</v>
      </c>
      <c r="V111" s="4">
        <f t="shared" si="39"/>
        <v>1</v>
      </c>
      <c r="W111" s="4">
        <f t="shared" si="39"/>
        <v>0</v>
      </c>
      <c r="X111" s="4">
        <f t="shared" si="39"/>
        <v>0</v>
      </c>
      <c r="Y111" s="4">
        <f t="shared" si="39"/>
        <v>0</v>
      </c>
      <c r="Z111" s="4">
        <f t="shared" si="39"/>
        <v>0</v>
      </c>
      <c r="AA111" s="4">
        <f t="shared" si="39"/>
        <v>1</v>
      </c>
      <c r="AB111" s="4">
        <f t="shared" si="39"/>
        <v>1</v>
      </c>
      <c r="AC111" s="4">
        <f t="shared" si="39"/>
        <v>0</v>
      </c>
      <c r="AD111" s="4">
        <f t="shared" si="39"/>
        <v>1</v>
      </c>
      <c r="AE111" s="4">
        <f t="shared" si="39"/>
        <v>0</v>
      </c>
      <c r="AF111" s="4">
        <f t="shared" si="39"/>
        <v>0</v>
      </c>
      <c r="AG111" s="4">
        <f t="shared" si="39"/>
        <v>0</v>
      </c>
      <c r="AH111" s="4">
        <f t="shared" si="39"/>
        <v>0</v>
      </c>
      <c r="AI111" s="4">
        <f t="shared" si="39"/>
        <v>1</v>
      </c>
      <c r="AJ111" s="4">
        <f t="shared" si="39"/>
        <v>1</v>
      </c>
      <c r="AK111" s="4">
        <f t="shared" si="39"/>
        <v>1</v>
      </c>
      <c r="AL111" s="4">
        <f t="shared" si="39"/>
        <v>0</v>
      </c>
      <c r="AM111" s="4">
        <f t="shared" si="39"/>
        <v>0</v>
      </c>
      <c r="AN111" s="4">
        <f t="shared" si="39"/>
        <v>1</v>
      </c>
      <c r="AO111" s="4">
        <f t="shared" si="39"/>
        <v>1</v>
      </c>
      <c r="AP111" s="4">
        <f t="shared" si="39"/>
        <v>0</v>
      </c>
      <c r="AQ111" s="4">
        <f t="shared" si="39"/>
        <v>1</v>
      </c>
      <c r="AR111" s="4">
        <f t="shared" si="39"/>
        <v>0</v>
      </c>
      <c r="AS111" s="4">
        <f t="shared" si="39"/>
        <v>0</v>
      </c>
      <c r="AT111" s="4">
        <f t="shared" si="39"/>
        <v>0</v>
      </c>
      <c r="AU111" s="4">
        <f t="shared" si="39"/>
        <v>1</v>
      </c>
      <c r="AV111" s="4">
        <f t="shared" si="39"/>
        <v>0</v>
      </c>
      <c r="AW111" s="4">
        <f t="shared" si="39"/>
        <v>0</v>
      </c>
      <c r="AX111" s="4">
        <f t="shared" si="39"/>
        <v>0</v>
      </c>
      <c r="AY111" s="4">
        <f t="shared" si="39"/>
        <v>1</v>
      </c>
      <c r="AZ111" s="4">
        <f t="shared" si="39"/>
        <v>0</v>
      </c>
      <c r="BA111" s="4">
        <f t="shared" si="39"/>
        <v>0</v>
      </c>
      <c r="BB111" s="4">
        <f t="shared" si="39"/>
        <v>0</v>
      </c>
      <c r="BC111" s="4">
        <f t="shared" si="39"/>
        <v>0</v>
      </c>
      <c r="BD111" s="4">
        <f t="shared" si="39"/>
        <v>0</v>
      </c>
      <c r="BE111" s="4">
        <f t="shared" si="39"/>
        <v>0</v>
      </c>
      <c r="BF111" s="4">
        <f t="shared" si="39"/>
        <v>0</v>
      </c>
      <c r="BG111" s="4">
        <f t="shared" si="39"/>
        <v>0</v>
      </c>
      <c r="BH111" s="4">
        <f t="shared" si="39"/>
        <v>0</v>
      </c>
      <c r="BI111" s="4">
        <f t="shared" si="39"/>
        <v>0</v>
      </c>
      <c r="BJ111" s="4">
        <f t="shared" si="39"/>
        <v>0</v>
      </c>
      <c r="BK111" s="4">
        <f t="shared" si="39"/>
        <v>0</v>
      </c>
      <c r="BL111" s="4">
        <f t="shared" si="39"/>
        <v>0</v>
      </c>
      <c r="BM111" s="4">
        <f t="shared" si="39"/>
        <v>0</v>
      </c>
      <c r="BN111" s="4">
        <f t="shared" si="39"/>
        <v>0</v>
      </c>
      <c r="BO111" s="4">
        <f t="shared" ref="BO111:DZ111" si="40">MODE(BO2:BO101)</f>
        <v>0</v>
      </c>
      <c r="BP111" s="4">
        <f t="shared" si="40"/>
        <v>0</v>
      </c>
      <c r="BQ111" s="4">
        <f t="shared" si="40"/>
        <v>0</v>
      </c>
      <c r="BR111" s="4">
        <f t="shared" si="40"/>
        <v>0</v>
      </c>
      <c r="BS111" s="4">
        <f t="shared" si="40"/>
        <v>1</v>
      </c>
      <c r="BT111" s="4">
        <f t="shared" si="40"/>
        <v>0</v>
      </c>
      <c r="BU111" s="4">
        <f t="shared" si="40"/>
        <v>0</v>
      </c>
      <c r="BV111" s="4">
        <f t="shared" si="40"/>
        <v>0</v>
      </c>
      <c r="BW111" s="4">
        <f t="shared" si="40"/>
        <v>0</v>
      </c>
      <c r="BX111" s="4">
        <f t="shared" si="40"/>
        <v>0</v>
      </c>
      <c r="BY111" s="4">
        <f t="shared" si="40"/>
        <v>0</v>
      </c>
      <c r="BZ111" s="4">
        <f t="shared" si="40"/>
        <v>0</v>
      </c>
      <c r="CA111" s="4">
        <f t="shared" si="40"/>
        <v>0</v>
      </c>
      <c r="CB111" s="4">
        <f t="shared" si="40"/>
        <v>0</v>
      </c>
      <c r="CC111" s="4">
        <f t="shared" si="40"/>
        <v>0</v>
      </c>
      <c r="CD111" s="4">
        <f t="shared" si="40"/>
        <v>0</v>
      </c>
      <c r="CE111" s="4">
        <f t="shared" si="40"/>
        <v>0</v>
      </c>
      <c r="CF111" s="4">
        <f t="shared" si="40"/>
        <v>0</v>
      </c>
      <c r="CG111" s="4">
        <f t="shared" si="40"/>
        <v>0</v>
      </c>
      <c r="CH111" s="4">
        <f t="shared" si="40"/>
        <v>0</v>
      </c>
      <c r="CI111" s="4">
        <f t="shared" si="40"/>
        <v>0</v>
      </c>
      <c r="CJ111" s="4">
        <f t="shared" si="40"/>
        <v>0</v>
      </c>
      <c r="CK111" s="4">
        <f t="shared" si="40"/>
        <v>0</v>
      </c>
      <c r="CL111" s="4">
        <f t="shared" si="40"/>
        <v>0</v>
      </c>
      <c r="CM111" s="4">
        <f t="shared" si="40"/>
        <v>0</v>
      </c>
      <c r="CN111" s="4">
        <f t="shared" si="40"/>
        <v>0</v>
      </c>
      <c r="CO111" s="4">
        <f t="shared" si="40"/>
        <v>0</v>
      </c>
      <c r="CP111" s="4">
        <f t="shared" si="40"/>
        <v>0</v>
      </c>
      <c r="CQ111" s="4">
        <f t="shared" si="40"/>
        <v>0</v>
      </c>
      <c r="CR111" s="4">
        <f t="shared" si="40"/>
        <v>0</v>
      </c>
      <c r="CS111" s="4">
        <f t="shared" si="40"/>
        <v>0</v>
      </c>
      <c r="CT111" s="4">
        <f t="shared" si="40"/>
        <v>0</v>
      </c>
      <c r="CU111" s="4">
        <f t="shared" si="40"/>
        <v>0</v>
      </c>
      <c r="CV111" s="4">
        <f t="shared" si="40"/>
        <v>0</v>
      </c>
      <c r="CW111" s="4">
        <f t="shared" si="40"/>
        <v>0</v>
      </c>
      <c r="CX111" s="4">
        <f t="shared" si="40"/>
        <v>0</v>
      </c>
      <c r="CY111" s="4">
        <f t="shared" si="40"/>
        <v>0</v>
      </c>
      <c r="CZ111" s="4">
        <f t="shared" si="40"/>
        <v>0</v>
      </c>
      <c r="DA111" s="4">
        <f t="shared" si="40"/>
        <v>0</v>
      </c>
      <c r="DB111" s="4">
        <f t="shared" si="40"/>
        <v>0</v>
      </c>
      <c r="DC111" s="4">
        <f t="shared" si="40"/>
        <v>0</v>
      </c>
      <c r="DD111" s="4">
        <f t="shared" si="40"/>
        <v>0</v>
      </c>
      <c r="DE111" s="4">
        <f t="shared" si="40"/>
        <v>0</v>
      </c>
      <c r="DF111" s="4">
        <f t="shared" si="40"/>
        <v>0</v>
      </c>
      <c r="DG111" s="4">
        <f t="shared" si="40"/>
        <v>0</v>
      </c>
      <c r="DH111" s="4">
        <f t="shared" si="40"/>
        <v>1</v>
      </c>
      <c r="DI111" s="4">
        <f t="shared" si="40"/>
        <v>0</v>
      </c>
      <c r="DJ111" s="4">
        <f t="shared" si="40"/>
        <v>0</v>
      </c>
      <c r="DK111" s="4">
        <f t="shared" si="40"/>
        <v>0</v>
      </c>
      <c r="DL111" s="4">
        <f t="shared" si="40"/>
        <v>0</v>
      </c>
      <c r="DM111" s="4">
        <f t="shared" si="40"/>
        <v>0</v>
      </c>
      <c r="DN111" s="4">
        <f t="shared" si="40"/>
        <v>0</v>
      </c>
      <c r="DO111" s="4">
        <f t="shared" si="40"/>
        <v>0</v>
      </c>
      <c r="DP111" s="4">
        <f t="shared" si="40"/>
        <v>0</v>
      </c>
      <c r="DQ111" s="4">
        <f t="shared" si="40"/>
        <v>0</v>
      </c>
      <c r="DR111" s="4">
        <f t="shared" si="40"/>
        <v>1</v>
      </c>
      <c r="DS111" s="4">
        <f t="shared" si="40"/>
        <v>0</v>
      </c>
      <c r="DT111" s="4">
        <f t="shared" si="40"/>
        <v>0</v>
      </c>
      <c r="DU111" s="4">
        <f t="shared" si="40"/>
        <v>0</v>
      </c>
      <c r="DV111" s="4">
        <f t="shared" si="40"/>
        <v>0</v>
      </c>
      <c r="DW111" s="4">
        <f t="shared" si="40"/>
        <v>0</v>
      </c>
      <c r="DX111" s="4">
        <f t="shared" si="40"/>
        <v>0</v>
      </c>
      <c r="DY111" s="4">
        <f t="shared" si="40"/>
        <v>0</v>
      </c>
      <c r="DZ111" s="4">
        <f t="shared" si="40"/>
        <v>0</v>
      </c>
      <c r="EA111" s="4">
        <f t="shared" ref="EA111:GL111" si="41">MODE(EA2:EA101)</f>
        <v>0</v>
      </c>
      <c r="EB111" s="4">
        <f t="shared" si="41"/>
        <v>0</v>
      </c>
      <c r="EC111" s="4">
        <f t="shared" si="41"/>
        <v>0</v>
      </c>
      <c r="ED111" s="4">
        <f t="shared" si="41"/>
        <v>0</v>
      </c>
      <c r="EE111" s="4">
        <f t="shared" si="41"/>
        <v>0</v>
      </c>
      <c r="EF111" s="4">
        <f t="shared" si="41"/>
        <v>0</v>
      </c>
      <c r="EG111" s="4">
        <f t="shared" si="41"/>
        <v>0</v>
      </c>
      <c r="EH111" s="4">
        <f t="shared" si="41"/>
        <v>0</v>
      </c>
      <c r="EI111" s="4">
        <f t="shared" si="41"/>
        <v>0</v>
      </c>
      <c r="EJ111" s="4">
        <f t="shared" si="41"/>
        <v>0</v>
      </c>
      <c r="EK111" s="4">
        <f t="shared" si="41"/>
        <v>0</v>
      </c>
      <c r="EL111" s="4">
        <f t="shared" si="41"/>
        <v>0</v>
      </c>
      <c r="EM111" s="4">
        <f t="shared" si="41"/>
        <v>0</v>
      </c>
      <c r="EN111" s="4">
        <f t="shared" si="41"/>
        <v>0</v>
      </c>
      <c r="EO111" s="4">
        <f t="shared" si="41"/>
        <v>0</v>
      </c>
      <c r="EP111" s="4">
        <f t="shared" si="41"/>
        <v>0</v>
      </c>
      <c r="EQ111" s="4">
        <f t="shared" si="41"/>
        <v>0</v>
      </c>
      <c r="ER111" s="4">
        <f t="shared" si="41"/>
        <v>0</v>
      </c>
      <c r="ES111" s="4">
        <f t="shared" si="41"/>
        <v>0</v>
      </c>
      <c r="ET111" s="4">
        <f t="shared" si="41"/>
        <v>0</v>
      </c>
      <c r="EU111" s="4">
        <f t="shared" si="41"/>
        <v>0</v>
      </c>
      <c r="EV111" s="4">
        <f t="shared" si="41"/>
        <v>1</v>
      </c>
      <c r="EW111" s="4">
        <f t="shared" si="41"/>
        <v>0</v>
      </c>
      <c r="EX111" s="4">
        <f t="shared" si="41"/>
        <v>0</v>
      </c>
      <c r="EY111" s="4">
        <f t="shared" si="41"/>
        <v>0</v>
      </c>
      <c r="EZ111" s="4">
        <f t="shared" si="41"/>
        <v>0</v>
      </c>
      <c r="FA111" s="4">
        <f t="shared" si="41"/>
        <v>0</v>
      </c>
      <c r="FB111" s="4">
        <f t="shared" si="41"/>
        <v>0</v>
      </c>
      <c r="FC111" s="4">
        <f t="shared" si="41"/>
        <v>0</v>
      </c>
      <c r="FD111" s="4">
        <f t="shared" si="41"/>
        <v>0</v>
      </c>
      <c r="FE111" s="4">
        <f t="shared" si="41"/>
        <v>0</v>
      </c>
      <c r="FF111" s="4">
        <f t="shared" si="41"/>
        <v>0</v>
      </c>
      <c r="FG111" s="4">
        <f t="shared" si="41"/>
        <v>0</v>
      </c>
      <c r="FH111" s="4">
        <f t="shared" si="41"/>
        <v>1</v>
      </c>
      <c r="FI111" s="4">
        <f t="shared" si="41"/>
        <v>0</v>
      </c>
      <c r="FJ111" s="4">
        <f t="shared" si="41"/>
        <v>0</v>
      </c>
      <c r="FK111" s="4">
        <f t="shared" si="41"/>
        <v>0</v>
      </c>
      <c r="FL111" s="4">
        <f t="shared" si="41"/>
        <v>0</v>
      </c>
      <c r="FM111" s="4">
        <f t="shared" si="41"/>
        <v>0</v>
      </c>
      <c r="FN111" s="4">
        <f t="shared" si="41"/>
        <v>0</v>
      </c>
      <c r="FO111" s="4">
        <f t="shared" si="41"/>
        <v>0</v>
      </c>
      <c r="FP111" s="4">
        <f t="shared" si="41"/>
        <v>0</v>
      </c>
      <c r="FQ111" s="4">
        <f t="shared" si="41"/>
        <v>0</v>
      </c>
      <c r="FR111" s="4">
        <f t="shared" si="41"/>
        <v>0</v>
      </c>
      <c r="FS111" s="4">
        <f t="shared" si="41"/>
        <v>1</v>
      </c>
      <c r="FT111" s="4">
        <f t="shared" si="41"/>
        <v>0</v>
      </c>
      <c r="FU111" s="4">
        <f t="shared" si="41"/>
        <v>0</v>
      </c>
      <c r="FV111" s="4">
        <f t="shared" si="41"/>
        <v>1</v>
      </c>
      <c r="FW111" s="4">
        <f t="shared" si="41"/>
        <v>0</v>
      </c>
      <c r="FX111" s="4">
        <f t="shared" si="41"/>
        <v>0</v>
      </c>
      <c r="FY111" s="4">
        <f t="shared" si="41"/>
        <v>0</v>
      </c>
      <c r="FZ111" s="4">
        <f t="shared" si="41"/>
        <v>0</v>
      </c>
      <c r="GA111" s="4">
        <f t="shared" si="41"/>
        <v>0</v>
      </c>
      <c r="GB111" s="4">
        <f t="shared" si="41"/>
        <v>0</v>
      </c>
      <c r="GC111" s="4">
        <f t="shared" si="41"/>
        <v>0</v>
      </c>
      <c r="GD111" s="4">
        <f t="shared" si="41"/>
        <v>0</v>
      </c>
      <c r="GE111" s="4">
        <f t="shared" si="41"/>
        <v>0</v>
      </c>
      <c r="GF111" s="4">
        <f t="shared" si="41"/>
        <v>0</v>
      </c>
      <c r="GG111" s="4">
        <f t="shared" si="41"/>
        <v>0</v>
      </c>
      <c r="GH111" s="4">
        <f t="shared" si="41"/>
        <v>0</v>
      </c>
      <c r="GI111" s="4">
        <f t="shared" si="41"/>
        <v>0</v>
      </c>
      <c r="GJ111" s="4">
        <f t="shared" si="41"/>
        <v>0</v>
      </c>
      <c r="GK111" s="4">
        <f t="shared" si="41"/>
        <v>0</v>
      </c>
      <c r="GL111" s="4">
        <f t="shared" si="41"/>
        <v>0</v>
      </c>
      <c r="GM111" s="4">
        <f t="shared" ref="GM111:IX111" si="42">MODE(GM2:GM101)</f>
        <v>0</v>
      </c>
      <c r="GN111" s="4">
        <f t="shared" si="42"/>
        <v>1</v>
      </c>
      <c r="GO111" s="4">
        <f t="shared" si="42"/>
        <v>0</v>
      </c>
      <c r="GP111" s="4">
        <f t="shared" si="42"/>
        <v>0</v>
      </c>
      <c r="GQ111" s="4">
        <f t="shared" si="42"/>
        <v>0</v>
      </c>
      <c r="GR111" s="4">
        <f t="shared" si="42"/>
        <v>1</v>
      </c>
      <c r="GS111" s="4">
        <f t="shared" si="42"/>
        <v>0</v>
      </c>
      <c r="GT111" s="4">
        <f t="shared" si="42"/>
        <v>0</v>
      </c>
      <c r="GU111" s="4">
        <f t="shared" si="42"/>
        <v>0</v>
      </c>
      <c r="GV111" s="4">
        <f t="shared" si="42"/>
        <v>0</v>
      </c>
      <c r="GW111" s="4">
        <f t="shared" si="42"/>
        <v>0</v>
      </c>
      <c r="GX111" s="4">
        <f t="shared" si="42"/>
        <v>1</v>
      </c>
      <c r="GY111" s="4">
        <f t="shared" si="42"/>
        <v>0</v>
      </c>
      <c r="GZ111" s="4">
        <f t="shared" si="42"/>
        <v>0</v>
      </c>
      <c r="HA111" s="4">
        <f t="shared" si="42"/>
        <v>0</v>
      </c>
      <c r="HB111" s="4">
        <f t="shared" si="42"/>
        <v>0</v>
      </c>
      <c r="HC111" s="4">
        <f t="shared" si="42"/>
        <v>0</v>
      </c>
      <c r="HD111" s="4">
        <f t="shared" si="42"/>
        <v>0</v>
      </c>
      <c r="HE111" s="4">
        <f t="shared" si="42"/>
        <v>0</v>
      </c>
      <c r="HF111" s="4">
        <f t="shared" si="42"/>
        <v>0</v>
      </c>
      <c r="HG111" s="4">
        <f t="shared" si="42"/>
        <v>0</v>
      </c>
      <c r="HH111" s="4">
        <f t="shared" si="42"/>
        <v>0</v>
      </c>
      <c r="HI111" s="4">
        <f t="shared" si="42"/>
        <v>0</v>
      </c>
      <c r="HJ111" s="4">
        <f t="shared" si="42"/>
        <v>0</v>
      </c>
      <c r="HK111" s="4">
        <f t="shared" si="42"/>
        <v>0</v>
      </c>
      <c r="HL111" s="4">
        <f t="shared" si="42"/>
        <v>0</v>
      </c>
      <c r="HM111" s="4">
        <f t="shared" si="42"/>
        <v>0</v>
      </c>
      <c r="HN111" s="4">
        <f t="shared" si="42"/>
        <v>0</v>
      </c>
      <c r="HO111" s="4">
        <f t="shared" si="42"/>
        <v>0</v>
      </c>
      <c r="HP111" s="4">
        <f t="shared" si="42"/>
        <v>0</v>
      </c>
      <c r="HQ111" s="4">
        <f t="shared" si="42"/>
        <v>0</v>
      </c>
      <c r="HR111" s="4">
        <f t="shared" si="42"/>
        <v>0</v>
      </c>
      <c r="HS111" s="4">
        <f t="shared" si="42"/>
        <v>0</v>
      </c>
      <c r="HT111" s="4">
        <f t="shared" si="42"/>
        <v>0</v>
      </c>
      <c r="HU111" s="4">
        <f t="shared" si="42"/>
        <v>1</v>
      </c>
      <c r="HV111" s="4">
        <f t="shared" si="42"/>
        <v>1</v>
      </c>
      <c r="HW111" s="4">
        <f t="shared" si="42"/>
        <v>0</v>
      </c>
      <c r="HX111" s="4">
        <f t="shared" si="42"/>
        <v>0</v>
      </c>
      <c r="HY111" s="4">
        <f t="shared" si="42"/>
        <v>0</v>
      </c>
      <c r="HZ111" s="4">
        <f t="shared" si="42"/>
        <v>0</v>
      </c>
      <c r="IA111" s="4">
        <f t="shared" si="42"/>
        <v>0</v>
      </c>
      <c r="IB111" s="4">
        <f t="shared" si="42"/>
        <v>0</v>
      </c>
      <c r="IC111" s="4">
        <f t="shared" si="42"/>
        <v>0</v>
      </c>
      <c r="ID111" s="4">
        <f t="shared" si="42"/>
        <v>0</v>
      </c>
      <c r="IE111" s="4">
        <f t="shared" si="42"/>
        <v>0</v>
      </c>
      <c r="IF111" s="4">
        <f t="shared" si="42"/>
        <v>0</v>
      </c>
      <c r="IG111" s="4">
        <f t="shared" si="42"/>
        <v>0</v>
      </c>
      <c r="IH111" s="4">
        <f t="shared" si="42"/>
        <v>0</v>
      </c>
      <c r="II111" s="4">
        <f t="shared" si="42"/>
        <v>0</v>
      </c>
      <c r="IJ111" s="4">
        <f t="shared" si="42"/>
        <v>0</v>
      </c>
      <c r="IK111" s="4">
        <f t="shared" si="42"/>
        <v>0</v>
      </c>
      <c r="IL111" s="4">
        <f t="shared" si="42"/>
        <v>0</v>
      </c>
      <c r="IM111" s="4">
        <f t="shared" si="42"/>
        <v>0</v>
      </c>
      <c r="IN111" s="4">
        <f t="shared" si="42"/>
        <v>0</v>
      </c>
      <c r="IO111" s="4">
        <f t="shared" si="42"/>
        <v>0</v>
      </c>
      <c r="IP111" s="4">
        <f t="shared" si="42"/>
        <v>0</v>
      </c>
      <c r="IQ111" s="4">
        <f t="shared" si="42"/>
        <v>1</v>
      </c>
      <c r="IR111" s="4">
        <f t="shared" si="42"/>
        <v>0</v>
      </c>
      <c r="IS111" s="4">
        <f t="shared" si="42"/>
        <v>0</v>
      </c>
      <c r="IT111" s="4">
        <f t="shared" si="42"/>
        <v>0</v>
      </c>
      <c r="IU111" s="4">
        <f t="shared" si="42"/>
        <v>0</v>
      </c>
      <c r="IV111" s="4">
        <f t="shared" si="42"/>
        <v>0</v>
      </c>
      <c r="IW111" s="4">
        <f t="shared" si="42"/>
        <v>0</v>
      </c>
      <c r="IX111" s="4">
        <f t="shared" si="42"/>
        <v>1</v>
      </c>
      <c r="IY111" s="4">
        <f t="shared" ref="IY111:LJ111" si="43">MODE(IY2:IY101)</f>
        <v>0</v>
      </c>
      <c r="IZ111" s="4">
        <f t="shared" si="43"/>
        <v>0</v>
      </c>
      <c r="JA111" s="4">
        <f t="shared" si="43"/>
        <v>0</v>
      </c>
      <c r="JB111" s="4">
        <f t="shared" si="43"/>
        <v>0</v>
      </c>
      <c r="JC111" s="4">
        <f t="shared" si="43"/>
        <v>0</v>
      </c>
      <c r="JD111" s="4">
        <f t="shared" si="43"/>
        <v>0</v>
      </c>
      <c r="JE111" s="4">
        <f t="shared" si="43"/>
        <v>0</v>
      </c>
      <c r="JF111" s="4">
        <f t="shared" si="43"/>
        <v>0</v>
      </c>
      <c r="JG111" s="4">
        <f t="shared" si="43"/>
        <v>0</v>
      </c>
      <c r="JH111" s="4">
        <f t="shared" si="43"/>
        <v>0</v>
      </c>
      <c r="JI111" s="4">
        <f t="shared" si="43"/>
        <v>1</v>
      </c>
      <c r="JJ111" s="4">
        <f t="shared" si="43"/>
        <v>0</v>
      </c>
      <c r="JK111" s="4">
        <f t="shared" si="43"/>
        <v>0</v>
      </c>
      <c r="JL111" s="4">
        <f t="shared" si="43"/>
        <v>0</v>
      </c>
      <c r="JM111" s="4">
        <f t="shared" si="43"/>
        <v>0</v>
      </c>
      <c r="JN111" s="4">
        <f t="shared" si="43"/>
        <v>0</v>
      </c>
      <c r="JO111" s="4">
        <f t="shared" si="43"/>
        <v>0</v>
      </c>
      <c r="JP111" s="4">
        <f t="shared" si="43"/>
        <v>0</v>
      </c>
      <c r="JQ111" s="4">
        <f t="shared" si="43"/>
        <v>0</v>
      </c>
      <c r="JR111" s="4">
        <f t="shared" si="43"/>
        <v>0</v>
      </c>
      <c r="JS111" s="4">
        <f t="shared" si="43"/>
        <v>0</v>
      </c>
      <c r="JT111" s="4">
        <f t="shared" si="43"/>
        <v>0</v>
      </c>
      <c r="JU111" s="4">
        <f t="shared" si="43"/>
        <v>0</v>
      </c>
      <c r="JV111" s="4">
        <f t="shared" si="43"/>
        <v>0</v>
      </c>
      <c r="JW111" s="4">
        <f t="shared" si="43"/>
        <v>1</v>
      </c>
      <c r="JX111" s="4">
        <f t="shared" si="43"/>
        <v>0</v>
      </c>
      <c r="JY111" s="4">
        <f t="shared" si="43"/>
        <v>0</v>
      </c>
      <c r="JZ111" s="4">
        <f t="shared" si="43"/>
        <v>0</v>
      </c>
      <c r="KA111" s="4">
        <f t="shared" si="43"/>
        <v>0</v>
      </c>
      <c r="KB111" s="4">
        <f t="shared" si="43"/>
        <v>0</v>
      </c>
      <c r="KC111" s="4">
        <f t="shared" si="43"/>
        <v>0</v>
      </c>
      <c r="KD111" s="4">
        <f t="shared" si="43"/>
        <v>0</v>
      </c>
      <c r="KE111" s="4">
        <f t="shared" si="43"/>
        <v>0</v>
      </c>
      <c r="KF111" s="4">
        <f t="shared" si="43"/>
        <v>0</v>
      </c>
      <c r="KG111" s="4">
        <f t="shared" si="43"/>
        <v>0</v>
      </c>
      <c r="KH111" s="4">
        <f t="shared" si="43"/>
        <v>0</v>
      </c>
      <c r="KI111" s="4">
        <f t="shared" si="43"/>
        <v>1</v>
      </c>
      <c r="KJ111" s="4">
        <f t="shared" si="43"/>
        <v>0</v>
      </c>
      <c r="KK111" s="4">
        <f t="shared" si="43"/>
        <v>0</v>
      </c>
      <c r="KL111" s="4">
        <f t="shared" si="43"/>
        <v>0</v>
      </c>
      <c r="KM111" s="4">
        <f t="shared" si="43"/>
        <v>1</v>
      </c>
      <c r="KN111" s="4">
        <f t="shared" si="43"/>
        <v>0</v>
      </c>
      <c r="KO111" s="4">
        <f t="shared" si="43"/>
        <v>0</v>
      </c>
      <c r="KP111" s="4">
        <f t="shared" si="43"/>
        <v>0</v>
      </c>
      <c r="KQ111" s="4">
        <f t="shared" si="43"/>
        <v>1</v>
      </c>
      <c r="KR111" s="4">
        <f t="shared" si="43"/>
        <v>0</v>
      </c>
      <c r="KS111" s="4">
        <f t="shared" si="43"/>
        <v>0</v>
      </c>
      <c r="KT111" s="4">
        <f t="shared" si="43"/>
        <v>0</v>
      </c>
      <c r="KU111" s="4">
        <f t="shared" si="43"/>
        <v>0</v>
      </c>
      <c r="KV111" s="4">
        <f t="shared" si="43"/>
        <v>0</v>
      </c>
      <c r="KW111" s="4">
        <f t="shared" si="43"/>
        <v>0</v>
      </c>
      <c r="KX111" s="4">
        <f t="shared" si="43"/>
        <v>0</v>
      </c>
      <c r="KY111" s="4">
        <f t="shared" si="43"/>
        <v>0</v>
      </c>
      <c r="KZ111" s="4">
        <f t="shared" si="43"/>
        <v>0</v>
      </c>
      <c r="LA111" s="4">
        <f t="shared" si="43"/>
        <v>0</v>
      </c>
      <c r="LB111" s="4">
        <f t="shared" si="43"/>
        <v>0</v>
      </c>
      <c r="LC111" s="4">
        <f t="shared" si="43"/>
        <v>0</v>
      </c>
      <c r="LD111" s="4">
        <f t="shared" si="43"/>
        <v>0</v>
      </c>
      <c r="LE111" s="4">
        <f t="shared" si="43"/>
        <v>0</v>
      </c>
      <c r="LF111" s="4">
        <f t="shared" si="43"/>
        <v>0</v>
      </c>
      <c r="LG111" s="4">
        <f t="shared" si="43"/>
        <v>0</v>
      </c>
      <c r="LH111" s="4">
        <f t="shared" si="43"/>
        <v>0</v>
      </c>
      <c r="LI111" s="4">
        <f t="shared" si="43"/>
        <v>1</v>
      </c>
      <c r="LJ111" s="4">
        <f t="shared" si="43"/>
        <v>1</v>
      </c>
      <c r="LK111" s="4">
        <f t="shared" ref="LK111:NV111" si="44">MODE(LK2:LK101)</f>
        <v>0</v>
      </c>
      <c r="LL111" s="4">
        <f t="shared" si="44"/>
        <v>0</v>
      </c>
      <c r="LM111" s="4">
        <f t="shared" si="44"/>
        <v>0</v>
      </c>
      <c r="LN111" s="4">
        <f t="shared" si="44"/>
        <v>0</v>
      </c>
      <c r="LO111" s="4">
        <f t="shared" si="44"/>
        <v>0</v>
      </c>
      <c r="LP111" s="4">
        <f t="shared" si="44"/>
        <v>0</v>
      </c>
      <c r="LQ111" s="4">
        <f t="shared" si="44"/>
        <v>0</v>
      </c>
      <c r="LR111" s="4">
        <f t="shared" si="44"/>
        <v>1</v>
      </c>
      <c r="LS111" s="4">
        <f t="shared" si="44"/>
        <v>0</v>
      </c>
      <c r="LT111" s="4">
        <f t="shared" si="44"/>
        <v>0</v>
      </c>
      <c r="LU111" s="4">
        <f t="shared" si="44"/>
        <v>1</v>
      </c>
      <c r="LV111" s="4">
        <f t="shared" si="44"/>
        <v>0</v>
      </c>
      <c r="LW111" s="4">
        <f t="shared" si="44"/>
        <v>0</v>
      </c>
      <c r="LX111" s="4">
        <f t="shared" si="44"/>
        <v>0</v>
      </c>
      <c r="LY111" s="4">
        <f t="shared" si="44"/>
        <v>0</v>
      </c>
      <c r="LZ111" s="4">
        <f t="shared" si="44"/>
        <v>0</v>
      </c>
      <c r="MA111" s="4">
        <f t="shared" si="44"/>
        <v>0</v>
      </c>
      <c r="MB111" s="4">
        <f t="shared" si="44"/>
        <v>0</v>
      </c>
      <c r="MC111" s="4">
        <f t="shared" si="44"/>
        <v>0</v>
      </c>
      <c r="MD111" s="4">
        <f t="shared" si="44"/>
        <v>0</v>
      </c>
      <c r="ME111" s="4">
        <f t="shared" si="44"/>
        <v>0</v>
      </c>
      <c r="MF111" s="4">
        <f t="shared" si="44"/>
        <v>0</v>
      </c>
      <c r="MG111" s="4">
        <f t="shared" si="44"/>
        <v>0</v>
      </c>
      <c r="MH111" s="4">
        <f t="shared" si="44"/>
        <v>0</v>
      </c>
      <c r="MI111" s="4">
        <f t="shared" si="44"/>
        <v>0</v>
      </c>
      <c r="MJ111" s="4">
        <f t="shared" si="44"/>
        <v>0</v>
      </c>
      <c r="MK111" s="4">
        <f t="shared" si="44"/>
        <v>0</v>
      </c>
      <c r="ML111" s="4">
        <f t="shared" si="44"/>
        <v>0</v>
      </c>
      <c r="MM111" s="4">
        <f t="shared" si="44"/>
        <v>0</v>
      </c>
      <c r="MN111" s="4">
        <f t="shared" si="44"/>
        <v>1</v>
      </c>
      <c r="MO111" s="4">
        <f t="shared" si="44"/>
        <v>0</v>
      </c>
      <c r="MP111" s="4">
        <f t="shared" si="44"/>
        <v>0</v>
      </c>
      <c r="MQ111" s="4">
        <f t="shared" si="44"/>
        <v>0</v>
      </c>
      <c r="MR111" s="4">
        <f t="shared" si="44"/>
        <v>0</v>
      </c>
      <c r="MS111" s="4">
        <f t="shared" si="44"/>
        <v>0</v>
      </c>
      <c r="MT111" s="4">
        <f t="shared" si="44"/>
        <v>0</v>
      </c>
      <c r="MU111" s="4">
        <f t="shared" si="44"/>
        <v>1</v>
      </c>
      <c r="MV111" s="4">
        <f t="shared" si="44"/>
        <v>0</v>
      </c>
      <c r="MW111" s="4">
        <f t="shared" si="44"/>
        <v>0</v>
      </c>
      <c r="MX111" s="4">
        <f t="shared" si="44"/>
        <v>0</v>
      </c>
      <c r="MY111" s="4">
        <f t="shared" si="44"/>
        <v>0</v>
      </c>
      <c r="MZ111" s="4">
        <f t="shared" si="44"/>
        <v>0</v>
      </c>
      <c r="NA111" s="4">
        <f t="shared" si="44"/>
        <v>0</v>
      </c>
      <c r="NB111" s="4">
        <f t="shared" si="44"/>
        <v>0</v>
      </c>
      <c r="NC111" s="4">
        <f t="shared" si="44"/>
        <v>0</v>
      </c>
      <c r="ND111" s="4">
        <f t="shared" si="44"/>
        <v>0</v>
      </c>
      <c r="NE111" s="4">
        <f t="shared" si="44"/>
        <v>1</v>
      </c>
      <c r="NF111" s="4">
        <f t="shared" si="44"/>
        <v>0</v>
      </c>
      <c r="NG111" s="4">
        <f t="shared" si="44"/>
        <v>0</v>
      </c>
      <c r="NH111" s="4">
        <f t="shared" si="44"/>
        <v>0</v>
      </c>
      <c r="NI111" s="4">
        <f t="shared" si="44"/>
        <v>0</v>
      </c>
      <c r="NJ111" s="4">
        <f t="shared" si="44"/>
        <v>0</v>
      </c>
      <c r="NK111" s="4">
        <f t="shared" si="44"/>
        <v>0</v>
      </c>
      <c r="NL111" s="4">
        <f t="shared" si="44"/>
        <v>0</v>
      </c>
      <c r="NM111" s="4">
        <f t="shared" si="44"/>
        <v>0</v>
      </c>
      <c r="NN111" s="4">
        <f t="shared" si="44"/>
        <v>1</v>
      </c>
      <c r="NO111" s="4">
        <f t="shared" si="44"/>
        <v>0</v>
      </c>
      <c r="NP111" s="4">
        <f t="shared" si="44"/>
        <v>0</v>
      </c>
      <c r="NQ111" s="4">
        <f t="shared" si="44"/>
        <v>0</v>
      </c>
      <c r="NR111" s="4">
        <f t="shared" si="44"/>
        <v>0</v>
      </c>
      <c r="NS111" s="4">
        <f t="shared" si="44"/>
        <v>0</v>
      </c>
      <c r="NT111" s="4">
        <f t="shared" si="44"/>
        <v>0</v>
      </c>
      <c r="NU111" s="4">
        <f t="shared" si="44"/>
        <v>0</v>
      </c>
      <c r="NV111" s="4">
        <f t="shared" si="44"/>
        <v>0</v>
      </c>
      <c r="NW111" s="4">
        <f t="shared" ref="NW111:OQ111" si="45">MODE(NW2:NW101)</f>
        <v>0</v>
      </c>
      <c r="NX111" s="4">
        <f t="shared" si="45"/>
        <v>0</v>
      </c>
      <c r="NY111" s="4">
        <f t="shared" si="45"/>
        <v>0</v>
      </c>
      <c r="NZ111" s="4">
        <f t="shared" si="45"/>
        <v>0</v>
      </c>
      <c r="OA111" s="4">
        <f t="shared" si="45"/>
        <v>0</v>
      </c>
      <c r="OB111" s="4">
        <f t="shared" si="45"/>
        <v>0</v>
      </c>
      <c r="OC111" s="4">
        <f t="shared" si="45"/>
        <v>0</v>
      </c>
      <c r="OD111" s="4">
        <f t="shared" si="45"/>
        <v>0</v>
      </c>
      <c r="OE111" s="4">
        <f t="shared" si="45"/>
        <v>0</v>
      </c>
      <c r="OF111" s="4">
        <f t="shared" si="45"/>
        <v>0</v>
      </c>
      <c r="OG111" s="4">
        <f t="shared" si="45"/>
        <v>0</v>
      </c>
      <c r="OH111" s="4">
        <f t="shared" si="45"/>
        <v>0</v>
      </c>
      <c r="OI111" s="4">
        <f t="shared" si="45"/>
        <v>0</v>
      </c>
      <c r="OJ111" s="4">
        <f t="shared" si="45"/>
        <v>0</v>
      </c>
      <c r="OK111" s="4">
        <f t="shared" si="45"/>
        <v>0</v>
      </c>
      <c r="OL111" s="4">
        <f t="shared" si="45"/>
        <v>1</v>
      </c>
      <c r="OM111" s="4">
        <f t="shared" si="45"/>
        <v>0</v>
      </c>
      <c r="ON111" s="4">
        <f t="shared" si="45"/>
        <v>0</v>
      </c>
      <c r="OO111" s="4">
        <f t="shared" si="45"/>
        <v>0</v>
      </c>
      <c r="OP111" s="4">
        <f t="shared" si="45"/>
        <v>0</v>
      </c>
      <c r="OQ111" s="4">
        <f t="shared" si="45"/>
        <v>1</v>
      </c>
    </row>
    <row r="112" spans="1:410" x14ac:dyDescent="0.3">
      <c r="A112" s="9" t="s">
        <v>601</v>
      </c>
      <c r="B112">
        <f>MEDIAN(B2:B101)</f>
        <v>0</v>
      </c>
      <c r="C112" s="4">
        <f t="shared" ref="C112:BN112" si="46">MEDIAN(C2:C101)</f>
        <v>0</v>
      </c>
      <c r="D112" s="4">
        <f t="shared" si="46"/>
        <v>0</v>
      </c>
      <c r="E112" s="4">
        <f t="shared" si="46"/>
        <v>0</v>
      </c>
      <c r="F112" s="4">
        <f t="shared" si="46"/>
        <v>1</v>
      </c>
      <c r="G112" s="4">
        <f t="shared" si="46"/>
        <v>1</v>
      </c>
      <c r="H112" s="4">
        <f t="shared" si="46"/>
        <v>0</v>
      </c>
      <c r="I112" s="4">
        <f t="shared" si="46"/>
        <v>0</v>
      </c>
      <c r="J112" s="4">
        <f t="shared" si="46"/>
        <v>0</v>
      </c>
      <c r="K112" s="4">
        <f t="shared" si="46"/>
        <v>0</v>
      </c>
      <c r="L112" s="4">
        <f t="shared" si="46"/>
        <v>1</v>
      </c>
      <c r="M112" s="4">
        <f t="shared" si="46"/>
        <v>0</v>
      </c>
      <c r="N112" s="4">
        <f t="shared" si="46"/>
        <v>0</v>
      </c>
      <c r="O112" s="4">
        <f t="shared" si="46"/>
        <v>0</v>
      </c>
      <c r="P112" s="4">
        <f t="shared" si="46"/>
        <v>0</v>
      </c>
      <c r="Q112" s="4">
        <f t="shared" si="46"/>
        <v>1</v>
      </c>
      <c r="R112" s="4">
        <f t="shared" si="46"/>
        <v>1</v>
      </c>
      <c r="S112" s="4">
        <f t="shared" si="46"/>
        <v>0</v>
      </c>
      <c r="T112" s="4">
        <f t="shared" si="46"/>
        <v>0</v>
      </c>
      <c r="U112" s="4">
        <f t="shared" si="46"/>
        <v>0</v>
      </c>
      <c r="V112" s="4">
        <f t="shared" si="46"/>
        <v>1</v>
      </c>
      <c r="W112" s="4">
        <f t="shared" si="46"/>
        <v>0</v>
      </c>
      <c r="X112" s="4">
        <f t="shared" si="46"/>
        <v>0</v>
      </c>
      <c r="Y112" s="4">
        <f t="shared" si="46"/>
        <v>0</v>
      </c>
      <c r="Z112" s="4">
        <f t="shared" si="46"/>
        <v>0</v>
      </c>
      <c r="AA112" s="4">
        <f t="shared" si="46"/>
        <v>1</v>
      </c>
      <c r="AB112" s="4">
        <f t="shared" si="46"/>
        <v>1</v>
      </c>
      <c r="AC112" s="4">
        <f t="shared" si="46"/>
        <v>0</v>
      </c>
      <c r="AD112" s="4">
        <f t="shared" si="46"/>
        <v>1</v>
      </c>
      <c r="AE112" s="4">
        <f t="shared" si="46"/>
        <v>0</v>
      </c>
      <c r="AF112" s="4">
        <f t="shared" si="46"/>
        <v>0</v>
      </c>
      <c r="AG112" s="4">
        <f t="shared" si="46"/>
        <v>0</v>
      </c>
      <c r="AH112" s="4">
        <f t="shared" si="46"/>
        <v>0</v>
      </c>
      <c r="AI112" s="4">
        <f t="shared" si="46"/>
        <v>1</v>
      </c>
      <c r="AJ112" s="4">
        <f t="shared" si="46"/>
        <v>1</v>
      </c>
      <c r="AK112" s="4">
        <f t="shared" si="46"/>
        <v>1</v>
      </c>
      <c r="AL112" s="4">
        <f t="shared" si="46"/>
        <v>0</v>
      </c>
      <c r="AM112" s="4">
        <f t="shared" si="46"/>
        <v>0</v>
      </c>
      <c r="AN112" s="4">
        <f t="shared" si="46"/>
        <v>1</v>
      </c>
      <c r="AO112" s="4">
        <f t="shared" si="46"/>
        <v>1</v>
      </c>
      <c r="AP112" s="4">
        <f t="shared" si="46"/>
        <v>0</v>
      </c>
      <c r="AQ112" s="4">
        <f t="shared" si="46"/>
        <v>1</v>
      </c>
      <c r="AR112" s="4">
        <f t="shared" si="46"/>
        <v>0</v>
      </c>
      <c r="AS112" s="4">
        <f t="shared" si="46"/>
        <v>0</v>
      </c>
      <c r="AT112" s="4">
        <f t="shared" si="46"/>
        <v>0</v>
      </c>
      <c r="AU112" s="4">
        <f t="shared" si="46"/>
        <v>1</v>
      </c>
      <c r="AV112" s="4">
        <f t="shared" si="46"/>
        <v>0</v>
      </c>
      <c r="AW112" s="4">
        <f t="shared" si="46"/>
        <v>0</v>
      </c>
      <c r="AX112" s="4">
        <f t="shared" si="46"/>
        <v>0</v>
      </c>
      <c r="AY112" s="4">
        <f t="shared" si="46"/>
        <v>1</v>
      </c>
      <c r="AZ112" s="4">
        <f t="shared" si="46"/>
        <v>0</v>
      </c>
      <c r="BA112" s="4">
        <f t="shared" si="46"/>
        <v>0</v>
      </c>
      <c r="BB112" s="4">
        <f t="shared" si="46"/>
        <v>0</v>
      </c>
      <c r="BC112" s="4">
        <f t="shared" si="46"/>
        <v>0</v>
      </c>
      <c r="BD112" s="4">
        <f t="shared" si="46"/>
        <v>0</v>
      </c>
      <c r="BE112" s="4">
        <f t="shared" si="46"/>
        <v>0</v>
      </c>
      <c r="BF112" s="4">
        <f t="shared" si="46"/>
        <v>0</v>
      </c>
      <c r="BG112" s="4">
        <f t="shared" si="46"/>
        <v>0</v>
      </c>
      <c r="BH112" s="4">
        <f t="shared" si="46"/>
        <v>0</v>
      </c>
      <c r="BI112" s="4">
        <f t="shared" si="46"/>
        <v>0</v>
      </c>
      <c r="BJ112" s="4">
        <f t="shared" si="46"/>
        <v>0</v>
      </c>
      <c r="BK112" s="4">
        <f t="shared" si="46"/>
        <v>0</v>
      </c>
      <c r="BL112" s="4">
        <f t="shared" si="46"/>
        <v>0</v>
      </c>
      <c r="BM112" s="4">
        <f t="shared" si="46"/>
        <v>0</v>
      </c>
      <c r="BN112" s="4">
        <f t="shared" si="46"/>
        <v>0</v>
      </c>
      <c r="BO112" s="4">
        <f t="shared" ref="BO112:DZ112" si="47">MEDIAN(BO2:BO101)</f>
        <v>0</v>
      </c>
      <c r="BP112" s="4">
        <f t="shared" si="47"/>
        <v>0</v>
      </c>
      <c r="BQ112" s="4">
        <f t="shared" si="47"/>
        <v>0</v>
      </c>
      <c r="BR112" s="4">
        <f t="shared" si="47"/>
        <v>0</v>
      </c>
      <c r="BS112" s="4">
        <f t="shared" si="47"/>
        <v>1</v>
      </c>
      <c r="BT112" s="4">
        <f t="shared" si="47"/>
        <v>0</v>
      </c>
      <c r="BU112" s="4">
        <f t="shared" si="47"/>
        <v>0</v>
      </c>
      <c r="BV112" s="4">
        <f t="shared" si="47"/>
        <v>0</v>
      </c>
      <c r="BW112" s="4">
        <f t="shared" si="47"/>
        <v>0</v>
      </c>
      <c r="BX112" s="4">
        <f t="shared" si="47"/>
        <v>0</v>
      </c>
      <c r="BY112" s="4">
        <f t="shared" si="47"/>
        <v>0</v>
      </c>
      <c r="BZ112" s="4">
        <f t="shared" si="47"/>
        <v>0</v>
      </c>
      <c r="CA112" s="4">
        <f t="shared" si="47"/>
        <v>0</v>
      </c>
      <c r="CB112" s="4">
        <f t="shared" si="47"/>
        <v>0</v>
      </c>
      <c r="CC112" s="4">
        <f t="shared" si="47"/>
        <v>0</v>
      </c>
      <c r="CD112" s="4">
        <f t="shared" si="47"/>
        <v>0</v>
      </c>
      <c r="CE112" s="4">
        <f t="shared" si="47"/>
        <v>0</v>
      </c>
      <c r="CF112" s="4">
        <f t="shared" si="47"/>
        <v>0</v>
      </c>
      <c r="CG112" s="4">
        <f t="shared" si="47"/>
        <v>0</v>
      </c>
      <c r="CH112" s="4">
        <f t="shared" si="47"/>
        <v>0</v>
      </c>
      <c r="CI112" s="4">
        <f t="shared" si="47"/>
        <v>0</v>
      </c>
      <c r="CJ112" s="4">
        <f t="shared" si="47"/>
        <v>0</v>
      </c>
      <c r="CK112" s="4">
        <f t="shared" si="47"/>
        <v>0</v>
      </c>
      <c r="CL112" s="4">
        <f t="shared" si="47"/>
        <v>0</v>
      </c>
      <c r="CM112" s="4">
        <f t="shared" si="47"/>
        <v>0</v>
      </c>
      <c r="CN112" s="4">
        <f t="shared" si="47"/>
        <v>0</v>
      </c>
      <c r="CO112" s="4">
        <f t="shared" si="47"/>
        <v>0</v>
      </c>
      <c r="CP112" s="4">
        <f t="shared" si="47"/>
        <v>0</v>
      </c>
      <c r="CQ112" s="4">
        <f t="shared" si="47"/>
        <v>0</v>
      </c>
      <c r="CR112" s="4">
        <f t="shared" si="47"/>
        <v>0</v>
      </c>
      <c r="CS112" s="4">
        <f t="shared" si="47"/>
        <v>0</v>
      </c>
      <c r="CT112" s="4">
        <f t="shared" si="47"/>
        <v>0</v>
      </c>
      <c r="CU112" s="4">
        <f t="shared" si="47"/>
        <v>0</v>
      </c>
      <c r="CV112" s="4">
        <f t="shared" si="47"/>
        <v>0</v>
      </c>
      <c r="CW112" s="4">
        <f t="shared" si="47"/>
        <v>0</v>
      </c>
      <c r="CX112" s="4">
        <f t="shared" si="47"/>
        <v>0</v>
      </c>
      <c r="CY112" s="4">
        <f t="shared" si="47"/>
        <v>0</v>
      </c>
      <c r="CZ112" s="4">
        <f t="shared" si="47"/>
        <v>0</v>
      </c>
      <c r="DA112" s="4">
        <f t="shared" si="47"/>
        <v>0</v>
      </c>
      <c r="DB112" s="4">
        <f t="shared" si="47"/>
        <v>0</v>
      </c>
      <c r="DC112" s="4">
        <f t="shared" si="47"/>
        <v>0</v>
      </c>
      <c r="DD112" s="4">
        <f t="shared" si="47"/>
        <v>0</v>
      </c>
      <c r="DE112" s="4">
        <f t="shared" si="47"/>
        <v>0</v>
      </c>
      <c r="DF112" s="4">
        <f t="shared" si="47"/>
        <v>0</v>
      </c>
      <c r="DG112" s="4">
        <f t="shared" si="47"/>
        <v>0</v>
      </c>
      <c r="DH112" s="4">
        <f t="shared" si="47"/>
        <v>1</v>
      </c>
      <c r="DI112" s="4">
        <f t="shared" si="47"/>
        <v>0</v>
      </c>
      <c r="DJ112" s="4">
        <f t="shared" si="47"/>
        <v>0</v>
      </c>
      <c r="DK112" s="4">
        <f t="shared" si="47"/>
        <v>0</v>
      </c>
      <c r="DL112" s="4">
        <f t="shared" si="47"/>
        <v>0</v>
      </c>
      <c r="DM112" s="4">
        <f t="shared" si="47"/>
        <v>0</v>
      </c>
      <c r="DN112" s="4">
        <f t="shared" si="47"/>
        <v>0</v>
      </c>
      <c r="DO112" s="4">
        <f t="shared" si="47"/>
        <v>0</v>
      </c>
      <c r="DP112" s="4">
        <f t="shared" si="47"/>
        <v>0</v>
      </c>
      <c r="DQ112" s="4">
        <f t="shared" si="47"/>
        <v>0</v>
      </c>
      <c r="DR112" s="4">
        <f t="shared" si="47"/>
        <v>1</v>
      </c>
      <c r="DS112" s="4">
        <f t="shared" si="47"/>
        <v>0</v>
      </c>
      <c r="DT112" s="4">
        <f t="shared" si="47"/>
        <v>0</v>
      </c>
      <c r="DU112" s="4">
        <f t="shared" si="47"/>
        <v>0</v>
      </c>
      <c r="DV112" s="4">
        <f t="shared" si="47"/>
        <v>0</v>
      </c>
      <c r="DW112" s="4">
        <f t="shared" si="47"/>
        <v>0</v>
      </c>
      <c r="DX112" s="4">
        <f t="shared" si="47"/>
        <v>0</v>
      </c>
      <c r="DY112" s="4">
        <f t="shared" si="47"/>
        <v>0</v>
      </c>
      <c r="DZ112" s="4">
        <f t="shared" si="47"/>
        <v>0</v>
      </c>
      <c r="EA112" s="4">
        <f t="shared" ref="EA112:GL112" si="48">MEDIAN(EA2:EA101)</f>
        <v>0</v>
      </c>
      <c r="EB112" s="4">
        <f t="shared" si="48"/>
        <v>0</v>
      </c>
      <c r="EC112" s="4">
        <f t="shared" si="48"/>
        <v>0</v>
      </c>
      <c r="ED112" s="4">
        <f t="shared" si="48"/>
        <v>0</v>
      </c>
      <c r="EE112" s="4">
        <f t="shared" si="48"/>
        <v>0</v>
      </c>
      <c r="EF112" s="4">
        <f t="shared" si="48"/>
        <v>0</v>
      </c>
      <c r="EG112" s="4">
        <f t="shared" si="48"/>
        <v>0</v>
      </c>
      <c r="EH112" s="4">
        <f t="shared" si="48"/>
        <v>0</v>
      </c>
      <c r="EI112" s="4">
        <f t="shared" si="48"/>
        <v>0</v>
      </c>
      <c r="EJ112" s="4">
        <f t="shared" si="48"/>
        <v>0</v>
      </c>
      <c r="EK112" s="4">
        <f t="shared" si="48"/>
        <v>0</v>
      </c>
      <c r="EL112" s="4">
        <f t="shared" si="48"/>
        <v>0</v>
      </c>
      <c r="EM112" s="4">
        <f t="shared" si="48"/>
        <v>0</v>
      </c>
      <c r="EN112" s="4">
        <f t="shared" si="48"/>
        <v>0</v>
      </c>
      <c r="EO112" s="4">
        <f t="shared" si="48"/>
        <v>0</v>
      </c>
      <c r="EP112" s="4">
        <f t="shared" si="48"/>
        <v>0</v>
      </c>
      <c r="EQ112" s="4">
        <f t="shared" si="48"/>
        <v>0</v>
      </c>
      <c r="ER112" s="4">
        <f t="shared" si="48"/>
        <v>0</v>
      </c>
      <c r="ES112" s="4">
        <f t="shared" si="48"/>
        <v>0</v>
      </c>
      <c r="ET112" s="4">
        <f t="shared" si="48"/>
        <v>0</v>
      </c>
      <c r="EU112" s="4">
        <f t="shared" si="48"/>
        <v>0</v>
      </c>
      <c r="EV112" s="4">
        <f t="shared" si="48"/>
        <v>1</v>
      </c>
      <c r="EW112" s="4">
        <f t="shared" si="48"/>
        <v>0</v>
      </c>
      <c r="EX112" s="4">
        <f t="shared" si="48"/>
        <v>0</v>
      </c>
      <c r="EY112" s="4">
        <f t="shared" si="48"/>
        <v>0</v>
      </c>
      <c r="EZ112" s="4">
        <f t="shared" si="48"/>
        <v>0</v>
      </c>
      <c r="FA112" s="4">
        <f t="shared" si="48"/>
        <v>0</v>
      </c>
      <c r="FB112" s="4">
        <f t="shared" si="48"/>
        <v>0</v>
      </c>
      <c r="FC112" s="4">
        <f t="shared" si="48"/>
        <v>0</v>
      </c>
      <c r="FD112" s="4">
        <f t="shared" si="48"/>
        <v>0</v>
      </c>
      <c r="FE112" s="4">
        <f t="shared" si="48"/>
        <v>0</v>
      </c>
      <c r="FF112" s="4">
        <f t="shared" si="48"/>
        <v>0</v>
      </c>
      <c r="FG112" s="4">
        <f t="shared" si="48"/>
        <v>0</v>
      </c>
      <c r="FH112" s="4">
        <f t="shared" si="48"/>
        <v>1</v>
      </c>
      <c r="FI112" s="4">
        <f t="shared" si="48"/>
        <v>0</v>
      </c>
      <c r="FJ112" s="4">
        <f t="shared" si="48"/>
        <v>0</v>
      </c>
      <c r="FK112" s="4">
        <f t="shared" si="48"/>
        <v>0</v>
      </c>
      <c r="FL112" s="4">
        <f t="shared" si="48"/>
        <v>0</v>
      </c>
      <c r="FM112" s="4">
        <f t="shared" si="48"/>
        <v>0</v>
      </c>
      <c r="FN112" s="4">
        <f t="shared" si="48"/>
        <v>0</v>
      </c>
      <c r="FO112" s="4">
        <f t="shared" si="48"/>
        <v>0</v>
      </c>
      <c r="FP112" s="4">
        <f t="shared" si="48"/>
        <v>0</v>
      </c>
      <c r="FQ112" s="4">
        <f t="shared" si="48"/>
        <v>0</v>
      </c>
      <c r="FR112" s="4">
        <f t="shared" si="48"/>
        <v>0</v>
      </c>
      <c r="FS112" s="4">
        <f t="shared" si="48"/>
        <v>1</v>
      </c>
      <c r="FT112" s="4">
        <f t="shared" si="48"/>
        <v>0</v>
      </c>
      <c r="FU112" s="4">
        <f t="shared" si="48"/>
        <v>0</v>
      </c>
      <c r="FV112" s="4">
        <f t="shared" si="48"/>
        <v>1</v>
      </c>
      <c r="FW112" s="4">
        <f t="shared" si="48"/>
        <v>0</v>
      </c>
      <c r="FX112" s="4">
        <f t="shared" si="48"/>
        <v>0</v>
      </c>
      <c r="FY112" s="4">
        <f t="shared" si="48"/>
        <v>0</v>
      </c>
      <c r="FZ112" s="4">
        <f t="shared" si="48"/>
        <v>0</v>
      </c>
      <c r="GA112" s="4">
        <f t="shared" si="48"/>
        <v>0</v>
      </c>
      <c r="GB112" s="4">
        <f t="shared" si="48"/>
        <v>0</v>
      </c>
      <c r="GC112" s="4">
        <f t="shared" si="48"/>
        <v>0</v>
      </c>
      <c r="GD112" s="4">
        <f t="shared" si="48"/>
        <v>0</v>
      </c>
      <c r="GE112" s="4">
        <f t="shared" si="48"/>
        <v>0</v>
      </c>
      <c r="GF112" s="4">
        <f t="shared" si="48"/>
        <v>0</v>
      </c>
      <c r="GG112" s="4">
        <f t="shared" si="48"/>
        <v>0</v>
      </c>
      <c r="GH112" s="4">
        <f t="shared" si="48"/>
        <v>0</v>
      </c>
      <c r="GI112" s="4">
        <f t="shared" si="48"/>
        <v>0</v>
      </c>
      <c r="GJ112" s="4">
        <f t="shared" si="48"/>
        <v>0</v>
      </c>
      <c r="GK112" s="4">
        <f t="shared" si="48"/>
        <v>0</v>
      </c>
      <c r="GL112" s="4">
        <f t="shared" si="48"/>
        <v>0</v>
      </c>
      <c r="GM112" s="4">
        <f t="shared" ref="GM112:IX112" si="49">MEDIAN(GM2:GM101)</f>
        <v>0</v>
      </c>
      <c r="GN112" s="4">
        <f t="shared" si="49"/>
        <v>1</v>
      </c>
      <c r="GO112" s="4">
        <f t="shared" si="49"/>
        <v>0</v>
      </c>
      <c r="GP112" s="4">
        <f t="shared" si="49"/>
        <v>0</v>
      </c>
      <c r="GQ112" s="4">
        <f t="shared" si="49"/>
        <v>0</v>
      </c>
      <c r="GR112" s="4">
        <f t="shared" si="49"/>
        <v>1</v>
      </c>
      <c r="GS112" s="4">
        <f t="shared" si="49"/>
        <v>0</v>
      </c>
      <c r="GT112" s="4">
        <f t="shared" si="49"/>
        <v>0</v>
      </c>
      <c r="GU112" s="4">
        <f t="shared" si="49"/>
        <v>0</v>
      </c>
      <c r="GV112" s="4">
        <f t="shared" si="49"/>
        <v>0</v>
      </c>
      <c r="GW112" s="4">
        <f t="shared" si="49"/>
        <v>0</v>
      </c>
      <c r="GX112" s="4">
        <f t="shared" si="49"/>
        <v>1</v>
      </c>
      <c r="GY112" s="4">
        <f t="shared" si="49"/>
        <v>0</v>
      </c>
      <c r="GZ112" s="4">
        <f t="shared" si="49"/>
        <v>0</v>
      </c>
      <c r="HA112" s="4">
        <f t="shared" si="49"/>
        <v>0</v>
      </c>
      <c r="HB112" s="4">
        <f t="shared" si="49"/>
        <v>0</v>
      </c>
      <c r="HC112" s="4">
        <f t="shared" si="49"/>
        <v>0</v>
      </c>
      <c r="HD112" s="4">
        <f t="shared" si="49"/>
        <v>0</v>
      </c>
      <c r="HE112" s="4">
        <f t="shared" si="49"/>
        <v>0</v>
      </c>
      <c r="HF112" s="4">
        <f t="shared" si="49"/>
        <v>0</v>
      </c>
      <c r="HG112" s="4">
        <f t="shared" si="49"/>
        <v>0</v>
      </c>
      <c r="HH112" s="4">
        <f t="shared" si="49"/>
        <v>0</v>
      </c>
      <c r="HI112" s="4">
        <f t="shared" si="49"/>
        <v>0</v>
      </c>
      <c r="HJ112" s="4">
        <f t="shared" si="49"/>
        <v>0</v>
      </c>
      <c r="HK112" s="4">
        <f t="shared" si="49"/>
        <v>0</v>
      </c>
      <c r="HL112" s="4">
        <f t="shared" si="49"/>
        <v>0</v>
      </c>
      <c r="HM112" s="4">
        <f t="shared" si="49"/>
        <v>0</v>
      </c>
      <c r="HN112" s="4">
        <f t="shared" si="49"/>
        <v>0</v>
      </c>
      <c r="HO112" s="4">
        <f t="shared" si="49"/>
        <v>0</v>
      </c>
      <c r="HP112" s="4">
        <f t="shared" si="49"/>
        <v>0</v>
      </c>
      <c r="HQ112" s="4">
        <f t="shared" si="49"/>
        <v>0</v>
      </c>
      <c r="HR112" s="4">
        <f t="shared" si="49"/>
        <v>0</v>
      </c>
      <c r="HS112" s="4">
        <f t="shared" si="49"/>
        <v>0</v>
      </c>
      <c r="HT112" s="4">
        <f t="shared" si="49"/>
        <v>0</v>
      </c>
      <c r="HU112" s="4">
        <f t="shared" si="49"/>
        <v>1</v>
      </c>
      <c r="HV112" s="4">
        <f t="shared" si="49"/>
        <v>1</v>
      </c>
      <c r="HW112" s="4">
        <f t="shared" si="49"/>
        <v>0</v>
      </c>
      <c r="HX112" s="4">
        <f t="shared" si="49"/>
        <v>0</v>
      </c>
      <c r="HY112" s="4">
        <f t="shared" si="49"/>
        <v>0</v>
      </c>
      <c r="HZ112" s="4">
        <f t="shared" si="49"/>
        <v>0</v>
      </c>
      <c r="IA112" s="4">
        <f t="shared" si="49"/>
        <v>0</v>
      </c>
      <c r="IB112" s="4">
        <f t="shared" si="49"/>
        <v>0</v>
      </c>
      <c r="IC112" s="4">
        <f t="shared" si="49"/>
        <v>0</v>
      </c>
      <c r="ID112" s="4">
        <f t="shared" si="49"/>
        <v>0</v>
      </c>
      <c r="IE112" s="4">
        <f t="shared" si="49"/>
        <v>0</v>
      </c>
      <c r="IF112" s="4">
        <f t="shared" si="49"/>
        <v>0</v>
      </c>
      <c r="IG112" s="4">
        <f t="shared" si="49"/>
        <v>0</v>
      </c>
      <c r="IH112" s="4">
        <f t="shared" si="49"/>
        <v>0</v>
      </c>
      <c r="II112" s="4">
        <f t="shared" si="49"/>
        <v>0</v>
      </c>
      <c r="IJ112" s="4">
        <f t="shared" si="49"/>
        <v>0</v>
      </c>
      <c r="IK112" s="4">
        <f t="shared" si="49"/>
        <v>0</v>
      </c>
      <c r="IL112" s="4">
        <f t="shared" si="49"/>
        <v>0</v>
      </c>
      <c r="IM112" s="4">
        <f t="shared" si="49"/>
        <v>0</v>
      </c>
      <c r="IN112" s="4">
        <f t="shared" si="49"/>
        <v>0</v>
      </c>
      <c r="IO112" s="4">
        <f t="shared" si="49"/>
        <v>0</v>
      </c>
      <c r="IP112" s="4">
        <f t="shared" si="49"/>
        <v>0</v>
      </c>
      <c r="IQ112" s="4">
        <f t="shared" si="49"/>
        <v>1</v>
      </c>
      <c r="IR112" s="4">
        <f t="shared" si="49"/>
        <v>0</v>
      </c>
      <c r="IS112" s="4">
        <f t="shared" si="49"/>
        <v>0</v>
      </c>
      <c r="IT112" s="4">
        <f t="shared" si="49"/>
        <v>0</v>
      </c>
      <c r="IU112" s="4">
        <f t="shared" si="49"/>
        <v>0</v>
      </c>
      <c r="IV112" s="4">
        <f t="shared" si="49"/>
        <v>0</v>
      </c>
      <c r="IW112" s="4">
        <f t="shared" si="49"/>
        <v>0</v>
      </c>
      <c r="IX112" s="4">
        <f t="shared" si="49"/>
        <v>1</v>
      </c>
      <c r="IY112" s="4">
        <f t="shared" ref="IY112:LJ112" si="50">MEDIAN(IY2:IY101)</f>
        <v>0</v>
      </c>
      <c r="IZ112" s="4">
        <f t="shared" si="50"/>
        <v>0</v>
      </c>
      <c r="JA112" s="4">
        <f t="shared" si="50"/>
        <v>0</v>
      </c>
      <c r="JB112" s="4">
        <f t="shared" si="50"/>
        <v>0</v>
      </c>
      <c r="JC112" s="4">
        <f t="shared" si="50"/>
        <v>0</v>
      </c>
      <c r="JD112" s="4">
        <f t="shared" si="50"/>
        <v>0</v>
      </c>
      <c r="JE112" s="4">
        <f t="shared" si="50"/>
        <v>0</v>
      </c>
      <c r="JF112" s="4">
        <f t="shared" si="50"/>
        <v>0</v>
      </c>
      <c r="JG112" s="4">
        <f t="shared" si="50"/>
        <v>0</v>
      </c>
      <c r="JH112" s="4">
        <f t="shared" si="50"/>
        <v>0</v>
      </c>
      <c r="JI112" s="4">
        <f t="shared" si="50"/>
        <v>1</v>
      </c>
      <c r="JJ112" s="4">
        <f t="shared" si="50"/>
        <v>0</v>
      </c>
      <c r="JK112" s="4">
        <f t="shared" si="50"/>
        <v>0</v>
      </c>
      <c r="JL112" s="4">
        <f t="shared" si="50"/>
        <v>0</v>
      </c>
      <c r="JM112" s="4">
        <f t="shared" si="50"/>
        <v>0</v>
      </c>
      <c r="JN112" s="4">
        <f t="shared" si="50"/>
        <v>0</v>
      </c>
      <c r="JO112" s="4">
        <f t="shared" si="50"/>
        <v>0</v>
      </c>
      <c r="JP112" s="4">
        <f t="shared" si="50"/>
        <v>0</v>
      </c>
      <c r="JQ112" s="4">
        <f t="shared" si="50"/>
        <v>0</v>
      </c>
      <c r="JR112" s="4">
        <f t="shared" si="50"/>
        <v>0</v>
      </c>
      <c r="JS112" s="4">
        <f t="shared" si="50"/>
        <v>0</v>
      </c>
      <c r="JT112" s="4">
        <f t="shared" si="50"/>
        <v>0</v>
      </c>
      <c r="JU112" s="4">
        <f t="shared" si="50"/>
        <v>0</v>
      </c>
      <c r="JV112" s="4">
        <f t="shared" si="50"/>
        <v>0</v>
      </c>
      <c r="JW112" s="4">
        <f t="shared" si="50"/>
        <v>1</v>
      </c>
      <c r="JX112" s="4">
        <f t="shared" si="50"/>
        <v>0</v>
      </c>
      <c r="JY112" s="4">
        <f t="shared" si="50"/>
        <v>0</v>
      </c>
      <c r="JZ112" s="4">
        <f t="shared" si="50"/>
        <v>0</v>
      </c>
      <c r="KA112" s="4">
        <f t="shared" si="50"/>
        <v>0</v>
      </c>
      <c r="KB112" s="4">
        <f t="shared" si="50"/>
        <v>0</v>
      </c>
      <c r="KC112" s="4">
        <f t="shared" si="50"/>
        <v>0</v>
      </c>
      <c r="KD112" s="4">
        <f t="shared" si="50"/>
        <v>0</v>
      </c>
      <c r="KE112" s="4">
        <f t="shared" si="50"/>
        <v>0</v>
      </c>
      <c r="KF112" s="4">
        <f t="shared" si="50"/>
        <v>0</v>
      </c>
      <c r="KG112" s="4">
        <f t="shared" si="50"/>
        <v>0</v>
      </c>
      <c r="KH112" s="4">
        <f t="shared" si="50"/>
        <v>0</v>
      </c>
      <c r="KI112" s="4">
        <f t="shared" si="50"/>
        <v>1</v>
      </c>
      <c r="KJ112" s="4">
        <f t="shared" si="50"/>
        <v>0</v>
      </c>
      <c r="KK112" s="4">
        <f t="shared" si="50"/>
        <v>0</v>
      </c>
      <c r="KL112" s="4">
        <f t="shared" si="50"/>
        <v>0</v>
      </c>
      <c r="KM112" s="4">
        <f t="shared" si="50"/>
        <v>1</v>
      </c>
      <c r="KN112" s="4">
        <f t="shared" si="50"/>
        <v>0</v>
      </c>
      <c r="KO112" s="4">
        <f t="shared" si="50"/>
        <v>0</v>
      </c>
      <c r="KP112" s="4">
        <f t="shared" si="50"/>
        <v>0</v>
      </c>
      <c r="KQ112" s="4">
        <f t="shared" si="50"/>
        <v>1</v>
      </c>
      <c r="KR112" s="4">
        <f t="shared" si="50"/>
        <v>0</v>
      </c>
      <c r="KS112" s="4">
        <f t="shared" si="50"/>
        <v>0</v>
      </c>
      <c r="KT112" s="4">
        <f t="shared" si="50"/>
        <v>0</v>
      </c>
      <c r="KU112" s="4">
        <f t="shared" si="50"/>
        <v>0</v>
      </c>
      <c r="KV112" s="4">
        <f t="shared" si="50"/>
        <v>0</v>
      </c>
      <c r="KW112" s="4">
        <f t="shared" si="50"/>
        <v>0</v>
      </c>
      <c r="KX112" s="4">
        <f t="shared" si="50"/>
        <v>0</v>
      </c>
      <c r="KY112" s="4">
        <f t="shared" si="50"/>
        <v>0</v>
      </c>
      <c r="KZ112" s="4">
        <f t="shared" si="50"/>
        <v>0</v>
      </c>
      <c r="LA112" s="4">
        <f t="shared" si="50"/>
        <v>0</v>
      </c>
      <c r="LB112" s="4">
        <f t="shared" si="50"/>
        <v>0</v>
      </c>
      <c r="LC112" s="4">
        <f t="shared" si="50"/>
        <v>0</v>
      </c>
      <c r="LD112" s="4">
        <f t="shared" si="50"/>
        <v>0</v>
      </c>
      <c r="LE112" s="4">
        <f t="shared" si="50"/>
        <v>0</v>
      </c>
      <c r="LF112" s="4">
        <f t="shared" si="50"/>
        <v>0</v>
      </c>
      <c r="LG112" s="4">
        <f t="shared" si="50"/>
        <v>0</v>
      </c>
      <c r="LH112" s="4">
        <f t="shared" si="50"/>
        <v>0</v>
      </c>
      <c r="LI112" s="4">
        <f t="shared" si="50"/>
        <v>1</v>
      </c>
      <c r="LJ112" s="4">
        <f t="shared" si="50"/>
        <v>1</v>
      </c>
      <c r="LK112" s="4">
        <f t="shared" ref="LK112:NV112" si="51">MEDIAN(LK2:LK101)</f>
        <v>0</v>
      </c>
      <c r="LL112" s="4">
        <f t="shared" si="51"/>
        <v>0</v>
      </c>
      <c r="LM112" s="4">
        <f t="shared" si="51"/>
        <v>0</v>
      </c>
      <c r="LN112" s="4">
        <f t="shared" si="51"/>
        <v>0</v>
      </c>
      <c r="LO112" s="4">
        <f t="shared" si="51"/>
        <v>0</v>
      </c>
      <c r="LP112" s="4">
        <f t="shared" si="51"/>
        <v>0</v>
      </c>
      <c r="LQ112" s="4">
        <f t="shared" si="51"/>
        <v>0</v>
      </c>
      <c r="LR112" s="4">
        <f t="shared" si="51"/>
        <v>1</v>
      </c>
      <c r="LS112" s="4">
        <f t="shared" si="51"/>
        <v>0</v>
      </c>
      <c r="LT112" s="4">
        <f t="shared" si="51"/>
        <v>0</v>
      </c>
      <c r="LU112" s="4">
        <f t="shared" si="51"/>
        <v>1</v>
      </c>
      <c r="LV112" s="4">
        <f t="shared" si="51"/>
        <v>0</v>
      </c>
      <c r="LW112" s="4">
        <f t="shared" si="51"/>
        <v>0</v>
      </c>
      <c r="LX112" s="4">
        <f t="shared" si="51"/>
        <v>0</v>
      </c>
      <c r="LY112" s="4">
        <f t="shared" si="51"/>
        <v>0</v>
      </c>
      <c r="LZ112" s="4">
        <f t="shared" si="51"/>
        <v>0</v>
      </c>
      <c r="MA112" s="4">
        <f t="shared" si="51"/>
        <v>0</v>
      </c>
      <c r="MB112" s="4">
        <f t="shared" si="51"/>
        <v>0</v>
      </c>
      <c r="MC112" s="4">
        <f t="shared" si="51"/>
        <v>0</v>
      </c>
      <c r="MD112" s="4">
        <f t="shared" si="51"/>
        <v>0</v>
      </c>
      <c r="ME112" s="4">
        <f t="shared" si="51"/>
        <v>0</v>
      </c>
      <c r="MF112" s="4">
        <f t="shared" si="51"/>
        <v>0</v>
      </c>
      <c r="MG112" s="4">
        <f t="shared" si="51"/>
        <v>0</v>
      </c>
      <c r="MH112" s="4">
        <f t="shared" si="51"/>
        <v>0</v>
      </c>
      <c r="MI112" s="4">
        <f t="shared" si="51"/>
        <v>0</v>
      </c>
      <c r="MJ112" s="4">
        <f t="shared" si="51"/>
        <v>0</v>
      </c>
      <c r="MK112" s="4">
        <f t="shared" si="51"/>
        <v>0</v>
      </c>
      <c r="ML112" s="4">
        <f t="shared" si="51"/>
        <v>0</v>
      </c>
      <c r="MM112" s="4">
        <f t="shared" si="51"/>
        <v>0</v>
      </c>
      <c r="MN112" s="4">
        <f t="shared" si="51"/>
        <v>1</v>
      </c>
      <c r="MO112" s="4">
        <f t="shared" si="51"/>
        <v>0</v>
      </c>
      <c r="MP112" s="4">
        <f t="shared" si="51"/>
        <v>0</v>
      </c>
      <c r="MQ112" s="4">
        <f t="shared" si="51"/>
        <v>0</v>
      </c>
      <c r="MR112" s="4">
        <f t="shared" si="51"/>
        <v>0</v>
      </c>
      <c r="MS112" s="4">
        <f t="shared" si="51"/>
        <v>0</v>
      </c>
      <c r="MT112" s="4">
        <f t="shared" si="51"/>
        <v>0</v>
      </c>
      <c r="MU112" s="4">
        <f t="shared" si="51"/>
        <v>1</v>
      </c>
      <c r="MV112" s="4">
        <f t="shared" si="51"/>
        <v>0</v>
      </c>
      <c r="MW112" s="4">
        <f t="shared" si="51"/>
        <v>0</v>
      </c>
      <c r="MX112" s="4">
        <f t="shared" si="51"/>
        <v>0</v>
      </c>
      <c r="MY112" s="4">
        <f t="shared" si="51"/>
        <v>0</v>
      </c>
      <c r="MZ112" s="4">
        <f t="shared" si="51"/>
        <v>0</v>
      </c>
      <c r="NA112" s="4">
        <f t="shared" si="51"/>
        <v>0</v>
      </c>
      <c r="NB112" s="4">
        <f t="shared" si="51"/>
        <v>0</v>
      </c>
      <c r="NC112" s="4">
        <f t="shared" si="51"/>
        <v>0</v>
      </c>
      <c r="ND112" s="4">
        <f t="shared" si="51"/>
        <v>0</v>
      </c>
      <c r="NE112" s="4">
        <f t="shared" si="51"/>
        <v>1</v>
      </c>
      <c r="NF112" s="4">
        <f t="shared" si="51"/>
        <v>0</v>
      </c>
      <c r="NG112" s="4">
        <f t="shared" si="51"/>
        <v>0</v>
      </c>
      <c r="NH112" s="4">
        <f t="shared" si="51"/>
        <v>0</v>
      </c>
      <c r="NI112" s="4">
        <f t="shared" si="51"/>
        <v>0</v>
      </c>
      <c r="NJ112" s="4">
        <f t="shared" si="51"/>
        <v>0</v>
      </c>
      <c r="NK112" s="4">
        <f t="shared" si="51"/>
        <v>0</v>
      </c>
      <c r="NL112" s="4">
        <f t="shared" si="51"/>
        <v>0</v>
      </c>
      <c r="NM112" s="4">
        <f t="shared" si="51"/>
        <v>0</v>
      </c>
      <c r="NN112" s="4">
        <f t="shared" si="51"/>
        <v>1</v>
      </c>
      <c r="NO112" s="4">
        <f t="shared" si="51"/>
        <v>0</v>
      </c>
      <c r="NP112" s="4">
        <f t="shared" si="51"/>
        <v>0</v>
      </c>
      <c r="NQ112" s="4">
        <f t="shared" si="51"/>
        <v>0</v>
      </c>
      <c r="NR112" s="4">
        <f t="shared" si="51"/>
        <v>0</v>
      </c>
      <c r="NS112" s="4">
        <f t="shared" si="51"/>
        <v>0</v>
      </c>
      <c r="NT112" s="4">
        <f t="shared" si="51"/>
        <v>0</v>
      </c>
      <c r="NU112" s="4">
        <f t="shared" si="51"/>
        <v>0</v>
      </c>
      <c r="NV112" s="4">
        <f t="shared" si="51"/>
        <v>0</v>
      </c>
      <c r="NW112" s="4">
        <f t="shared" ref="NW112:OQ112" si="52">MEDIAN(NW2:NW101)</f>
        <v>0</v>
      </c>
      <c r="NX112" s="4">
        <f t="shared" si="52"/>
        <v>0</v>
      </c>
      <c r="NY112" s="4">
        <f t="shared" si="52"/>
        <v>0</v>
      </c>
      <c r="NZ112" s="4">
        <f t="shared" si="52"/>
        <v>0</v>
      </c>
      <c r="OA112" s="4">
        <f t="shared" si="52"/>
        <v>0</v>
      </c>
      <c r="OB112" s="4">
        <f t="shared" si="52"/>
        <v>0</v>
      </c>
      <c r="OC112" s="4">
        <f t="shared" si="52"/>
        <v>0</v>
      </c>
      <c r="OD112" s="4">
        <f t="shared" si="52"/>
        <v>0</v>
      </c>
      <c r="OE112" s="4">
        <f t="shared" si="52"/>
        <v>0</v>
      </c>
      <c r="OF112" s="4">
        <f t="shared" si="52"/>
        <v>0</v>
      </c>
      <c r="OG112" s="4">
        <f t="shared" si="52"/>
        <v>0</v>
      </c>
      <c r="OH112" s="4">
        <f t="shared" si="52"/>
        <v>0</v>
      </c>
      <c r="OI112" s="4">
        <f t="shared" si="52"/>
        <v>0</v>
      </c>
      <c r="OJ112" s="4">
        <f t="shared" si="52"/>
        <v>0</v>
      </c>
      <c r="OK112" s="4">
        <f t="shared" si="52"/>
        <v>0</v>
      </c>
      <c r="OL112" s="4">
        <f t="shared" si="52"/>
        <v>1</v>
      </c>
      <c r="OM112" s="4">
        <f t="shared" si="52"/>
        <v>0</v>
      </c>
      <c r="ON112" s="4">
        <f t="shared" si="52"/>
        <v>0</v>
      </c>
      <c r="OO112" s="4">
        <f t="shared" si="52"/>
        <v>0</v>
      </c>
      <c r="OP112" s="4">
        <f t="shared" si="52"/>
        <v>0</v>
      </c>
      <c r="OQ112" s="4">
        <f t="shared" si="52"/>
        <v>1</v>
      </c>
    </row>
    <row r="113" spans="1:407" x14ac:dyDescent="0.3">
      <c r="A113" s="9" t="s">
        <v>606</v>
      </c>
      <c r="B113">
        <f>B115-B114</f>
        <v>2</v>
      </c>
      <c r="C113" s="4">
        <f t="shared" ref="C113:BN113" si="53">C115-C114</f>
        <v>1</v>
      </c>
      <c r="D113" s="4">
        <f t="shared" si="53"/>
        <v>1</v>
      </c>
      <c r="E113" s="4">
        <f t="shared" si="53"/>
        <v>3</v>
      </c>
      <c r="F113" s="4">
        <f t="shared" si="53"/>
        <v>1</v>
      </c>
      <c r="G113" s="4">
        <f t="shared" si="53"/>
        <v>2</v>
      </c>
      <c r="H113" s="4">
        <f t="shared" si="53"/>
        <v>2</v>
      </c>
      <c r="I113" s="4">
        <f t="shared" si="53"/>
        <v>1</v>
      </c>
      <c r="J113" s="4">
        <f t="shared" si="53"/>
        <v>2</v>
      </c>
      <c r="K113" s="4">
        <f t="shared" si="53"/>
        <v>1</v>
      </c>
      <c r="L113" s="4">
        <f t="shared" si="53"/>
        <v>2</v>
      </c>
      <c r="M113" s="4">
        <f t="shared" si="53"/>
        <v>1</v>
      </c>
      <c r="N113" s="4">
        <f t="shared" si="53"/>
        <v>2</v>
      </c>
      <c r="O113" s="4">
        <f t="shared" si="53"/>
        <v>1</v>
      </c>
      <c r="P113" s="4">
        <f t="shared" si="53"/>
        <v>1</v>
      </c>
      <c r="Q113" s="4">
        <f t="shared" si="53"/>
        <v>1</v>
      </c>
      <c r="R113" s="4">
        <f t="shared" si="53"/>
        <v>2</v>
      </c>
      <c r="S113" s="4">
        <f t="shared" si="53"/>
        <v>1</v>
      </c>
      <c r="T113" s="4">
        <f t="shared" si="53"/>
        <v>1</v>
      </c>
      <c r="U113" s="4">
        <f t="shared" si="53"/>
        <v>1</v>
      </c>
      <c r="V113" s="4">
        <f t="shared" si="53"/>
        <v>2</v>
      </c>
      <c r="W113" s="4">
        <f t="shared" si="53"/>
        <v>1</v>
      </c>
      <c r="X113" s="4">
        <f t="shared" si="53"/>
        <v>2</v>
      </c>
      <c r="Y113" s="4">
        <f t="shared" si="53"/>
        <v>1</v>
      </c>
      <c r="Z113" s="4">
        <f t="shared" si="53"/>
        <v>2</v>
      </c>
      <c r="AA113" s="4">
        <f t="shared" si="53"/>
        <v>1</v>
      </c>
      <c r="AB113" s="4">
        <f t="shared" si="53"/>
        <v>2</v>
      </c>
      <c r="AC113" s="4">
        <f t="shared" si="53"/>
        <v>1</v>
      </c>
      <c r="AD113" s="4">
        <f t="shared" si="53"/>
        <v>4</v>
      </c>
      <c r="AE113" s="4">
        <f t="shared" si="53"/>
        <v>1</v>
      </c>
      <c r="AF113" s="4">
        <f t="shared" si="53"/>
        <v>1</v>
      </c>
      <c r="AG113" s="4">
        <f t="shared" si="53"/>
        <v>1</v>
      </c>
      <c r="AH113" s="4">
        <f t="shared" si="53"/>
        <v>1</v>
      </c>
      <c r="AI113" s="4">
        <f t="shared" si="53"/>
        <v>2</v>
      </c>
      <c r="AJ113" s="4">
        <f t="shared" si="53"/>
        <v>8</v>
      </c>
      <c r="AK113" s="4">
        <f t="shared" si="53"/>
        <v>1</v>
      </c>
      <c r="AL113" s="4">
        <f t="shared" si="53"/>
        <v>1</v>
      </c>
      <c r="AM113" s="4">
        <f t="shared" si="53"/>
        <v>1</v>
      </c>
      <c r="AN113" s="4">
        <f t="shared" si="53"/>
        <v>2</v>
      </c>
      <c r="AO113" s="4">
        <f t="shared" si="53"/>
        <v>1</v>
      </c>
      <c r="AP113" s="4">
        <f t="shared" si="53"/>
        <v>2</v>
      </c>
      <c r="AQ113" s="4">
        <f t="shared" si="53"/>
        <v>2</v>
      </c>
      <c r="AR113" s="4">
        <f t="shared" si="53"/>
        <v>1</v>
      </c>
      <c r="AS113" s="4">
        <f t="shared" si="53"/>
        <v>1</v>
      </c>
      <c r="AT113" s="4">
        <f t="shared" si="53"/>
        <v>1</v>
      </c>
      <c r="AU113" s="4">
        <f t="shared" si="53"/>
        <v>1</v>
      </c>
      <c r="AV113" s="4">
        <f t="shared" si="53"/>
        <v>2</v>
      </c>
      <c r="AW113" s="4">
        <f t="shared" si="53"/>
        <v>1</v>
      </c>
      <c r="AX113" s="4">
        <f t="shared" si="53"/>
        <v>1</v>
      </c>
      <c r="AY113" s="4">
        <f t="shared" si="53"/>
        <v>2</v>
      </c>
      <c r="AZ113" s="4">
        <f t="shared" si="53"/>
        <v>2</v>
      </c>
      <c r="BA113" s="4">
        <f t="shared" si="53"/>
        <v>1</v>
      </c>
      <c r="BB113" s="4">
        <f t="shared" si="53"/>
        <v>1</v>
      </c>
      <c r="BC113" s="4">
        <f t="shared" si="53"/>
        <v>1</v>
      </c>
      <c r="BD113" s="4">
        <f t="shared" si="53"/>
        <v>1</v>
      </c>
      <c r="BE113" s="4">
        <f t="shared" si="53"/>
        <v>1</v>
      </c>
      <c r="BF113" s="4">
        <f t="shared" si="53"/>
        <v>1</v>
      </c>
      <c r="BG113" s="4">
        <f t="shared" si="53"/>
        <v>1</v>
      </c>
      <c r="BH113" s="4">
        <f t="shared" si="53"/>
        <v>1</v>
      </c>
      <c r="BI113" s="4">
        <f t="shared" si="53"/>
        <v>1</v>
      </c>
      <c r="BJ113" s="4">
        <f t="shared" si="53"/>
        <v>1</v>
      </c>
      <c r="BK113" s="4">
        <f t="shared" si="53"/>
        <v>1</v>
      </c>
      <c r="BL113" s="4">
        <f t="shared" si="53"/>
        <v>1</v>
      </c>
      <c r="BM113" s="4">
        <f t="shared" si="53"/>
        <v>1</v>
      </c>
      <c r="BN113" s="4">
        <f t="shared" si="53"/>
        <v>1</v>
      </c>
      <c r="BO113" s="4">
        <f t="shared" ref="BO113:DZ113" si="54">BO115-BO114</f>
        <v>1</v>
      </c>
      <c r="BP113" s="4">
        <f t="shared" si="54"/>
        <v>1</v>
      </c>
      <c r="BQ113" s="4">
        <f t="shared" si="54"/>
        <v>1</v>
      </c>
      <c r="BR113" s="4">
        <f t="shared" si="54"/>
        <v>1</v>
      </c>
      <c r="BS113" s="4">
        <f t="shared" si="54"/>
        <v>1</v>
      </c>
      <c r="BT113" s="4">
        <f t="shared" si="54"/>
        <v>1</v>
      </c>
      <c r="BU113" s="4">
        <f t="shared" si="54"/>
        <v>1</v>
      </c>
      <c r="BV113" s="4">
        <f t="shared" si="54"/>
        <v>1</v>
      </c>
      <c r="BW113" s="4">
        <f t="shared" si="54"/>
        <v>7</v>
      </c>
      <c r="BX113" s="4">
        <f t="shared" si="54"/>
        <v>1</v>
      </c>
      <c r="BY113" s="4">
        <f t="shared" si="54"/>
        <v>5</v>
      </c>
      <c r="BZ113" s="4">
        <f t="shared" si="54"/>
        <v>1</v>
      </c>
      <c r="CA113" s="4">
        <f t="shared" si="54"/>
        <v>1</v>
      </c>
      <c r="CB113" s="4">
        <f t="shared" si="54"/>
        <v>1</v>
      </c>
      <c r="CC113" s="4">
        <f t="shared" si="54"/>
        <v>1</v>
      </c>
      <c r="CD113" s="4">
        <f t="shared" si="54"/>
        <v>1</v>
      </c>
      <c r="CE113" s="4">
        <f t="shared" si="54"/>
        <v>1</v>
      </c>
      <c r="CF113" s="4">
        <f t="shared" si="54"/>
        <v>2</v>
      </c>
      <c r="CG113" s="4">
        <f t="shared" si="54"/>
        <v>1</v>
      </c>
      <c r="CH113" s="4">
        <f t="shared" si="54"/>
        <v>1</v>
      </c>
      <c r="CI113" s="4">
        <f t="shared" si="54"/>
        <v>1</v>
      </c>
      <c r="CJ113" s="4">
        <f t="shared" si="54"/>
        <v>1</v>
      </c>
      <c r="CK113" s="4">
        <f t="shared" si="54"/>
        <v>1</v>
      </c>
      <c r="CL113" s="4">
        <f t="shared" si="54"/>
        <v>1</v>
      </c>
      <c r="CM113" s="4">
        <f t="shared" si="54"/>
        <v>2</v>
      </c>
      <c r="CN113" s="4">
        <f t="shared" si="54"/>
        <v>1</v>
      </c>
      <c r="CO113" s="4">
        <f t="shared" si="54"/>
        <v>4</v>
      </c>
      <c r="CP113" s="4">
        <f t="shared" si="54"/>
        <v>1</v>
      </c>
      <c r="CQ113" s="4">
        <f t="shared" si="54"/>
        <v>1</v>
      </c>
      <c r="CR113" s="4">
        <f t="shared" si="54"/>
        <v>1</v>
      </c>
      <c r="CS113" s="4">
        <f t="shared" si="54"/>
        <v>1</v>
      </c>
      <c r="CT113" s="4">
        <f t="shared" si="54"/>
        <v>1</v>
      </c>
      <c r="CU113" s="4">
        <f t="shared" si="54"/>
        <v>1</v>
      </c>
      <c r="CV113" s="4">
        <f t="shared" si="54"/>
        <v>1</v>
      </c>
      <c r="CW113" s="4">
        <f t="shared" si="54"/>
        <v>1</v>
      </c>
      <c r="CX113" s="4">
        <f t="shared" si="54"/>
        <v>1</v>
      </c>
      <c r="CY113" s="4">
        <f t="shared" si="54"/>
        <v>2</v>
      </c>
      <c r="CZ113" s="4">
        <f t="shared" si="54"/>
        <v>1</v>
      </c>
      <c r="DA113" s="4">
        <f t="shared" si="54"/>
        <v>1</v>
      </c>
      <c r="DB113" s="4">
        <f t="shared" si="54"/>
        <v>1</v>
      </c>
      <c r="DC113" s="4">
        <f t="shared" si="54"/>
        <v>1</v>
      </c>
      <c r="DD113" s="4">
        <f t="shared" si="54"/>
        <v>1</v>
      </c>
      <c r="DE113" s="4">
        <f t="shared" si="54"/>
        <v>2</v>
      </c>
      <c r="DF113" s="4">
        <f t="shared" si="54"/>
        <v>1</v>
      </c>
      <c r="DG113" s="4">
        <f t="shared" si="54"/>
        <v>1</v>
      </c>
      <c r="DH113" s="4">
        <f t="shared" si="54"/>
        <v>2</v>
      </c>
      <c r="DI113" s="4">
        <f t="shared" si="54"/>
        <v>1</v>
      </c>
      <c r="DJ113" s="4">
        <f t="shared" si="54"/>
        <v>1</v>
      </c>
      <c r="DK113" s="4">
        <f t="shared" si="54"/>
        <v>1</v>
      </c>
      <c r="DL113" s="4">
        <f t="shared" si="54"/>
        <v>1</v>
      </c>
      <c r="DM113" s="4">
        <f t="shared" si="54"/>
        <v>1</v>
      </c>
      <c r="DN113" s="4">
        <f t="shared" si="54"/>
        <v>1</v>
      </c>
      <c r="DO113" s="4">
        <f t="shared" si="54"/>
        <v>1</v>
      </c>
      <c r="DP113" s="4">
        <f t="shared" si="54"/>
        <v>1</v>
      </c>
      <c r="DQ113" s="4">
        <f t="shared" si="54"/>
        <v>1</v>
      </c>
      <c r="DR113" s="4">
        <f t="shared" si="54"/>
        <v>5</v>
      </c>
      <c r="DS113" s="4">
        <f t="shared" si="54"/>
        <v>1</v>
      </c>
      <c r="DT113" s="4">
        <f t="shared" si="54"/>
        <v>2</v>
      </c>
      <c r="DU113" s="4">
        <f t="shared" si="54"/>
        <v>1</v>
      </c>
      <c r="DV113" s="4">
        <f t="shared" si="54"/>
        <v>2</v>
      </c>
      <c r="DW113" s="4">
        <f t="shared" si="54"/>
        <v>1</v>
      </c>
      <c r="DX113" s="4">
        <f t="shared" si="54"/>
        <v>1</v>
      </c>
      <c r="DY113" s="4">
        <f t="shared" si="54"/>
        <v>1</v>
      </c>
      <c r="DZ113" s="4">
        <f t="shared" si="54"/>
        <v>1</v>
      </c>
      <c r="EA113" s="4">
        <f t="shared" ref="EA113:GL113" si="55">EA115-EA114</f>
        <v>1</v>
      </c>
      <c r="EB113" s="4">
        <f t="shared" si="55"/>
        <v>1</v>
      </c>
      <c r="EC113" s="4">
        <f t="shared" si="55"/>
        <v>1</v>
      </c>
      <c r="ED113" s="4">
        <f t="shared" si="55"/>
        <v>2</v>
      </c>
      <c r="EE113" s="4">
        <f t="shared" si="55"/>
        <v>1</v>
      </c>
      <c r="EF113" s="4">
        <f t="shared" si="55"/>
        <v>1</v>
      </c>
      <c r="EG113" s="4">
        <f t="shared" si="55"/>
        <v>1</v>
      </c>
      <c r="EH113" s="4">
        <f t="shared" si="55"/>
        <v>1</v>
      </c>
      <c r="EI113" s="4">
        <f t="shared" si="55"/>
        <v>2</v>
      </c>
      <c r="EJ113" s="4">
        <f t="shared" si="55"/>
        <v>1</v>
      </c>
      <c r="EK113" s="4">
        <f t="shared" si="55"/>
        <v>1</v>
      </c>
      <c r="EL113" s="4">
        <f t="shared" si="55"/>
        <v>1</v>
      </c>
      <c r="EM113" s="4">
        <f t="shared" si="55"/>
        <v>1</v>
      </c>
      <c r="EN113" s="4">
        <f t="shared" si="55"/>
        <v>1</v>
      </c>
      <c r="EO113" s="4">
        <f t="shared" si="55"/>
        <v>1</v>
      </c>
      <c r="EP113" s="4">
        <f t="shared" si="55"/>
        <v>1</v>
      </c>
      <c r="EQ113" s="4">
        <f t="shared" si="55"/>
        <v>1</v>
      </c>
      <c r="ER113" s="4">
        <f t="shared" si="55"/>
        <v>1</v>
      </c>
      <c r="ES113" s="4">
        <f t="shared" si="55"/>
        <v>1</v>
      </c>
      <c r="ET113" s="4">
        <f t="shared" si="55"/>
        <v>1</v>
      </c>
      <c r="EU113" s="4">
        <f t="shared" si="55"/>
        <v>1</v>
      </c>
      <c r="EV113" s="4">
        <f t="shared" si="55"/>
        <v>2</v>
      </c>
      <c r="EW113" s="4">
        <f t="shared" si="55"/>
        <v>1</v>
      </c>
      <c r="EX113" s="4">
        <f t="shared" si="55"/>
        <v>1</v>
      </c>
      <c r="EY113" s="4">
        <f t="shared" si="55"/>
        <v>1</v>
      </c>
      <c r="EZ113" s="4">
        <f t="shared" si="55"/>
        <v>1</v>
      </c>
      <c r="FA113" s="4">
        <f t="shared" si="55"/>
        <v>2</v>
      </c>
      <c r="FB113" s="4">
        <f t="shared" si="55"/>
        <v>1</v>
      </c>
      <c r="FC113" s="4">
        <f t="shared" si="55"/>
        <v>1</v>
      </c>
      <c r="FD113" s="4">
        <f t="shared" si="55"/>
        <v>1</v>
      </c>
      <c r="FE113" s="4">
        <f t="shared" si="55"/>
        <v>2</v>
      </c>
      <c r="FF113" s="4">
        <f t="shared" si="55"/>
        <v>1</v>
      </c>
      <c r="FG113" s="4">
        <f t="shared" si="55"/>
        <v>1</v>
      </c>
      <c r="FH113" s="4">
        <f t="shared" si="55"/>
        <v>2</v>
      </c>
      <c r="FI113" s="4">
        <f t="shared" si="55"/>
        <v>1</v>
      </c>
      <c r="FJ113" s="4">
        <f t="shared" si="55"/>
        <v>1</v>
      </c>
      <c r="FK113" s="4">
        <f t="shared" si="55"/>
        <v>1</v>
      </c>
      <c r="FL113" s="4">
        <f t="shared" si="55"/>
        <v>1</v>
      </c>
      <c r="FM113" s="4">
        <f t="shared" si="55"/>
        <v>1</v>
      </c>
      <c r="FN113" s="4">
        <f t="shared" si="55"/>
        <v>1</v>
      </c>
      <c r="FO113" s="4">
        <f t="shared" si="55"/>
        <v>1</v>
      </c>
      <c r="FP113" s="4">
        <f t="shared" si="55"/>
        <v>1</v>
      </c>
      <c r="FQ113" s="4">
        <f t="shared" si="55"/>
        <v>1</v>
      </c>
      <c r="FR113" s="4">
        <f t="shared" si="55"/>
        <v>1</v>
      </c>
      <c r="FS113" s="4">
        <f t="shared" si="55"/>
        <v>0</v>
      </c>
      <c r="FT113" s="4">
        <f t="shared" si="55"/>
        <v>1</v>
      </c>
      <c r="FU113" s="4">
        <f t="shared" si="55"/>
        <v>2</v>
      </c>
      <c r="FV113" s="4">
        <f t="shared" si="55"/>
        <v>2</v>
      </c>
      <c r="FW113" s="4">
        <f t="shared" si="55"/>
        <v>1</v>
      </c>
      <c r="FX113" s="4">
        <f t="shared" si="55"/>
        <v>1</v>
      </c>
      <c r="FY113" s="4">
        <f t="shared" si="55"/>
        <v>1</v>
      </c>
      <c r="FZ113" s="4">
        <f t="shared" si="55"/>
        <v>1</v>
      </c>
      <c r="GA113" s="4">
        <f t="shared" si="55"/>
        <v>1</v>
      </c>
      <c r="GB113" s="4">
        <f t="shared" si="55"/>
        <v>1</v>
      </c>
      <c r="GC113" s="4">
        <f t="shared" si="55"/>
        <v>2</v>
      </c>
      <c r="GD113" s="4">
        <f t="shared" si="55"/>
        <v>1</v>
      </c>
      <c r="GE113" s="4">
        <f t="shared" si="55"/>
        <v>1</v>
      </c>
      <c r="GF113" s="4">
        <f t="shared" si="55"/>
        <v>1</v>
      </c>
      <c r="GG113" s="4">
        <f t="shared" si="55"/>
        <v>1</v>
      </c>
      <c r="GH113" s="4">
        <f t="shared" si="55"/>
        <v>1</v>
      </c>
      <c r="GI113" s="4">
        <f t="shared" si="55"/>
        <v>1</v>
      </c>
      <c r="GJ113" s="4">
        <f t="shared" si="55"/>
        <v>2</v>
      </c>
      <c r="GK113" s="4">
        <f t="shared" si="55"/>
        <v>1</v>
      </c>
      <c r="GL113" s="4">
        <f t="shared" si="55"/>
        <v>1</v>
      </c>
      <c r="GM113" s="4">
        <f t="shared" ref="GM113:IX113" si="56">GM115-GM114</f>
        <v>1</v>
      </c>
      <c r="GN113" s="4">
        <f t="shared" si="56"/>
        <v>2</v>
      </c>
      <c r="GO113" s="4">
        <f t="shared" si="56"/>
        <v>1</v>
      </c>
      <c r="GP113" s="4">
        <f t="shared" si="56"/>
        <v>2</v>
      </c>
      <c r="GQ113" s="4">
        <f t="shared" si="56"/>
        <v>1</v>
      </c>
      <c r="GR113" s="4">
        <f t="shared" si="56"/>
        <v>1</v>
      </c>
      <c r="GS113" s="4">
        <f t="shared" si="56"/>
        <v>1</v>
      </c>
      <c r="GT113" s="4">
        <f t="shared" si="56"/>
        <v>1</v>
      </c>
      <c r="GU113" s="4">
        <f t="shared" si="56"/>
        <v>1</v>
      </c>
      <c r="GV113" s="4">
        <f t="shared" si="56"/>
        <v>2</v>
      </c>
      <c r="GW113" s="4">
        <f t="shared" si="56"/>
        <v>1</v>
      </c>
      <c r="GX113" s="4">
        <f t="shared" si="56"/>
        <v>0</v>
      </c>
      <c r="GY113" s="4">
        <f t="shared" si="56"/>
        <v>1</v>
      </c>
      <c r="GZ113" s="4">
        <f t="shared" si="56"/>
        <v>1</v>
      </c>
      <c r="HA113" s="4">
        <f t="shared" si="56"/>
        <v>1</v>
      </c>
      <c r="HB113" s="4">
        <f t="shared" si="56"/>
        <v>2</v>
      </c>
      <c r="HC113" s="4">
        <f t="shared" si="56"/>
        <v>1</v>
      </c>
      <c r="HD113" s="4">
        <f t="shared" si="56"/>
        <v>1</v>
      </c>
      <c r="HE113" s="4">
        <f t="shared" si="56"/>
        <v>1</v>
      </c>
      <c r="HF113" s="4">
        <f t="shared" si="56"/>
        <v>1</v>
      </c>
      <c r="HG113" s="4">
        <f t="shared" si="56"/>
        <v>1</v>
      </c>
      <c r="HH113" s="4">
        <f t="shared" si="56"/>
        <v>1</v>
      </c>
      <c r="HI113" s="4">
        <f t="shared" si="56"/>
        <v>1</v>
      </c>
      <c r="HJ113" s="4">
        <f t="shared" si="56"/>
        <v>1</v>
      </c>
      <c r="HK113" s="4">
        <f t="shared" si="56"/>
        <v>1</v>
      </c>
      <c r="HL113" s="4">
        <f t="shared" si="56"/>
        <v>1</v>
      </c>
      <c r="HM113" s="4">
        <f t="shared" si="56"/>
        <v>1</v>
      </c>
      <c r="HN113" s="4">
        <f t="shared" si="56"/>
        <v>1</v>
      </c>
      <c r="HO113" s="4">
        <f t="shared" si="56"/>
        <v>1</v>
      </c>
      <c r="HP113" s="4">
        <f t="shared" si="56"/>
        <v>1</v>
      </c>
      <c r="HQ113" s="4">
        <f t="shared" si="56"/>
        <v>1</v>
      </c>
      <c r="HR113" s="4">
        <f t="shared" si="56"/>
        <v>2</v>
      </c>
      <c r="HS113" s="4">
        <f t="shared" si="56"/>
        <v>1</v>
      </c>
      <c r="HT113" s="4">
        <f t="shared" si="56"/>
        <v>1</v>
      </c>
      <c r="HU113" s="4">
        <f t="shared" si="56"/>
        <v>1</v>
      </c>
      <c r="HV113" s="4">
        <f t="shared" si="56"/>
        <v>1</v>
      </c>
      <c r="HW113" s="4">
        <f t="shared" si="56"/>
        <v>1</v>
      </c>
      <c r="HX113" s="4">
        <f t="shared" si="56"/>
        <v>1</v>
      </c>
      <c r="HY113" s="4">
        <f t="shared" si="56"/>
        <v>1</v>
      </c>
      <c r="HZ113" s="4">
        <f t="shared" si="56"/>
        <v>1</v>
      </c>
      <c r="IA113" s="4">
        <f t="shared" si="56"/>
        <v>1</v>
      </c>
      <c r="IB113" s="4">
        <f t="shared" si="56"/>
        <v>1</v>
      </c>
      <c r="IC113" s="4">
        <f t="shared" si="56"/>
        <v>1</v>
      </c>
      <c r="ID113" s="4">
        <f t="shared" si="56"/>
        <v>1</v>
      </c>
      <c r="IE113" s="4">
        <f t="shared" si="56"/>
        <v>1</v>
      </c>
      <c r="IF113" s="4">
        <f t="shared" si="56"/>
        <v>1</v>
      </c>
      <c r="IG113" s="4">
        <f t="shared" si="56"/>
        <v>1</v>
      </c>
      <c r="IH113" s="4">
        <f t="shared" si="56"/>
        <v>1</v>
      </c>
      <c r="II113" s="4">
        <f t="shared" si="56"/>
        <v>1</v>
      </c>
      <c r="IJ113" s="4">
        <f t="shared" si="56"/>
        <v>1</v>
      </c>
      <c r="IK113" s="4">
        <f t="shared" si="56"/>
        <v>1</v>
      </c>
      <c r="IL113" s="4">
        <f t="shared" si="56"/>
        <v>1</v>
      </c>
      <c r="IM113" s="4">
        <f t="shared" si="56"/>
        <v>1</v>
      </c>
      <c r="IN113" s="4">
        <f t="shared" si="56"/>
        <v>1</v>
      </c>
      <c r="IO113" s="4">
        <f t="shared" si="56"/>
        <v>1</v>
      </c>
      <c r="IP113" s="4">
        <f t="shared" si="56"/>
        <v>2</v>
      </c>
      <c r="IQ113" s="4">
        <f t="shared" si="56"/>
        <v>1</v>
      </c>
      <c r="IR113" s="4">
        <f t="shared" si="56"/>
        <v>1</v>
      </c>
      <c r="IS113" s="4">
        <f t="shared" si="56"/>
        <v>2</v>
      </c>
      <c r="IT113" s="4">
        <f t="shared" si="56"/>
        <v>1</v>
      </c>
      <c r="IU113" s="4">
        <f t="shared" si="56"/>
        <v>1</v>
      </c>
      <c r="IV113" s="4">
        <f t="shared" si="56"/>
        <v>1</v>
      </c>
      <c r="IW113" s="4">
        <f t="shared" si="56"/>
        <v>1</v>
      </c>
      <c r="IX113" s="4">
        <f t="shared" si="56"/>
        <v>0</v>
      </c>
      <c r="IY113" s="4">
        <f t="shared" ref="IY113:LJ113" si="57">IY115-IY114</f>
        <v>1</v>
      </c>
      <c r="IZ113" s="4">
        <f t="shared" si="57"/>
        <v>1</v>
      </c>
      <c r="JA113" s="4">
        <f t="shared" si="57"/>
        <v>1</v>
      </c>
      <c r="JB113" s="4">
        <f t="shared" si="57"/>
        <v>2</v>
      </c>
      <c r="JC113" s="4">
        <f t="shared" si="57"/>
        <v>1</v>
      </c>
      <c r="JD113" s="4">
        <f t="shared" si="57"/>
        <v>1</v>
      </c>
      <c r="JE113" s="4">
        <f t="shared" si="57"/>
        <v>1</v>
      </c>
      <c r="JF113" s="4">
        <f t="shared" si="57"/>
        <v>1</v>
      </c>
      <c r="JG113" s="4">
        <f t="shared" si="57"/>
        <v>1</v>
      </c>
      <c r="JH113" s="4">
        <f t="shared" si="57"/>
        <v>1</v>
      </c>
      <c r="JI113" s="4">
        <f t="shared" si="57"/>
        <v>1</v>
      </c>
      <c r="JJ113" s="4">
        <f t="shared" si="57"/>
        <v>2</v>
      </c>
      <c r="JK113" s="4">
        <f t="shared" si="57"/>
        <v>1</v>
      </c>
      <c r="JL113" s="4">
        <f t="shared" si="57"/>
        <v>1</v>
      </c>
      <c r="JM113" s="4">
        <f t="shared" si="57"/>
        <v>1</v>
      </c>
      <c r="JN113" s="4">
        <f t="shared" si="57"/>
        <v>1</v>
      </c>
      <c r="JO113" s="4">
        <f t="shared" si="57"/>
        <v>1</v>
      </c>
      <c r="JP113" s="4">
        <f t="shared" si="57"/>
        <v>6</v>
      </c>
      <c r="JQ113" s="4">
        <f t="shared" si="57"/>
        <v>1</v>
      </c>
      <c r="JR113" s="4">
        <f t="shared" si="57"/>
        <v>1</v>
      </c>
      <c r="JS113" s="4">
        <f t="shared" si="57"/>
        <v>1</v>
      </c>
      <c r="JT113" s="4">
        <f t="shared" si="57"/>
        <v>1</v>
      </c>
      <c r="JU113" s="4">
        <f t="shared" si="57"/>
        <v>1</v>
      </c>
      <c r="JV113" s="4">
        <f t="shared" si="57"/>
        <v>1</v>
      </c>
      <c r="JW113" s="4">
        <f t="shared" si="57"/>
        <v>1</v>
      </c>
      <c r="JX113" s="4">
        <f t="shared" si="57"/>
        <v>1</v>
      </c>
      <c r="JY113" s="4">
        <f t="shared" si="57"/>
        <v>1</v>
      </c>
      <c r="JZ113" s="4">
        <f t="shared" si="57"/>
        <v>1</v>
      </c>
      <c r="KA113" s="4">
        <f t="shared" si="57"/>
        <v>1</v>
      </c>
      <c r="KB113" s="4">
        <f t="shared" si="57"/>
        <v>1</v>
      </c>
      <c r="KC113" s="4">
        <f t="shared" si="57"/>
        <v>1</v>
      </c>
      <c r="KD113" s="4">
        <f t="shared" si="57"/>
        <v>1</v>
      </c>
      <c r="KE113" s="4">
        <f t="shared" si="57"/>
        <v>1</v>
      </c>
      <c r="KF113" s="4">
        <f t="shared" si="57"/>
        <v>1</v>
      </c>
      <c r="KG113" s="4">
        <f t="shared" si="57"/>
        <v>1</v>
      </c>
      <c r="KH113" s="4">
        <f t="shared" si="57"/>
        <v>1</v>
      </c>
      <c r="KI113" s="4">
        <f t="shared" si="57"/>
        <v>1</v>
      </c>
      <c r="KJ113" s="4">
        <f t="shared" si="57"/>
        <v>1</v>
      </c>
      <c r="KK113" s="4">
        <f t="shared" si="57"/>
        <v>2</v>
      </c>
      <c r="KL113" s="4">
        <f t="shared" si="57"/>
        <v>2</v>
      </c>
      <c r="KM113" s="4">
        <f t="shared" si="57"/>
        <v>2</v>
      </c>
      <c r="KN113" s="4">
        <f t="shared" si="57"/>
        <v>1</v>
      </c>
      <c r="KO113" s="4">
        <f t="shared" si="57"/>
        <v>1</v>
      </c>
      <c r="KP113" s="4">
        <f t="shared" si="57"/>
        <v>1</v>
      </c>
      <c r="KQ113" s="4">
        <f t="shared" si="57"/>
        <v>3</v>
      </c>
      <c r="KR113" s="4">
        <f t="shared" si="57"/>
        <v>1</v>
      </c>
      <c r="KS113" s="4">
        <f t="shared" si="57"/>
        <v>1</v>
      </c>
      <c r="KT113" s="4">
        <f t="shared" si="57"/>
        <v>1</v>
      </c>
      <c r="KU113" s="4">
        <f t="shared" si="57"/>
        <v>3</v>
      </c>
      <c r="KV113" s="4">
        <f t="shared" si="57"/>
        <v>1</v>
      </c>
      <c r="KW113" s="4">
        <f t="shared" si="57"/>
        <v>1</v>
      </c>
      <c r="KX113" s="4">
        <f t="shared" si="57"/>
        <v>2</v>
      </c>
      <c r="KY113" s="4">
        <f t="shared" si="57"/>
        <v>1</v>
      </c>
      <c r="KZ113" s="4">
        <f t="shared" si="57"/>
        <v>1</v>
      </c>
      <c r="LA113" s="4">
        <f t="shared" si="57"/>
        <v>1</v>
      </c>
      <c r="LB113" s="4">
        <f t="shared" si="57"/>
        <v>1</v>
      </c>
      <c r="LC113" s="4">
        <f t="shared" si="57"/>
        <v>1</v>
      </c>
      <c r="LD113" s="4">
        <f t="shared" si="57"/>
        <v>1</v>
      </c>
      <c r="LE113" s="4">
        <f t="shared" si="57"/>
        <v>1</v>
      </c>
      <c r="LF113" s="4">
        <f t="shared" si="57"/>
        <v>1</v>
      </c>
      <c r="LG113" s="4">
        <f t="shared" si="57"/>
        <v>2</v>
      </c>
      <c r="LH113" s="4">
        <f t="shared" si="57"/>
        <v>1</v>
      </c>
      <c r="LI113" s="4">
        <f t="shared" si="57"/>
        <v>0</v>
      </c>
      <c r="LJ113" s="4">
        <f t="shared" si="57"/>
        <v>4</v>
      </c>
      <c r="LK113" s="4">
        <f t="shared" ref="LK113:NV113" si="58">LK115-LK114</f>
        <v>1</v>
      </c>
      <c r="LL113" s="4">
        <f t="shared" si="58"/>
        <v>1</v>
      </c>
      <c r="LM113" s="4">
        <f t="shared" si="58"/>
        <v>1</v>
      </c>
      <c r="LN113" s="4">
        <f t="shared" si="58"/>
        <v>1</v>
      </c>
      <c r="LO113" s="4">
        <f t="shared" si="58"/>
        <v>9</v>
      </c>
      <c r="LP113" s="4">
        <f t="shared" si="58"/>
        <v>1</v>
      </c>
      <c r="LQ113" s="4">
        <f t="shared" si="58"/>
        <v>1</v>
      </c>
      <c r="LR113" s="4">
        <f t="shared" si="58"/>
        <v>1</v>
      </c>
      <c r="LS113" s="4">
        <f t="shared" si="58"/>
        <v>1</v>
      </c>
      <c r="LT113" s="4">
        <f t="shared" si="58"/>
        <v>1</v>
      </c>
      <c r="LU113" s="4">
        <f t="shared" si="58"/>
        <v>0</v>
      </c>
      <c r="LV113" s="4">
        <f t="shared" si="58"/>
        <v>1</v>
      </c>
      <c r="LW113" s="4">
        <f t="shared" si="58"/>
        <v>1</v>
      </c>
      <c r="LX113" s="4">
        <f t="shared" si="58"/>
        <v>1</v>
      </c>
      <c r="LY113" s="4">
        <f t="shared" si="58"/>
        <v>1</v>
      </c>
      <c r="LZ113" s="4">
        <f t="shared" si="58"/>
        <v>1</v>
      </c>
      <c r="MA113" s="4">
        <f t="shared" si="58"/>
        <v>1</v>
      </c>
      <c r="MB113" s="4">
        <f t="shared" si="58"/>
        <v>1</v>
      </c>
      <c r="MC113" s="4">
        <f t="shared" si="58"/>
        <v>1</v>
      </c>
      <c r="MD113" s="4">
        <f t="shared" si="58"/>
        <v>1</v>
      </c>
      <c r="ME113" s="4">
        <f t="shared" si="58"/>
        <v>1</v>
      </c>
      <c r="MF113" s="4">
        <f t="shared" si="58"/>
        <v>1</v>
      </c>
      <c r="MG113" s="4">
        <f t="shared" si="58"/>
        <v>3</v>
      </c>
      <c r="MH113" s="4">
        <f t="shared" si="58"/>
        <v>1</v>
      </c>
      <c r="MI113" s="4">
        <f t="shared" si="58"/>
        <v>1</v>
      </c>
      <c r="MJ113" s="4">
        <f t="shared" si="58"/>
        <v>1</v>
      </c>
      <c r="MK113" s="4">
        <f t="shared" si="58"/>
        <v>1</v>
      </c>
      <c r="ML113" s="4">
        <f t="shared" si="58"/>
        <v>3</v>
      </c>
      <c r="MM113" s="4">
        <f t="shared" si="58"/>
        <v>1</v>
      </c>
      <c r="MN113" s="4">
        <f t="shared" si="58"/>
        <v>1</v>
      </c>
      <c r="MO113" s="4">
        <f t="shared" si="58"/>
        <v>1</v>
      </c>
      <c r="MP113" s="4">
        <f t="shared" si="58"/>
        <v>1</v>
      </c>
      <c r="MQ113" s="4">
        <f t="shared" si="58"/>
        <v>0</v>
      </c>
      <c r="MR113" s="4">
        <f t="shared" si="58"/>
        <v>2</v>
      </c>
      <c r="MS113" s="4">
        <f t="shared" si="58"/>
        <v>1</v>
      </c>
      <c r="MT113" s="4">
        <f t="shared" si="58"/>
        <v>1</v>
      </c>
      <c r="MU113" s="4">
        <f t="shared" si="58"/>
        <v>2</v>
      </c>
      <c r="MV113" s="4">
        <f t="shared" si="58"/>
        <v>1</v>
      </c>
      <c r="MW113" s="4">
        <f t="shared" si="58"/>
        <v>1</v>
      </c>
      <c r="MX113" s="4">
        <f t="shared" si="58"/>
        <v>2</v>
      </c>
      <c r="MY113" s="4">
        <f t="shared" si="58"/>
        <v>1</v>
      </c>
      <c r="MZ113" s="4">
        <f t="shared" si="58"/>
        <v>1</v>
      </c>
      <c r="NA113" s="4">
        <f t="shared" si="58"/>
        <v>1</v>
      </c>
      <c r="NB113" s="4">
        <f t="shared" si="58"/>
        <v>1</v>
      </c>
      <c r="NC113" s="4">
        <f t="shared" si="58"/>
        <v>1</v>
      </c>
      <c r="ND113" s="4">
        <f t="shared" si="58"/>
        <v>1</v>
      </c>
      <c r="NE113" s="4">
        <f t="shared" si="58"/>
        <v>1</v>
      </c>
      <c r="NF113" s="4">
        <f t="shared" si="58"/>
        <v>1</v>
      </c>
      <c r="NG113" s="4">
        <f t="shared" si="58"/>
        <v>1</v>
      </c>
      <c r="NH113" s="4">
        <f t="shared" si="58"/>
        <v>1</v>
      </c>
      <c r="NI113" s="4">
        <f t="shared" si="58"/>
        <v>1</v>
      </c>
      <c r="NJ113" s="4">
        <f t="shared" si="58"/>
        <v>1</v>
      </c>
      <c r="NK113" s="4">
        <f t="shared" si="58"/>
        <v>1</v>
      </c>
      <c r="NL113" s="4">
        <f t="shared" si="58"/>
        <v>1</v>
      </c>
      <c r="NM113" s="4">
        <f t="shared" si="58"/>
        <v>3</v>
      </c>
      <c r="NN113" s="4">
        <f t="shared" si="58"/>
        <v>1</v>
      </c>
      <c r="NO113" s="4">
        <f t="shared" si="58"/>
        <v>1</v>
      </c>
      <c r="NP113" s="4">
        <f t="shared" si="58"/>
        <v>3</v>
      </c>
      <c r="NQ113" s="4">
        <f t="shared" si="58"/>
        <v>1</v>
      </c>
      <c r="NR113" s="4">
        <f t="shared" si="58"/>
        <v>2</v>
      </c>
      <c r="NS113" s="4">
        <f t="shared" si="58"/>
        <v>1</v>
      </c>
      <c r="NT113" s="4">
        <f t="shared" si="58"/>
        <v>1</v>
      </c>
      <c r="NU113" s="4">
        <f t="shared" si="58"/>
        <v>1</v>
      </c>
      <c r="NV113" s="4">
        <f t="shared" si="58"/>
        <v>1</v>
      </c>
      <c r="NW113" s="4">
        <f t="shared" ref="NW113:OQ113" si="59">NW115-NW114</f>
        <v>1</v>
      </c>
      <c r="NX113" s="4">
        <f t="shared" si="59"/>
        <v>2</v>
      </c>
      <c r="NY113" s="4">
        <f t="shared" si="59"/>
        <v>1</v>
      </c>
      <c r="NZ113" s="4">
        <f t="shared" si="59"/>
        <v>1</v>
      </c>
      <c r="OA113" s="4">
        <f t="shared" si="59"/>
        <v>1</v>
      </c>
      <c r="OB113" s="4">
        <f t="shared" si="59"/>
        <v>1</v>
      </c>
      <c r="OC113" s="4">
        <f t="shared" si="59"/>
        <v>1</v>
      </c>
      <c r="OD113" s="4">
        <f t="shared" si="59"/>
        <v>1</v>
      </c>
      <c r="OE113" s="4">
        <f t="shared" si="59"/>
        <v>1</v>
      </c>
      <c r="OF113" s="4">
        <f t="shared" si="59"/>
        <v>1</v>
      </c>
      <c r="OG113" s="4">
        <f t="shared" si="59"/>
        <v>1</v>
      </c>
      <c r="OH113" s="4">
        <f t="shared" si="59"/>
        <v>1</v>
      </c>
      <c r="OI113" s="4">
        <f t="shared" si="59"/>
        <v>1</v>
      </c>
      <c r="OJ113" s="4">
        <f t="shared" si="59"/>
        <v>1</v>
      </c>
      <c r="OK113" s="4">
        <f t="shared" si="59"/>
        <v>1</v>
      </c>
      <c r="OL113" s="4">
        <f t="shared" si="59"/>
        <v>4</v>
      </c>
      <c r="OM113" s="4">
        <f t="shared" si="59"/>
        <v>1</v>
      </c>
      <c r="ON113" s="4">
        <f t="shared" si="59"/>
        <v>1</v>
      </c>
      <c r="OO113" s="4">
        <f t="shared" si="59"/>
        <v>1</v>
      </c>
      <c r="OP113" s="4">
        <f t="shared" si="59"/>
        <v>1</v>
      </c>
      <c r="OQ113" s="4">
        <f t="shared" si="59"/>
        <v>2</v>
      </c>
    </row>
    <row r="114" spans="1:407" x14ac:dyDescent="0.3">
      <c r="A114" s="9" t="s">
        <v>607</v>
      </c>
      <c r="B114">
        <f>MIN(B2:B101)</f>
        <v>0</v>
      </c>
      <c r="C114" s="4">
        <f t="shared" ref="C114:BN114" si="60">MIN(C2:C101)</f>
        <v>0</v>
      </c>
      <c r="D114" s="4">
        <f t="shared" si="60"/>
        <v>0</v>
      </c>
      <c r="E114" s="4">
        <f t="shared" si="60"/>
        <v>0</v>
      </c>
      <c r="F114" s="4">
        <f t="shared" si="60"/>
        <v>1</v>
      </c>
      <c r="G114" s="4">
        <f t="shared" si="60"/>
        <v>1</v>
      </c>
      <c r="H114" s="4">
        <f t="shared" si="60"/>
        <v>0</v>
      </c>
      <c r="I114" s="4">
        <f t="shared" si="60"/>
        <v>0</v>
      </c>
      <c r="J114" s="4">
        <f t="shared" si="60"/>
        <v>0</v>
      </c>
      <c r="K114" s="4">
        <f t="shared" si="60"/>
        <v>0</v>
      </c>
      <c r="L114" s="4">
        <f t="shared" si="60"/>
        <v>0</v>
      </c>
      <c r="M114" s="4">
        <f t="shared" si="60"/>
        <v>0</v>
      </c>
      <c r="N114" s="4">
        <f t="shared" si="60"/>
        <v>0</v>
      </c>
      <c r="O114" s="4">
        <f t="shared" si="60"/>
        <v>0</v>
      </c>
      <c r="P114" s="4">
        <f t="shared" si="60"/>
        <v>0</v>
      </c>
      <c r="Q114" s="4">
        <f t="shared" si="60"/>
        <v>0</v>
      </c>
      <c r="R114" s="4">
        <f t="shared" si="60"/>
        <v>0</v>
      </c>
      <c r="S114" s="4">
        <f t="shared" si="60"/>
        <v>0</v>
      </c>
      <c r="T114" s="4">
        <f t="shared" si="60"/>
        <v>0</v>
      </c>
      <c r="U114" s="4">
        <f t="shared" si="60"/>
        <v>0</v>
      </c>
      <c r="V114" s="4">
        <f t="shared" si="60"/>
        <v>0</v>
      </c>
      <c r="W114" s="4">
        <f t="shared" si="60"/>
        <v>0</v>
      </c>
      <c r="X114" s="4">
        <f t="shared" si="60"/>
        <v>0</v>
      </c>
      <c r="Y114" s="4">
        <f t="shared" si="60"/>
        <v>0</v>
      </c>
      <c r="Z114" s="4">
        <f t="shared" si="60"/>
        <v>0</v>
      </c>
      <c r="AA114" s="4">
        <f t="shared" si="60"/>
        <v>1</v>
      </c>
      <c r="AB114" s="4">
        <f t="shared" si="60"/>
        <v>0</v>
      </c>
      <c r="AC114" s="4">
        <f t="shared" si="60"/>
        <v>0</v>
      </c>
      <c r="AD114" s="4">
        <f t="shared" si="60"/>
        <v>1</v>
      </c>
      <c r="AE114" s="4">
        <f t="shared" si="60"/>
        <v>0</v>
      </c>
      <c r="AF114" s="4">
        <f t="shared" si="60"/>
        <v>0</v>
      </c>
      <c r="AG114" s="4">
        <f t="shared" si="60"/>
        <v>0</v>
      </c>
      <c r="AH114" s="4">
        <f t="shared" si="60"/>
        <v>0</v>
      </c>
      <c r="AI114" s="4">
        <f t="shared" si="60"/>
        <v>0</v>
      </c>
      <c r="AJ114" s="4">
        <f t="shared" si="60"/>
        <v>0</v>
      </c>
      <c r="AK114" s="4">
        <f t="shared" si="60"/>
        <v>0</v>
      </c>
      <c r="AL114" s="4">
        <f t="shared" si="60"/>
        <v>0</v>
      </c>
      <c r="AM114" s="4">
        <f t="shared" si="60"/>
        <v>0</v>
      </c>
      <c r="AN114" s="4">
        <f t="shared" si="60"/>
        <v>0</v>
      </c>
      <c r="AO114" s="4">
        <f t="shared" si="60"/>
        <v>0</v>
      </c>
      <c r="AP114" s="4">
        <f t="shared" si="60"/>
        <v>0</v>
      </c>
      <c r="AQ114" s="4">
        <f t="shared" si="60"/>
        <v>0</v>
      </c>
      <c r="AR114" s="4">
        <f t="shared" si="60"/>
        <v>0</v>
      </c>
      <c r="AS114" s="4">
        <f t="shared" si="60"/>
        <v>0</v>
      </c>
      <c r="AT114" s="4">
        <f t="shared" si="60"/>
        <v>0</v>
      </c>
      <c r="AU114" s="4">
        <f t="shared" si="60"/>
        <v>1</v>
      </c>
      <c r="AV114" s="4">
        <f t="shared" si="60"/>
        <v>0</v>
      </c>
      <c r="AW114" s="4">
        <f t="shared" si="60"/>
        <v>0</v>
      </c>
      <c r="AX114" s="4">
        <f t="shared" si="60"/>
        <v>0</v>
      </c>
      <c r="AY114" s="4">
        <f t="shared" si="60"/>
        <v>0</v>
      </c>
      <c r="AZ114" s="4">
        <f t="shared" si="60"/>
        <v>0</v>
      </c>
      <c r="BA114" s="4">
        <f t="shared" si="60"/>
        <v>0</v>
      </c>
      <c r="BB114" s="4">
        <f t="shared" si="60"/>
        <v>0</v>
      </c>
      <c r="BC114" s="4">
        <f t="shared" si="60"/>
        <v>0</v>
      </c>
      <c r="BD114" s="4">
        <f t="shared" si="60"/>
        <v>0</v>
      </c>
      <c r="BE114" s="4">
        <f t="shared" si="60"/>
        <v>0</v>
      </c>
      <c r="BF114" s="4">
        <f t="shared" si="60"/>
        <v>0</v>
      </c>
      <c r="BG114" s="4">
        <f t="shared" si="60"/>
        <v>0</v>
      </c>
      <c r="BH114" s="4">
        <f t="shared" si="60"/>
        <v>0</v>
      </c>
      <c r="BI114" s="4">
        <f t="shared" si="60"/>
        <v>0</v>
      </c>
      <c r="BJ114" s="4">
        <f t="shared" si="60"/>
        <v>0</v>
      </c>
      <c r="BK114" s="4">
        <f t="shared" si="60"/>
        <v>0</v>
      </c>
      <c r="BL114" s="4">
        <f t="shared" si="60"/>
        <v>0</v>
      </c>
      <c r="BM114" s="4">
        <f t="shared" si="60"/>
        <v>0</v>
      </c>
      <c r="BN114" s="4">
        <f t="shared" si="60"/>
        <v>0</v>
      </c>
      <c r="BO114" s="4">
        <f t="shared" ref="BO114:DZ114" si="61">MIN(BO2:BO101)</f>
        <v>0</v>
      </c>
      <c r="BP114" s="4">
        <f t="shared" si="61"/>
        <v>0</v>
      </c>
      <c r="BQ114" s="4">
        <f t="shared" si="61"/>
        <v>0</v>
      </c>
      <c r="BR114" s="4">
        <f t="shared" si="61"/>
        <v>0</v>
      </c>
      <c r="BS114" s="4">
        <f t="shared" si="61"/>
        <v>1</v>
      </c>
      <c r="BT114" s="4">
        <f t="shared" si="61"/>
        <v>0</v>
      </c>
      <c r="BU114" s="4">
        <f t="shared" si="61"/>
        <v>0</v>
      </c>
      <c r="BV114" s="4">
        <f t="shared" si="61"/>
        <v>0</v>
      </c>
      <c r="BW114" s="4">
        <f t="shared" si="61"/>
        <v>0</v>
      </c>
      <c r="BX114" s="4">
        <f t="shared" si="61"/>
        <v>0</v>
      </c>
      <c r="BY114" s="4">
        <f t="shared" si="61"/>
        <v>0</v>
      </c>
      <c r="BZ114" s="4">
        <f t="shared" si="61"/>
        <v>0</v>
      </c>
      <c r="CA114" s="4">
        <f t="shared" si="61"/>
        <v>0</v>
      </c>
      <c r="CB114" s="4">
        <f t="shared" si="61"/>
        <v>0</v>
      </c>
      <c r="CC114" s="4">
        <f t="shared" si="61"/>
        <v>0</v>
      </c>
      <c r="CD114" s="4">
        <f t="shared" si="61"/>
        <v>0</v>
      </c>
      <c r="CE114" s="4">
        <f t="shared" si="61"/>
        <v>0</v>
      </c>
      <c r="CF114" s="4">
        <f t="shared" si="61"/>
        <v>0</v>
      </c>
      <c r="CG114" s="4">
        <f t="shared" si="61"/>
        <v>0</v>
      </c>
      <c r="CH114" s="4">
        <f t="shared" si="61"/>
        <v>0</v>
      </c>
      <c r="CI114" s="4">
        <f t="shared" si="61"/>
        <v>0</v>
      </c>
      <c r="CJ114" s="4">
        <f t="shared" si="61"/>
        <v>0</v>
      </c>
      <c r="CK114" s="4">
        <f t="shared" si="61"/>
        <v>0</v>
      </c>
      <c r="CL114" s="4">
        <f t="shared" si="61"/>
        <v>0</v>
      </c>
      <c r="CM114" s="4">
        <f t="shared" si="61"/>
        <v>0</v>
      </c>
      <c r="CN114" s="4">
        <f t="shared" si="61"/>
        <v>0</v>
      </c>
      <c r="CO114" s="4">
        <f t="shared" si="61"/>
        <v>0</v>
      </c>
      <c r="CP114" s="4">
        <f t="shared" si="61"/>
        <v>0</v>
      </c>
      <c r="CQ114" s="4">
        <f t="shared" si="61"/>
        <v>0</v>
      </c>
      <c r="CR114" s="4">
        <f t="shared" si="61"/>
        <v>0</v>
      </c>
      <c r="CS114" s="4">
        <f t="shared" si="61"/>
        <v>0</v>
      </c>
      <c r="CT114" s="4">
        <f t="shared" si="61"/>
        <v>0</v>
      </c>
      <c r="CU114" s="4">
        <f t="shared" si="61"/>
        <v>0</v>
      </c>
      <c r="CV114" s="4">
        <f t="shared" si="61"/>
        <v>0</v>
      </c>
      <c r="CW114" s="4">
        <f t="shared" si="61"/>
        <v>0</v>
      </c>
      <c r="CX114" s="4">
        <f t="shared" si="61"/>
        <v>0</v>
      </c>
      <c r="CY114" s="4">
        <f t="shared" si="61"/>
        <v>0</v>
      </c>
      <c r="CZ114" s="4">
        <f t="shared" si="61"/>
        <v>0</v>
      </c>
      <c r="DA114" s="4">
        <f t="shared" si="61"/>
        <v>0</v>
      </c>
      <c r="DB114" s="4">
        <f t="shared" si="61"/>
        <v>0</v>
      </c>
      <c r="DC114" s="4">
        <f t="shared" si="61"/>
        <v>0</v>
      </c>
      <c r="DD114" s="4">
        <f t="shared" si="61"/>
        <v>0</v>
      </c>
      <c r="DE114" s="4">
        <f t="shared" si="61"/>
        <v>0</v>
      </c>
      <c r="DF114" s="4">
        <f t="shared" si="61"/>
        <v>0</v>
      </c>
      <c r="DG114" s="4">
        <f t="shared" si="61"/>
        <v>0</v>
      </c>
      <c r="DH114" s="4">
        <f t="shared" si="61"/>
        <v>0</v>
      </c>
      <c r="DI114" s="4">
        <f t="shared" si="61"/>
        <v>0</v>
      </c>
      <c r="DJ114" s="4">
        <f t="shared" si="61"/>
        <v>0</v>
      </c>
      <c r="DK114" s="4">
        <f t="shared" si="61"/>
        <v>0</v>
      </c>
      <c r="DL114" s="4">
        <f t="shared" si="61"/>
        <v>0</v>
      </c>
      <c r="DM114" s="4">
        <f t="shared" si="61"/>
        <v>0</v>
      </c>
      <c r="DN114" s="4">
        <f t="shared" si="61"/>
        <v>0</v>
      </c>
      <c r="DO114" s="4">
        <f t="shared" si="61"/>
        <v>0</v>
      </c>
      <c r="DP114" s="4">
        <f t="shared" si="61"/>
        <v>0</v>
      </c>
      <c r="DQ114" s="4">
        <f t="shared" si="61"/>
        <v>0</v>
      </c>
      <c r="DR114" s="4">
        <f t="shared" si="61"/>
        <v>0</v>
      </c>
      <c r="DS114" s="4">
        <f t="shared" si="61"/>
        <v>0</v>
      </c>
      <c r="DT114" s="4">
        <f t="shared" si="61"/>
        <v>0</v>
      </c>
      <c r="DU114" s="4">
        <f t="shared" si="61"/>
        <v>0</v>
      </c>
      <c r="DV114" s="4">
        <f t="shared" si="61"/>
        <v>0</v>
      </c>
      <c r="DW114" s="4">
        <f t="shared" si="61"/>
        <v>0</v>
      </c>
      <c r="DX114" s="4">
        <f t="shared" si="61"/>
        <v>0</v>
      </c>
      <c r="DY114" s="4">
        <f t="shared" si="61"/>
        <v>0</v>
      </c>
      <c r="DZ114" s="4">
        <f t="shared" si="61"/>
        <v>0</v>
      </c>
      <c r="EA114" s="4">
        <f t="shared" ref="EA114:GL114" si="62">MIN(EA2:EA101)</f>
        <v>0</v>
      </c>
      <c r="EB114" s="4">
        <f t="shared" si="62"/>
        <v>0</v>
      </c>
      <c r="EC114" s="4">
        <f t="shared" si="62"/>
        <v>0</v>
      </c>
      <c r="ED114" s="4">
        <f t="shared" si="62"/>
        <v>0</v>
      </c>
      <c r="EE114" s="4">
        <f t="shared" si="62"/>
        <v>0</v>
      </c>
      <c r="EF114" s="4">
        <f t="shared" si="62"/>
        <v>0</v>
      </c>
      <c r="EG114" s="4">
        <f t="shared" si="62"/>
        <v>0</v>
      </c>
      <c r="EH114" s="4">
        <f t="shared" si="62"/>
        <v>0</v>
      </c>
      <c r="EI114" s="4">
        <f t="shared" si="62"/>
        <v>0</v>
      </c>
      <c r="EJ114" s="4">
        <f t="shared" si="62"/>
        <v>0</v>
      </c>
      <c r="EK114" s="4">
        <f t="shared" si="62"/>
        <v>0</v>
      </c>
      <c r="EL114" s="4">
        <f t="shared" si="62"/>
        <v>0</v>
      </c>
      <c r="EM114" s="4">
        <f t="shared" si="62"/>
        <v>0</v>
      </c>
      <c r="EN114" s="4">
        <f t="shared" si="62"/>
        <v>0</v>
      </c>
      <c r="EO114" s="4">
        <f t="shared" si="62"/>
        <v>0</v>
      </c>
      <c r="EP114" s="4">
        <f t="shared" si="62"/>
        <v>0</v>
      </c>
      <c r="EQ114" s="4">
        <f t="shared" si="62"/>
        <v>0</v>
      </c>
      <c r="ER114" s="4">
        <f t="shared" si="62"/>
        <v>0</v>
      </c>
      <c r="ES114" s="4">
        <f t="shared" si="62"/>
        <v>0</v>
      </c>
      <c r="ET114" s="4">
        <f t="shared" si="62"/>
        <v>0</v>
      </c>
      <c r="EU114" s="4">
        <f t="shared" si="62"/>
        <v>0</v>
      </c>
      <c r="EV114" s="4">
        <f t="shared" si="62"/>
        <v>0</v>
      </c>
      <c r="EW114" s="4">
        <f t="shared" si="62"/>
        <v>0</v>
      </c>
      <c r="EX114" s="4">
        <f t="shared" si="62"/>
        <v>0</v>
      </c>
      <c r="EY114" s="4">
        <f t="shared" si="62"/>
        <v>0</v>
      </c>
      <c r="EZ114" s="4">
        <f t="shared" si="62"/>
        <v>0</v>
      </c>
      <c r="FA114" s="4">
        <f t="shared" si="62"/>
        <v>0</v>
      </c>
      <c r="FB114" s="4">
        <f t="shared" si="62"/>
        <v>0</v>
      </c>
      <c r="FC114" s="4">
        <f t="shared" si="62"/>
        <v>0</v>
      </c>
      <c r="FD114" s="4">
        <f t="shared" si="62"/>
        <v>0</v>
      </c>
      <c r="FE114" s="4">
        <f t="shared" si="62"/>
        <v>0</v>
      </c>
      <c r="FF114" s="4">
        <f t="shared" si="62"/>
        <v>0</v>
      </c>
      <c r="FG114" s="4">
        <f t="shared" si="62"/>
        <v>0</v>
      </c>
      <c r="FH114" s="4">
        <f t="shared" si="62"/>
        <v>0</v>
      </c>
      <c r="FI114" s="4">
        <f t="shared" si="62"/>
        <v>0</v>
      </c>
      <c r="FJ114" s="4">
        <f t="shared" si="62"/>
        <v>0</v>
      </c>
      <c r="FK114" s="4">
        <f t="shared" si="62"/>
        <v>0</v>
      </c>
      <c r="FL114" s="4">
        <f t="shared" si="62"/>
        <v>0</v>
      </c>
      <c r="FM114" s="4">
        <f t="shared" si="62"/>
        <v>0</v>
      </c>
      <c r="FN114" s="4">
        <f t="shared" si="62"/>
        <v>0</v>
      </c>
      <c r="FO114" s="4">
        <f t="shared" si="62"/>
        <v>0</v>
      </c>
      <c r="FP114" s="4">
        <f t="shared" si="62"/>
        <v>0</v>
      </c>
      <c r="FQ114" s="4">
        <f t="shared" si="62"/>
        <v>0</v>
      </c>
      <c r="FR114" s="4">
        <f t="shared" si="62"/>
        <v>0</v>
      </c>
      <c r="FS114" s="4">
        <f t="shared" si="62"/>
        <v>1</v>
      </c>
      <c r="FT114" s="4">
        <f t="shared" si="62"/>
        <v>0</v>
      </c>
      <c r="FU114" s="4">
        <f t="shared" si="62"/>
        <v>0</v>
      </c>
      <c r="FV114" s="4">
        <f t="shared" si="62"/>
        <v>0</v>
      </c>
      <c r="FW114" s="4">
        <f t="shared" si="62"/>
        <v>0</v>
      </c>
      <c r="FX114" s="4">
        <f t="shared" si="62"/>
        <v>0</v>
      </c>
      <c r="FY114" s="4">
        <f t="shared" si="62"/>
        <v>0</v>
      </c>
      <c r="FZ114" s="4">
        <f t="shared" si="62"/>
        <v>0</v>
      </c>
      <c r="GA114" s="4">
        <f t="shared" si="62"/>
        <v>0</v>
      </c>
      <c r="GB114" s="4">
        <f t="shared" si="62"/>
        <v>0</v>
      </c>
      <c r="GC114" s="4">
        <f t="shared" si="62"/>
        <v>0</v>
      </c>
      <c r="GD114" s="4">
        <f t="shared" si="62"/>
        <v>0</v>
      </c>
      <c r="GE114" s="4">
        <f t="shared" si="62"/>
        <v>0</v>
      </c>
      <c r="GF114" s="4">
        <f t="shared" si="62"/>
        <v>0</v>
      </c>
      <c r="GG114" s="4">
        <f t="shared" si="62"/>
        <v>0</v>
      </c>
      <c r="GH114" s="4">
        <f t="shared" si="62"/>
        <v>0</v>
      </c>
      <c r="GI114" s="4">
        <f t="shared" si="62"/>
        <v>0</v>
      </c>
      <c r="GJ114" s="4">
        <f t="shared" si="62"/>
        <v>0</v>
      </c>
      <c r="GK114" s="4">
        <f t="shared" si="62"/>
        <v>0</v>
      </c>
      <c r="GL114" s="4">
        <f t="shared" si="62"/>
        <v>0</v>
      </c>
      <c r="GM114" s="4">
        <f t="shared" ref="GM114:IX114" si="63">MIN(GM2:GM101)</f>
        <v>0</v>
      </c>
      <c r="GN114" s="4">
        <f t="shared" si="63"/>
        <v>0</v>
      </c>
      <c r="GO114" s="4">
        <f t="shared" si="63"/>
        <v>0</v>
      </c>
      <c r="GP114" s="4">
        <f t="shared" si="63"/>
        <v>0</v>
      </c>
      <c r="GQ114" s="4">
        <f t="shared" si="63"/>
        <v>0</v>
      </c>
      <c r="GR114" s="4">
        <f t="shared" si="63"/>
        <v>0</v>
      </c>
      <c r="GS114" s="4">
        <f t="shared" si="63"/>
        <v>0</v>
      </c>
      <c r="GT114" s="4">
        <f t="shared" si="63"/>
        <v>0</v>
      </c>
      <c r="GU114" s="4">
        <f t="shared" si="63"/>
        <v>0</v>
      </c>
      <c r="GV114" s="4">
        <f t="shared" si="63"/>
        <v>0</v>
      </c>
      <c r="GW114" s="4">
        <f t="shared" si="63"/>
        <v>0</v>
      </c>
      <c r="GX114" s="4">
        <f t="shared" si="63"/>
        <v>1</v>
      </c>
      <c r="GY114" s="4">
        <f t="shared" si="63"/>
        <v>0</v>
      </c>
      <c r="GZ114" s="4">
        <f t="shared" si="63"/>
        <v>0</v>
      </c>
      <c r="HA114" s="4">
        <f t="shared" si="63"/>
        <v>0</v>
      </c>
      <c r="HB114" s="4">
        <f t="shared" si="63"/>
        <v>0</v>
      </c>
      <c r="HC114" s="4">
        <f t="shared" si="63"/>
        <v>0</v>
      </c>
      <c r="HD114" s="4">
        <f t="shared" si="63"/>
        <v>0</v>
      </c>
      <c r="HE114" s="4">
        <f t="shared" si="63"/>
        <v>0</v>
      </c>
      <c r="HF114" s="4">
        <f t="shared" si="63"/>
        <v>0</v>
      </c>
      <c r="HG114" s="4">
        <f t="shared" si="63"/>
        <v>0</v>
      </c>
      <c r="HH114" s="4">
        <f t="shared" si="63"/>
        <v>0</v>
      </c>
      <c r="HI114" s="4">
        <f t="shared" si="63"/>
        <v>0</v>
      </c>
      <c r="HJ114" s="4">
        <f t="shared" si="63"/>
        <v>0</v>
      </c>
      <c r="HK114" s="4">
        <f t="shared" si="63"/>
        <v>0</v>
      </c>
      <c r="HL114" s="4">
        <f t="shared" si="63"/>
        <v>0</v>
      </c>
      <c r="HM114" s="4">
        <f t="shared" si="63"/>
        <v>0</v>
      </c>
      <c r="HN114" s="4">
        <f t="shared" si="63"/>
        <v>0</v>
      </c>
      <c r="HO114" s="4">
        <f t="shared" si="63"/>
        <v>0</v>
      </c>
      <c r="HP114" s="4">
        <f t="shared" si="63"/>
        <v>0</v>
      </c>
      <c r="HQ114" s="4">
        <f t="shared" si="63"/>
        <v>0</v>
      </c>
      <c r="HR114" s="4">
        <f t="shared" si="63"/>
        <v>0</v>
      </c>
      <c r="HS114" s="4">
        <f t="shared" si="63"/>
        <v>0</v>
      </c>
      <c r="HT114" s="4">
        <f t="shared" si="63"/>
        <v>0</v>
      </c>
      <c r="HU114" s="4">
        <f t="shared" si="63"/>
        <v>0</v>
      </c>
      <c r="HV114" s="4">
        <f t="shared" si="63"/>
        <v>0</v>
      </c>
      <c r="HW114" s="4">
        <f t="shared" si="63"/>
        <v>0</v>
      </c>
      <c r="HX114" s="4">
        <f t="shared" si="63"/>
        <v>0</v>
      </c>
      <c r="HY114" s="4">
        <f t="shared" si="63"/>
        <v>0</v>
      </c>
      <c r="HZ114" s="4">
        <f t="shared" si="63"/>
        <v>0</v>
      </c>
      <c r="IA114" s="4">
        <f t="shared" si="63"/>
        <v>0</v>
      </c>
      <c r="IB114" s="4">
        <f t="shared" si="63"/>
        <v>0</v>
      </c>
      <c r="IC114" s="4">
        <f t="shared" si="63"/>
        <v>0</v>
      </c>
      <c r="ID114" s="4">
        <f t="shared" si="63"/>
        <v>0</v>
      </c>
      <c r="IE114" s="4">
        <f t="shared" si="63"/>
        <v>0</v>
      </c>
      <c r="IF114" s="4">
        <f t="shared" si="63"/>
        <v>0</v>
      </c>
      <c r="IG114" s="4">
        <f t="shared" si="63"/>
        <v>0</v>
      </c>
      <c r="IH114" s="4">
        <f t="shared" si="63"/>
        <v>0</v>
      </c>
      <c r="II114" s="4">
        <f t="shared" si="63"/>
        <v>0</v>
      </c>
      <c r="IJ114" s="4">
        <f t="shared" si="63"/>
        <v>0</v>
      </c>
      <c r="IK114" s="4">
        <f t="shared" si="63"/>
        <v>0</v>
      </c>
      <c r="IL114" s="4">
        <f t="shared" si="63"/>
        <v>0</v>
      </c>
      <c r="IM114" s="4">
        <f t="shared" si="63"/>
        <v>0</v>
      </c>
      <c r="IN114" s="4">
        <f t="shared" si="63"/>
        <v>0</v>
      </c>
      <c r="IO114" s="4">
        <f t="shared" si="63"/>
        <v>0</v>
      </c>
      <c r="IP114" s="4">
        <f t="shared" si="63"/>
        <v>0</v>
      </c>
      <c r="IQ114" s="4">
        <f t="shared" si="63"/>
        <v>0</v>
      </c>
      <c r="IR114" s="4">
        <f t="shared" si="63"/>
        <v>0</v>
      </c>
      <c r="IS114" s="4">
        <f t="shared" si="63"/>
        <v>0</v>
      </c>
      <c r="IT114" s="4">
        <f t="shared" si="63"/>
        <v>0</v>
      </c>
      <c r="IU114" s="4">
        <f t="shared" si="63"/>
        <v>0</v>
      </c>
      <c r="IV114" s="4">
        <f t="shared" si="63"/>
        <v>0</v>
      </c>
      <c r="IW114" s="4">
        <f t="shared" si="63"/>
        <v>0</v>
      </c>
      <c r="IX114" s="4">
        <f t="shared" si="63"/>
        <v>1</v>
      </c>
      <c r="IY114" s="4">
        <f t="shared" ref="IY114:LJ114" si="64">MIN(IY2:IY101)</f>
        <v>0</v>
      </c>
      <c r="IZ114" s="4">
        <f t="shared" si="64"/>
        <v>0</v>
      </c>
      <c r="JA114" s="4">
        <f t="shared" si="64"/>
        <v>0</v>
      </c>
      <c r="JB114" s="4">
        <f t="shared" si="64"/>
        <v>0</v>
      </c>
      <c r="JC114" s="4">
        <f t="shared" si="64"/>
        <v>0</v>
      </c>
      <c r="JD114" s="4">
        <f t="shared" si="64"/>
        <v>0</v>
      </c>
      <c r="JE114" s="4">
        <f t="shared" si="64"/>
        <v>0</v>
      </c>
      <c r="JF114" s="4">
        <f t="shared" si="64"/>
        <v>0</v>
      </c>
      <c r="JG114" s="4">
        <f t="shared" si="64"/>
        <v>0</v>
      </c>
      <c r="JH114" s="4">
        <f t="shared" si="64"/>
        <v>0</v>
      </c>
      <c r="JI114" s="4">
        <f t="shared" si="64"/>
        <v>0</v>
      </c>
      <c r="JJ114" s="4">
        <f t="shared" si="64"/>
        <v>0</v>
      </c>
      <c r="JK114" s="4">
        <f t="shared" si="64"/>
        <v>0</v>
      </c>
      <c r="JL114" s="4">
        <f t="shared" si="64"/>
        <v>0</v>
      </c>
      <c r="JM114" s="4">
        <f t="shared" si="64"/>
        <v>0</v>
      </c>
      <c r="JN114" s="4">
        <f t="shared" si="64"/>
        <v>0</v>
      </c>
      <c r="JO114" s="4">
        <f t="shared" si="64"/>
        <v>0</v>
      </c>
      <c r="JP114" s="4">
        <f t="shared" si="64"/>
        <v>0</v>
      </c>
      <c r="JQ114" s="4">
        <f t="shared" si="64"/>
        <v>0</v>
      </c>
      <c r="JR114" s="4">
        <f t="shared" si="64"/>
        <v>0</v>
      </c>
      <c r="JS114" s="4">
        <f t="shared" si="64"/>
        <v>0</v>
      </c>
      <c r="JT114" s="4">
        <f t="shared" si="64"/>
        <v>0</v>
      </c>
      <c r="JU114" s="4">
        <f t="shared" si="64"/>
        <v>0</v>
      </c>
      <c r="JV114" s="4">
        <f t="shared" si="64"/>
        <v>0</v>
      </c>
      <c r="JW114" s="4">
        <f t="shared" si="64"/>
        <v>0</v>
      </c>
      <c r="JX114" s="4">
        <f t="shared" si="64"/>
        <v>0</v>
      </c>
      <c r="JY114" s="4">
        <f t="shared" si="64"/>
        <v>0</v>
      </c>
      <c r="JZ114" s="4">
        <f t="shared" si="64"/>
        <v>0</v>
      </c>
      <c r="KA114" s="4">
        <f t="shared" si="64"/>
        <v>0</v>
      </c>
      <c r="KB114" s="4">
        <f t="shared" si="64"/>
        <v>0</v>
      </c>
      <c r="KC114" s="4">
        <f t="shared" si="64"/>
        <v>0</v>
      </c>
      <c r="KD114" s="4">
        <f t="shared" si="64"/>
        <v>0</v>
      </c>
      <c r="KE114" s="4">
        <f t="shared" si="64"/>
        <v>0</v>
      </c>
      <c r="KF114" s="4">
        <f t="shared" si="64"/>
        <v>0</v>
      </c>
      <c r="KG114" s="4">
        <f t="shared" si="64"/>
        <v>0</v>
      </c>
      <c r="KH114" s="4">
        <f t="shared" si="64"/>
        <v>0</v>
      </c>
      <c r="KI114" s="4">
        <f t="shared" si="64"/>
        <v>1</v>
      </c>
      <c r="KJ114" s="4">
        <f t="shared" si="64"/>
        <v>0</v>
      </c>
      <c r="KK114" s="4">
        <f t="shared" si="64"/>
        <v>0</v>
      </c>
      <c r="KL114" s="4">
        <f t="shared" si="64"/>
        <v>0</v>
      </c>
      <c r="KM114" s="4">
        <f t="shared" si="64"/>
        <v>0</v>
      </c>
      <c r="KN114" s="4">
        <f t="shared" si="64"/>
        <v>0</v>
      </c>
      <c r="KO114" s="4">
        <f t="shared" si="64"/>
        <v>0</v>
      </c>
      <c r="KP114" s="4">
        <f t="shared" si="64"/>
        <v>0</v>
      </c>
      <c r="KQ114" s="4">
        <f t="shared" si="64"/>
        <v>0</v>
      </c>
      <c r="KR114" s="4">
        <f t="shared" si="64"/>
        <v>0</v>
      </c>
      <c r="KS114" s="4">
        <f t="shared" si="64"/>
        <v>0</v>
      </c>
      <c r="KT114" s="4">
        <f t="shared" si="64"/>
        <v>0</v>
      </c>
      <c r="KU114" s="4">
        <f t="shared" si="64"/>
        <v>0</v>
      </c>
      <c r="KV114" s="4">
        <f t="shared" si="64"/>
        <v>0</v>
      </c>
      <c r="KW114" s="4">
        <f t="shared" si="64"/>
        <v>0</v>
      </c>
      <c r="KX114" s="4">
        <f t="shared" si="64"/>
        <v>0</v>
      </c>
      <c r="KY114" s="4">
        <f t="shared" si="64"/>
        <v>0</v>
      </c>
      <c r="KZ114" s="4">
        <f t="shared" si="64"/>
        <v>0</v>
      </c>
      <c r="LA114" s="4">
        <f t="shared" si="64"/>
        <v>0</v>
      </c>
      <c r="LB114" s="4">
        <f t="shared" si="64"/>
        <v>0</v>
      </c>
      <c r="LC114" s="4">
        <f t="shared" si="64"/>
        <v>0</v>
      </c>
      <c r="LD114" s="4">
        <f t="shared" si="64"/>
        <v>0</v>
      </c>
      <c r="LE114" s="4">
        <f t="shared" si="64"/>
        <v>0</v>
      </c>
      <c r="LF114" s="4">
        <f t="shared" si="64"/>
        <v>0</v>
      </c>
      <c r="LG114" s="4">
        <f t="shared" si="64"/>
        <v>0</v>
      </c>
      <c r="LH114" s="4">
        <f t="shared" si="64"/>
        <v>0</v>
      </c>
      <c r="LI114" s="4">
        <f t="shared" si="64"/>
        <v>1</v>
      </c>
      <c r="LJ114" s="4">
        <f t="shared" si="64"/>
        <v>0</v>
      </c>
      <c r="LK114" s="4">
        <f t="shared" ref="LK114:NV114" si="65">MIN(LK2:LK101)</f>
        <v>0</v>
      </c>
      <c r="LL114" s="4">
        <f t="shared" si="65"/>
        <v>0</v>
      </c>
      <c r="LM114" s="4">
        <f t="shared" si="65"/>
        <v>0</v>
      </c>
      <c r="LN114" s="4">
        <f t="shared" si="65"/>
        <v>0</v>
      </c>
      <c r="LO114" s="4">
        <f t="shared" si="65"/>
        <v>0</v>
      </c>
      <c r="LP114" s="4">
        <f t="shared" si="65"/>
        <v>0</v>
      </c>
      <c r="LQ114" s="4">
        <f t="shared" si="65"/>
        <v>0</v>
      </c>
      <c r="LR114" s="4">
        <f t="shared" si="65"/>
        <v>1</v>
      </c>
      <c r="LS114" s="4">
        <f t="shared" si="65"/>
        <v>0</v>
      </c>
      <c r="LT114" s="4">
        <f t="shared" si="65"/>
        <v>0</v>
      </c>
      <c r="LU114" s="4">
        <f t="shared" si="65"/>
        <v>1</v>
      </c>
      <c r="LV114" s="4">
        <f t="shared" si="65"/>
        <v>0</v>
      </c>
      <c r="LW114" s="4">
        <f t="shared" si="65"/>
        <v>0</v>
      </c>
      <c r="LX114" s="4">
        <f t="shared" si="65"/>
        <v>0</v>
      </c>
      <c r="LY114" s="4">
        <f t="shared" si="65"/>
        <v>0</v>
      </c>
      <c r="LZ114" s="4">
        <f t="shared" si="65"/>
        <v>0</v>
      </c>
      <c r="MA114" s="4">
        <f t="shared" si="65"/>
        <v>0</v>
      </c>
      <c r="MB114" s="4">
        <f t="shared" si="65"/>
        <v>0</v>
      </c>
      <c r="MC114" s="4">
        <f t="shared" si="65"/>
        <v>0</v>
      </c>
      <c r="MD114" s="4">
        <f t="shared" si="65"/>
        <v>0</v>
      </c>
      <c r="ME114" s="4">
        <f t="shared" si="65"/>
        <v>0</v>
      </c>
      <c r="MF114" s="4">
        <f t="shared" si="65"/>
        <v>0</v>
      </c>
      <c r="MG114" s="4">
        <f t="shared" si="65"/>
        <v>0</v>
      </c>
      <c r="MH114" s="4">
        <f t="shared" si="65"/>
        <v>0</v>
      </c>
      <c r="MI114" s="4">
        <f t="shared" si="65"/>
        <v>0</v>
      </c>
      <c r="MJ114" s="4">
        <f t="shared" si="65"/>
        <v>0</v>
      </c>
      <c r="MK114" s="4">
        <f t="shared" si="65"/>
        <v>0</v>
      </c>
      <c r="ML114" s="4">
        <f t="shared" si="65"/>
        <v>0</v>
      </c>
      <c r="MM114" s="4">
        <f t="shared" si="65"/>
        <v>0</v>
      </c>
      <c r="MN114" s="4">
        <f t="shared" si="65"/>
        <v>0</v>
      </c>
      <c r="MO114" s="4">
        <f t="shared" si="65"/>
        <v>0</v>
      </c>
      <c r="MP114" s="4">
        <f t="shared" si="65"/>
        <v>0</v>
      </c>
      <c r="MQ114" s="4">
        <f t="shared" si="65"/>
        <v>0</v>
      </c>
      <c r="MR114" s="4">
        <f t="shared" si="65"/>
        <v>0</v>
      </c>
      <c r="MS114" s="4">
        <f t="shared" si="65"/>
        <v>0</v>
      </c>
      <c r="MT114" s="4">
        <f t="shared" si="65"/>
        <v>0</v>
      </c>
      <c r="MU114" s="4">
        <f t="shared" si="65"/>
        <v>0</v>
      </c>
      <c r="MV114" s="4">
        <f t="shared" si="65"/>
        <v>0</v>
      </c>
      <c r="MW114" s="4">
        <f t="shared" si="65"/>
        <v>0</v>
      </c>
      <c r="MX114" s="4">
        <f t="shared" si="65"/>
        <v>0</v>
      </c>
      <c r="MY114" s="4">
        <f t="shared" si="65"/>
        <v>0</v>
      </c>
      <c r="MZ114" s="4">
        <f t="shared" si="65"/>
        <v>0</v>
      </c>
      <c r="NA114" s="4">
        <f t="shared" si="65"/>
        <v>0</v>
      </c>
      <c r="NB114" s="4">
        <f t="shared" si="65"/>
        <v>0</v>
      </c>
      <c r="NC114" s="4">
        <f t="shared" si="65"/>
        <v>0</v>
      </c>
      <c r="ND114" s="4">
        <f t="shared" si="65"/>
        <v>0</v>
      </c>
      <c r="NE114" s="4">
        <f t="shared" si="65"/>
        <v>1</v>
      </c>
      <c r="NF114" s="4">
        <f t="shared" si="65"/>
        <v>0</v>
      </c>
      <c r="NG114" s="4">
        <f t="shared" si="65"/>
        <v>0</v>
      </c>
      <c r="NH114" s="4">
        <f t="shared" si="65"/>
        <v>0</v>
      </c>
      <c r="NI114" s="4">
        <f t="shared" si="65"/>
        <v>0</v>
      </c>
      <c r="NJ114" s="4">
        <f t="shared" si="65"/>
        <v>0</v>
      </c>
      <c r="NK114" s="4">
        <f t="shared" si="65"/>
        <v>0</v>
      </c>
      <c r="NL114" s="4">
        <f t="shared" si="65"/>
        <v>0</v>
      </c>
      <c r="NM114" s="4">
        <f t="shared" si="65"/>
        <v>0</v>
      </c>
      <c r="NN114" s="4">
        <f t="shared" si="65"/>
        <v>1</v>
      </c>
      <c r="NO114" s="4">
        <f t="shared" si="65"/>
        <v>0</v>
      </c>
      <c r="NP114" s="4">
        <f t="shared" si="65"/>
        <v>0</v>
      </c>
      <c r="NQ114" s="4">
        <f t="shared" si="65"/>
        <v>0</v>
      </c>
      <c r="NR114" s="4">
        <f t="shared" si="65"/>
        <v>0</v>
      </c>
      <c r="NS114" s="4">
        <f t="shared" si="65"/>
        <v>0</v>
      </c>
      <c r="NT114" s="4">
        <f t="shared" si="65"/>
        <v>0</v>
      </c>
      <c r="NU114" s="4">
        <f t="shared" si="65"/>
        <v>0</v>
      </c>
      <c r="NV114" s="4">
        <f t="shared" si="65"/>
        <v>0</v>
      </c>
      <c r="NW114" s="4">
        <f t="shared" ref="NW114:OQ114" si="66">MIN(NW2:NW101)</f>
        <v>0</v>
      </c>
      <c r="NX114" s="4">
        <f t="shared" si="66"/>
        <v>0</v>
      </c>
      <c r="NY114" s="4">
        <f t="shared" si="66"/>
        <v>0</v>
      </c>
      <c r="NZ114" s="4">
        <f t="shared" si="66"/>
        <v>0</v>
      </c>
      <c r="OA114" s="4">
        <f t="shared" si="66"/>
        <v>0</v>
      </c>
      <c r="OB114" s="4">
        <f t="shared" si="66"/>
        <v>0</v>
      </c>
      <c r="OC114" s="4">
        <f t="shared" si="66"/>
        <v>0</v>
      </c>
      <c r="OD114" s="4">
        <f t="shared" si="66"/>
        <v>0</v>
      </c>
      <c r="OE114" s="4">
        <f t="shared" si="66"/>
        <v>0</v>
      </c>
      <c r="OF114" s="4">
        <f t="shared" si="66"/>
        <v>0</v>
      </c>
      <c r="OG114" s="4">
        <f t="shared" si="66"/>
        <v>0</v>
      </c>
      <c r="OH114" s="4">
        <f t="shared" si="66"/>
        <v>0</v>
      </c>
      <c r="OI114" s="4">
        <f t="shared" si="66"/>
        <v>0</v>
      </c>
      <c r="OJ114" s="4">
        <f t="shared" si="66"/>
        <v>0</v>
      </c>
      <c r="OK114" s="4">
        <f t="shared" si="66"/>
        <v>0</v>
      </c>
      <c r="OL114" s="4">
        <f t="shared" si="66"/>
        <v>0</v>
      </c>
      <c r="OM114" s="4">
        <f t="shared" si="66"/>
        <v>0</v>
      </c>
      <c r="ON114" s="4">
        <f t="shared" si="66"/>
        <v>0</v>
      </c>
      <c r="OO114" s="4">
        <f t="shared" si="66"/>
        <v>0</v>
      </c>
      <c r="OP114" s="4">
        <f t="shared" si="66"/>
        <v>0</v>
      </c>
      <c r="OQ114" s="4">
        <f t="shared" si="66"/>
        <v>0</v>
      </c>
    </row>
    <row r="115" spans="1:407" x14ac:dyDescent="0.3">
      <c r="A115" s="9" t="s">
        <v>608</v>
      </c>
      <c r="B115">
        <f>MAX(B2:B101)</f>
        <v>2</v>
      </c>
      <c r="C115" s="4">
        <f t="shared" ref="C115:BN115" si="67">MAX(C2:C101)</f>
        <v>1</v>
      </c>
      <c r="D115" s="4">
        <f t="shared" si="67"/>
        <v>1</v>
      </c>
      <c r="E115" s="4">
        <f t="shared" si="67"/>
        <v>3</v>
      </c>
      <c r="F115" s="4">
        <f t="shared" si="67"/>
        <v>2</v>
      </c>
      <c r="G115" s="4">
        <f t="shared" si="67"/>
        <v>3</v>
      </c>
      <c r="H115" s="4">
        <f t="shared" si="67"/>
        <v>2</v>
      </c>
      <c r="I115" s="4">
        <f t="shared" si="67"/>
        <v>1</v>
      </c>
      <c r="J115" s="4">
        <f t="shared" si="67"/>
        <v>2</v>
      </c>
      <c r="K115" s="4">
        <f t="shared" si="67"/>
        <v>1</v>
      </c>
      <c r="L115" s="4">
        <f t="shared" si="67"/>
        <v>2</v>
      </c>
      <c r="M115" s="4">
        <f t="shared" si="67"/>
        <v>1</v>
      </c>
      <c r="N115" s="4">
        <f t="shared" si="67"/>
        <v>2</v>
      </c>
      <c r="O115" s="4">
        <f t="shared" si="67"/>
        <v>1</v>
      </c>
      <c r="P115" s="4">
        <f t="shared" si="67"/>
        <v>1</v>
      </c>
      <c r="Q115" s="4">
        <f t="shared" si="67"/>
        <v>1</v>
      </c>
      <c r="R115" s="4">
        <f t="shared" si="67"/>
        <v>2</v>
      </c>
      <c r="S115" s="4">
        <f t="shared" si="67"/>
        <v>1</v>
      </c>
      <c r="T115" s="4">
        <f t="shared" si="67"/>
        <v>1</v>
      </c>
      <c r="U115" s="4">
        <f t="shared" si="67"/>
        <v>1</v>
      </c>
      <c r="V115" s="4">
        <f t="shared" si="67"/>
        <v>2</v>
      </c>
      <c r="W115" s="4">
        <f t="shared" si="67"/>
        <v>1</v>
      </c>
      <c r="X115" s="4">
        <f t="shared" si="67"/>
        <v>2</v>
      </c>
      <c r="Y115" s="4">
        <f t="shared" si="67"/>
        <v>1</v>
      </c>
      <c r="Z115" s="4">
        <f t="shared" si="67"/>
        <v>2</v>
      </c>
      <c r="AA115" s="4">
        <f t="shared" si="67"/>
        <v>2</v>
      </c>
      <c r="AB115" s="4">
        <f t="shared" si="67"/>
        <v>2</v>
      </c>
      <c r="AC115" s="4">
        <f t="shared" si="67"/>
        <v>1</v>
      </c>
      <c r="AD115" s="4">
        <f t="shared" si="67"/>
        <v>5</v>
      </c>
      <c r="AE115" s="4">
        <f t="shared" si="67"/>
        <v>1</v>
      </c>
      <c r="AF115" s="4">
        <f t="shared" si="67"/>
        <v>1</v>
      </c>
      <c r="AG115" s="4">
        <f t="shared" si="67"/>
        <v>1</v>
      </c>
      <c r="AH115" s="4">
        <f t="shared" si="67"/>
        <v>1</v>
      </c>
      <c r="AI115" s="4">
        <f t="shared" si="67"/>
        <v>2</v>
      </c>
      <c r="AJ115" s="4">
        <f t="shared" si="67"/>
        <v>8</v>
      </c>
      <c r="AK115" s="4">
        <f t="shared" si="67"/>
        <v>1</v>
      </c>
      <c r="AL115" s="4">
        <f t="shared" si="67"/>
        <v>1</v>
      </c>
      <c r="AM115" s="4">
        <f t="shared" si="67"/>
        <v>1</v>
      </c>
      <c r="AN115" s="4">
        <f t="shared" si="67"/>
        <v>2</v>
      </c>
      <c r="AO115" s="4">
        <f t="shared" si="67"/>
        <v>1</v>
      </c>
      <c r="AP115" s="4">
        <f t="shared" si="67"/>
        <v>2</v>
      </c>
      <c r="AQ115" s="4">
        <f t="shared" si="67"/>
        <v>2</v>
      </c>
      <c r="AR115" s="4">
        <f t="shared" si="67"/>
        <v>1</v>
      </c>
      <c r="AS115" s="4">
        <f t="shared" si="67"/>
        <v>1</v>
      </c>
      <c r="AT115" s="4">
        <f t="shared" si="67"/>
        <v>1</v>
      </c>
      <c r="AU115" s="4">
        <f t="shared" si="67"/>
        <v>2</v>
      </c>
      <c r="AV115" s="4">
        <f t="shared" si="67"/>
        <v>2</v>
      </c>
      <c r="AW115" s="4">
        <f t="shared" si="67"/>
        <v>1</v>
      </c>
      <c r="AX115" s="4">
        <f t="shared" si="67"/>
        <v>1</v>
      </c>
      <c r="AY115" s="4">
        <f t="shared" si="67"/>
        <v>2</v>
      </c>
      <c r="AZ115" s="4">
        <f t="shared" si="67"/>
        <v>2</v>
      </c>
      <c r="BA115" s="4">
        <f t="shared" si="67"/>
        <v>1</v>
      </c>
      <c r="BB115" s="4">
        <f t="shared" si="67"/>
        <v>1</v>
      </c>
      <c r="BC115" s="4">
        <f t="shared" si="67"/>
        <v>1</v>
      </c>
      <c r="BD115" s="4">
        <f t="shared" si="67"/>
        <v>1</v>
      </c>
      <c r="BE115" s="4">
        <f t="shared" si="67"/>
        <v>1</v>
      </c>
      <c r="BF115" s="4">
        <f t="shared" si="67"/>
        <v>1</v>
      </c>
      <c r="BG115" s="4">
        <f t="shared" si="67"/>
        <v>1</v>
      </c>
      <c r="BH115" s="4">
        <f t="shared" si="67"/>
        <v>1</v>
      </c>
      <c r="BI115" s="4">
        <f t="shared" si="67"/>
        <v>1</v>
      </c>
      <c r="BJ115" s="4">
        <f t="shared" si="67"/>
        <v>1</v>
      </c>
      <c r="BK115" s="4">
        <f t="shared" si="67"/>
        <v>1</v>
      </c>
      <c r="BL115" s="4">
        <f t="shared" si="67"/>
        <v>1</v>
      </c>
      <c r="BM115" s="4">
        <f t="shared" si="67"/>
        <v>1</v>
      </c>
      <c r="BN115" s="4">
        <f t="shared" si="67"/>
        <v>1</v>
      </c>
      <c r="BO115" s="4">
        <f t="shared" ref="BO115:DZ115" si="68">MAX(BO2:BO101)</f>
        <v>1</v>
      </c>
      <c r="BP115" s="4">
        <f t="shared" si="68"/>
        <v>1</v>
      </c>
      <c r="BQ115" s="4">
        <f t="shared" si="68"/>
        <v>1</v>
      </c>
      <c r="BR115" s="4">
        <f t="shared" si="68"/>
        <v>1</v>
      </c>
      <c r="BS115" s="4">
        <f t="shared" si="68"/>
        <v>2</v>
      </c>
      <c r="BT115" s="4">
        <f t="shared" si="68"/>
        <v>1</v>
      </c>
      <c r="BU115" s="4">
        <f t="shared" si="68"/>
        <v>1</v>
      </c>
      <c r="BV115" s="4">
        <f t="shared" si="68"/>
        <v>1</v>
      </c>
      <c r="BW115" s="4">
        <f t="shared" si="68"/>
        <v>7</v>
      </c>
      <c r="BX115" s="4">
        <f t="shared" si="68"/>
        <v>1</v>
      </c>
      <c r="BY115" s="4">
        <f t="shared" si="68"/>
        <v>5</v>
      </c>
      <c r="BZ115" s="4">
        <f t="shared" si="68"/>
        <v>1</v>
      </c>
      <c r="CA115" s="4">
        <f t="shared" si="68"/>
        <v>1</v>
      </c>
      <c r="CB115" s="4">
        <f t="shared" si="68"/>
        <v>1</v>
      </c>
      <c r="CC115" s="4">
        <f t="shared" si="68"/>
        <v>1</v>
      </c>
      <c r="CD115" s="4">
        <f t="shared" si="68"/>
        <v>1</v>
      </c>
      <c r="CE115" s="4">
        <f t="shared" si="68"/>
        <v>1</v>
      </c>
      <c r="CF115" s="4">
        <f t="shared" si="68"/>
        <v>2</v>
      </c>
      <c r="CG115" s="4">
        <f t="shared" si="68"/>
        <v>1</v>
      </c>
      <c r="CH115" s="4">
        <f t="shared" si="68"/>
        <v>1</v>
      </c>
      <c r="CI115" s="4">
        <f t="shared" si="68"/>
        <v>1</v>
      </c>
      <c r="CJ115" s="4">
        <f t="shared" si="68"/>
        <v>1</v>
      </c>
      <c r="CK115" s="4">
        <f t="shared" si="68"/>
        <v>1</v>
      </c>
      <c r="CL115" s="4">
        <f t="shared" si="68"/>
        <v>1</v>
      </c>
      <c r="CM115" s="4">
        <f t="shared" si="68"/>
        <v>2</v>
      </c>
      <c r="CN115" s="4">
        <f t="shared" si="68"/>
        <v>1</v>
      </c>
      <c r="CO115" s="4">
        <f t="shared" si="68"/>
        <v>4</v>
      </c>
      <c r="CP115" s="4">
        <f t="shared" si="68"/>
        <v>1</v>
      </c>
      <c r="CQ115" s="4">
        <f t="shared" si="68"/>
        <v>1</v>
      </c>
      <c r="CR115" s="4">
        <f t="shared" si="68"/>
        <v>1</v>
      </c>
      <c r="CS115" s="4">
        <f t="shared" si="68"/>
        <v>1</v>
      </c>
      <c r="CT115" s="4">
        <f t="shared" si="68"/>
        <v>1</v>
      </c>
      <c r="CU115" s="4">
        <f t="shared" si="68"/>
        <v>1</v>
      </c>
      <c r="CV115" s="4">
        <f t="shared" si="68"/>
        <v>1</v>
      </c>
      <c r="CW115" s="4">
        <f t="shared" si="68"/>
        <v>1</v>
      </c>
      <c r="CX115" s="4">
        <f t="shared" si="68"/>
        <v>1</v>
      </c>
      <c r="CY115" s="4">
        <f t="shared" si="68"/>
        <v>2</v>
      </c>
      <c r="CZ115" s="4">
        <f t="shared" si="68"/>
        <v>1</v>
      </c>
      <c r="DA115" s="4">
        <f t="shared" si="68"/>
        <v>1</v>
      </c>
      <c r="DB115" s="4">
        <f t="shared" si="68"/>
        <v>1</v>
      </c>
      <c r="DC115" s="4">
        <f t="shared" si="68"/>
        <v>1</v>
      </c>
      <c r="DD115" s="4">
        <f t="shared" si="68"/>
        <v>1</v>
      </c>
      <c r="DE115" s="4">
        <f t="shared" si="68"/>
        <v>2</v>
      </c>
      <c r="DF115" s="4">
        <f t="shared" si="68"/>
        <v>1</v>
      </c>
      <c r="DG115" s="4">
        <f t="shared" si="68"/>
        <v>1</v>
      </c>
      <c r="DH115" s="4">
        <f t="shared" si="68"/>
        <v>2</v>
      </c>
      <c r="DI115" s="4">
        <f t="shared" si="68"/>
        <v>1</v>
      </c>
      <c r="DJ115" s="4">
        <f t="shared" si="68"/>
        <v>1</v>
      </c>
      <c r="DK115" s="4">
        <f t="shared" si="68"/>
        <v>1</v>
      </c>
      <c r="DL115" s="4">
        <f t="shared" si="68"/>
        <v>1</v>
      </c>
      <c r="DM115" s="4">
        <f t="shared" si="68"/>
        <v>1</v>
      </c>
      <c r="DN115" s="4">
        <f t="shared" si="68"/>
        <v>1</v>
      </c>
      <c r="DO115" s="4">
        <f t="shared" si="68"/>
        <v>1</v>
      </c>
      <c r="DP115" s="4">
        <f t="shared" si="68"/>
        <v>1</v>
      </c>
      <c r="DQ115" s="4">
        <f t="shared" si="68"/>
        <v>1</v>
      </c>
      <c r="DR115" s="4">
        <f t="shared" si="68"/>
        <v>5</v>
      </c>
      <c r="DS115" s="4">
        <f t="shared" si="68"/>
        <v>1</v>
      </c>
      <c r="DT115" s="4">
        <f t="shared" si="68"/>
        <v>2</v>
      </c>
      <c r="DU115" s="4">
        <f t="shared" si="68"/>
        <v>1</v>
      </c>
      <c r="DV115" s="4">
        <f t="shared" si="68"/>
        <v>2</v>
      </c>
      <c r="DW115" s="4">
        <f t="shared" si="68"/>
        <v>1</v>
      </c>
      <c r="DX115" s="4">
        <f t="shared" si="68"/>
        <v>1</v>
      </c>
      <c r="DY115" s="4">
        <f t="shared" si="68"/>
        <v>1</v>
      </c>
      <c r="DZ115" s="4">
        <f t="shared" si="68"/>
        <v>1</v>
      </c>
      <c r="EA115" s="4">
        <f t="shared" ref="EA115:GL115" si="69">MAX(EA2:EA101)</f>
        <v>1</v>
      </c>
      <c r="EB115" s="4">
        <f t="shared" si="69"/>
        <v>1</v>
      </c>
      <c r="EC115" s="4">
        <f t="shared" si="69"/>
        <v>1</v>
      </c>
      <c r="ED115" s="4">
        <f t="shared" si="69"/>
        <v>2</v>
      </c>
      <c r="EE115" s="4">
        <f t="shared" si="69"/>
        <v>1</v>
      </c>
      <c r="EF115" s="4">
        <f t="shared" si="69"/>
        <v>1</v>
      </c>
      <c r="EG115" s="4">
        <f t="shared" si="69"/>
        <v>1</v>
      </c>
      <c r="EH115" s="4">
        <f t="shared" si="69"/>
        <v>1</v>
      </c>
      <c r="EI115" s="4">
        <f t="shared" si="69"/>
        <v>2</v>
      </c>
      <c r="EJ115" s="4">
        <f t="shared" si="69"/>
        <v>1</v>
      </c>
      <c r="EK115" s="4">
        <f t="shared" si="69"/>
        <v>1</v>
      </c>
      <c r="EL115" s="4">
        <f t="shared" si="69"/>
        <v>1</v>
      </c>
      <c r="EM115" s="4">
        <f t="shared" si="69"/>
        <v>1</v>
      </c>
      <c r="EN115" s="4">
        <f t="shared" si="69"/>
        <v>1</v>
      </c>
      <c r="EO115" s="4">
        <f t="shared" si="69"/>
        <v>1</v>
      </c>
      <c r="EP115" s="4">
        <f t="shared" si="69"/>
        <v>1</v>
      </c>
      <c r="EQ115" s="4">
        <f t="shared" si="69"/>
        <v>1</v>
      </c>
      <c r="ER115" s="4">
        <f t="shared" si="69"/>
        <v>1</v>
      </c>
      <c r="ES115" s="4">
        <f t="shared" si="69"/>
        <v>1</v>
      </c>
      <c r="ET115" s="4">
        <f t="shared" si="69"/>
        <v>1</v>
      </c>
      <c r="EU115" s="4">
        <f t="shared" si="69"/>
        <v>1</v>
      </c>
      <c r="EV115" s="4">
        <f t="shared" si="69"/>
        <v>2</v>
      </c>
      <c r="EW115" s="4">
        <f t="shared" si="69"/>
        <v>1</v>
      </c>
      <c r="EX115" s="4">
        <f t="shared" si="69"/>
        <v>1</v>
      </c>
      <c r="EY115" s="4">
        <f t="shared" si="69"/>
        <v>1</v>
      </c>
      <c r="EZ115" s="4">
        <f t="shared" si="69"/>
        <v>1</v>
      </c>
      <c r="FA115" s="4">
        <f t="shared" si="69"/>
        <v>2</v>
      </c>
      <c r="FB115" s="4">
        <f t="shared" si="69"/>
        <v>1</v>
      </c>
      <c r="FC115" s="4">
        <f t="shared" si="69"/>
        <v>1</v>
      </c>
      <c r="FD115" s="4">
        <f t="shared" si="69"/>
        <v>1</v>
      </c>
      <c r="FE115" s="4">
        <f t="shared" si="69"/>
        <v>2</v>
      </c>
      <c r="FF115" s="4">
        <f t="shared" si="69"/>
        <v>1</v>
      </c>
      <c r="FG115" s="4">
        <f t="shared" si="69"/>
        <v>1</v>
      </c>
      <c r="FH115" s="4">
        <f t="shared" si="69"/>
        <v>2</v>
      </c>
      <c r="FI115" s="4">
        <f t="shared" si="69"/>
        <v>1</v>
      </c>
      <c r="FJ115" s="4">
        <f t="shared" si="69"/>
        <v>1</v>
      </c>
      <c r="FK115" s="4">
        <f t="shared" si="69"/>
        <v>1</v>
      </c>
      <c r="FL115" s="4">
        <f t="shared" si="69"/>
        <v>1</v>
      </c>
      <c r="FM115" s="4">
        <f t="shared" si="69"/>
        <v>1</v>
      </c>
      <c r="FN115" s="4">
        <f t="shared" si="69"/>
        <v>1</v>
      </c>
      <c r="FO115" s="4">
        <f t="shared" si="69"/>
        <v>1</v>
      </c>
      <c r="FP115" s="4">
        <f t="shared" si="69"/>
        <v>1</v>
      </c>
      <c r="FQ115" s="4">
        <f t="shared" si="69"/>
        <v>1</v>
      </c>
      <c r="FR115" s="4">
        <f t="shared" si="69"/>
        <v>1</v>
      </c>
      <c r="FS115" s="4">
        <f t="shared" si="69"/>
        <v>1</v>
      </c>
      <c r="FT115" s="4">
        <f t="shared" si="69"/>
        <v>1</v>
      </c>
      <c r="FU115" s="4">
        <f t="shared" si="69"/>
        <v>2</v>
      </c>
      <c r="FV115" s="4">
        <f t="shared" si="69"/>
        <v>2</v>
      </c>
      <c r="FW115" s="4">
        <f t="shared" si="69"/>
        <v>1</v>
      </c>
      <c r="FX115" s="4">
        <f t="shared" si="69"/>
        <v>1</v>
      </c>
      <c r="FY115" s="4">
        <f t="shared" si="69"/>
        <v>1</v>
      </c>
      <c r="FZ115" s="4">
        <f t="shared" si="69"/>
        <v>1</v>
      </c>
      <c r="GA115" s="4">
        <f t="shared" si="69"/>
        <v>1</v>
      </c>
      <c r="GB115" s="4">
        <f t="shared" si="69"/>
        <v>1</v>
      </c>
      <c r="GC115" s="4">
        <f t="shared" si="69"/>
        <v>2</v>
      </c>
      <c r="GD115" s="4">
        <f t="shared" si="69"/>
        <v>1</v>
      </c>
      <c r="GE115" s="4">
        <f t="shared" si="69"/>
        <v>1</v>
      </c>
      <c r="GF115" s="4">
        <f t="shared" si="69"/>
        <v>1</v>
      </c>
      <c r="GG115" s="4">
        <f t="shared" si="69"/>
        <v>1</v>
      </c>
      <c r="GH115" s="4">
        <f t="shared" si="69"/>
        <v>1</v>
      </c>
      <c r="GI115" s="4">
        <f t="shared" si="69"/>
        <v>1</v>
      </c>
      <c r="GJ115" s="4">
        <f t="shared" si="69"/>
        <v>2</v>
      </c>
      <c r="GK115" s="4">
        <f t="shared" si="69"/>
        <v>1</v>
      </c>
      <c r="GL115" s="4">
        <f t="shared" si="69"/>
        <v>1</v>
      </c>
      <c r="GM115" s="4">
        <f t="shared" ref="GM115:IX115" si="70">MAX(GM2:GM101)</f>
        <v>1</v>
      </c>
      <c r="GN115" s="4">
        <f t="shared" si="70"/>
        <v>2</v>
      </c>
      <c r="GO115" s="4">
        <f t="shared" si="70"/>
        <v>1</v>
      </c>
      <c r="GP115" s="4">
        <f t="shared" si="70"/>
        <v>2</v>
      </c>
      <c r="GQ115" s="4">
        <f t="shared" si="70"/>
        <v>1</v>
      </c>
      <c r="GR115" s="4">
        <f t="shared" si="70"/>
        <v>1</v>
      </c>
      <c r="GS115" s="4">
        <f t="shared" si="70"/>
        <v>1</v>
      </c>
      <c r="GT115" s="4">
        <f t="shared" si="70"/>
        <v>1</v>
      </c>
      <c r="GU115" s="4">
        <f t="shared" si="70"/>
        <v>1</v>
      </c>
      <c r="GV115" s="4">
        <f t="shared" si="70"/>
        <v>2</v>
      </c>
      <c r="GW115" s="4">
        <f t="shared" si="70"/>
        <v>1</v>
      </c>
      <c r="GX115" s="4">
        <f t="shared" si="70"/>
        <v>1</v>
      </c>
      <c r="GY115" s="4">
        <f t="shared" si="70"/>
        <v>1</v>
      </c>
      <c r="GZ115" s="4">
        <f t="shared" si="70"/>
        <v>1</v>
      </c>
      <c r="HA115" s="4">
        <f t="shared" si="70"/>
        <v>1</v>
      </c>
      <c r="HB115" s="4">
        <f t="shared" si="70"/>
        <v>2</v>
      </c>
      <c r="HC115" s="4">
        <f t="shared" si="70"/>
        <v>1</v>
      </c>
      <c r="HD115" s="4">
        <f t="shared" si="70"/>
        <v>1</v>
      </c>
      <c r="HE115" s="4">
        <f t="shared" si="70"/>
        <v>1</v>
      </c>
      <c r="HF115" s="4">
        <f t="shared" si="70"/>
        <v>1</v>
      </c>
      <c r="HG115" s="4">
        <f t="shared" si="70"/>
        <v>1</v>
      </c>
      <c r="HH115" s="4">
        <f t="shared" si="70"/>
        <v>1</v>
      </c>
      <c r="HI115" s="4">
        <f t="shared" si="70"/>
        <v>1</v>
      </c>
      <c r="HJ115" s="4">
        <f t="shared" si="70"/>
        <v>1</v>
      </c>
      <c r="HK115" s="4">
        <f t="shared" si="70"/>
        <v>1</v>
      </c>
      <c r="HL115" s="4">
        <f t="shared" si="70"/>
        <v>1</v>
      </c>
      <c r="HM115" s="4">
        <f t="shared" si="70"/>
        <v>1</v>
      </c>
      <c r="HN115" s="4">
        <f t="shared" si="70"/>
        <v>1</v>
      </c>
      <c r="HO115" s="4">
        <f t="shared" si="70"/>
        <v>1</v>
      </c>
      <c r="HP115" s="4">
        <f t="shared" si="70"/>
        <v>1</v>
      </c>
      <c r="HQ115" s="4">
        <f t="shared" si="70"/>
        <v>1</v>
      </c>
      <c r="HR115" s="4">
        <f t="shared" si="70"/>
        <v>2</v>
      </c>
      <c r="HS115" s="4">
        <f t="shared" si="70"/>
        <v>1</v>
      </c>
      <c r="HT115" s="4">
        <f t="shared" si="70"/>
        <v>1</v>
      </c>
      <c r="HU115" s="4">
        <f t="shared" si="70"/>
        <v>1</v>
      </c>
      <c r="HV115" s="4">
        <f t="shared" si="70"/>
        <v>1</v>
      </c>
      <c r="HW115" s="4">
        <f t="shared" si="70"/>
        <v>1</v>
      </c>
      <c r="HX115" s="4">
        <f t="shared" si="70"/>
        <v>1</v>
      </c>
      <c r="HY115" s="4">
        <f t="shared" si="70"/>
        <v>1</v>
      </c>
      <c r="HZ115" s="4">
        <f t="shared" si="70"/>
        <v>1</v>
      </c>
      <c r="IA115" s="4">
        <f t="shared" si="70"/>
        <v>1</v>
      </c>
      <c r="IB115" s="4">
        <f t="shared" si="70"/>
        <v>1</v>
      </c>
      <c r="IC115" s="4">
        <f t="shared" si="70"/>
        <v>1</v>
      </c>
      <c r="ID115" s="4">
        <f t="shared" si="70"/>
        <v>1</v>
      </c>
      <c r="IE115" s="4">
        <f t="shared" si="70"/>
        <v>1</v>
      </c>
      <c r="IF115" s="4">
        <f t="shared" si="70"/>
        <v>1</v>
      </c>
      <c r="IG115" s="4">
        <f t="shared" si="70"/>
        <v>1</v>
      </c>
      <c r="IH115" s="4">
        <f t="shared" si="70"/>
        <v>1</v>
      </c>
      <c r="II115" s="4">
        <f t="shared" si="70"/>
        <v>1</v>
      </c>
      <c r="IJ115" s="4">
        <f t="shared" si="70"/>
        <v>1</v>
      </c>
      <c r="IK115" s="4">
        <f t="shared" si="70"/>
        <v>1</v>
      </c>
      <c r="IL115" s="4">
        <f t="shared" si="70"/>
        <v>1</v>
      </c>
      <c r="IM115" s="4">
        <f t="shared" si="70"/>
        <v>1</v>
      </c>
      <c r="IN115" s="4">
        <f t="shared" si="70"/>
        <v>1</v>
      </c>
      <c r="IO115" s="4">
        <f t="shared" si="70"/>
        <v>1</v>
      </c>
      <c r="IP115" s="4">
        <f t="shared" si="70"/>
        <v>2</v>
      </c>
      <c r="IQ115" s="4">
        <f t="shared" si="70"/>
        <v>1</v>
      </c>
      <c r="IR115" s="4">
        <f t="shared" si="70"/>
        <v>1</v>
      </c>
      <c r="IS115" s="4">
        <f t="shared" si="70"/>
        <v>2</v>
      </c>
      <c r="IT115" s="4">
        <f t="shared" si="70"/>
        <v>1</v>
      </c>
      <c r="IU115" s="4">
        <f t="shared" si="70"/>
        <v>1</v>
      </c>
      <c r="IV115" s="4">
        <f t="shared" si="70"/>
        <v>1</v>
      </c>
      <c r="IW115" s="4">
        <f t="shared" si="70"/>
        <v>1</v>
      </c>
      <c r="IX115" s="4">
        <f t="shared" si="70"/>
        <v>1</v>
      </c>
      <c r="IY115" s="4">
        <f t="shared" ref="IY115:LJ115" si="71">MAX(IY2:IY101)</f>
        <v>1</v>
      </c>
      <c r="IZ115" s="4">
        <f t="shared" si="71"/>
        <v>1</v>
      </c>
      <c r="JA115" s="4">
        <f t="shared" si="71"/>
        <v>1</v>
      </c>
      <c r="JB115" s="4">
        <f t="shared" si="71"/>
        <v>2</v>
      </c>
      <c r="JC115" s="4">
        <f t="shared" si="71"/>
        <v>1</v>
      </c>
      <c r="JD115" s="4">
        <f t="shared" si="71"/>
        <v>1</v>
      </c>
      <c r="JE115" s="4">
        <f t="shared" si="71"/>
        <v>1</v>
      </c>
      <c r="JF115" s="4">
        <f t="shared" si="71"/>
        <v>1</v>
      </c>
      <c r="JG115" s="4">
        <f t="shared" si="71"/>
        <v>1</v>
      </c>
      <c r="JH115" s="4">
        <f t="shared" si="71"/>
        <v>1</v>
      </c>
      <c r="JI115" s="4">
        <f t="shared" si="71"/>
        <v>1</v>
      </c>
      <c r="JJ115" s="4">
        <f t="shared" si="71"/>
        <v>2</v>
      </c>
      <c r="JK115" s="4">
        <f t="shared" si="71"/>
        <v>1</v>
      </c>
      <c r="JL115" s="4">
        <f t="shared" si="71"/>
        <v>1</v>
      </c>
      <c r="JM115" s="4">
        <f t="shared" si="71"/>
        <v>1</v>
      </c>
      <c r="JN115" s="4">
        <f t="shared" si="71"/>
        <v>1</v>
      </c>
      <c r="JO115" s="4">
        <f t="shared" si="71"/>
        <v>1</v>
      </c>
      <c r="JP115" s="4">
        <f t="shared" si="71"/>
        <v>6</v>
      </c>
      <c r="JQ115" s="4">
        <f t="shared" si="71"/>
        <v>1</v>
      </c>
      <c r="JR115" s="4">
        <f t="shared" si="71"/>
        <v>1</v>
      </c>
      <c r="JS115" s="4">
        <f t="shared" si="71"/>
        <v>1</v>
      </c>
      <c r="JT115" s="4">
        <f t="shared" si="71"/>
        <v>1</v>
      </c>
      <c r="JU115" s="4">
        <f t="shared" si="71"/>
        <v>1</v>
      </c>
      <c r="JV115" s="4">
        <f t="shared" si="71"/>
        <v>1</v>
      </c>
      <c r="JW115" s="4">
        <f t="shared" si="71"/>
        <v>1</v>
      </c>
      <c r="JX115" s="4">
        <f t="shared" si="71"/>
        <v>1</v>
      </c>
      <c r="JY115" s="4">
        <f t="shared" si="71"/>
        <v>1</v>
      </c>
      <c r="JZ115" s="4">
        <f t="shared" si="71"/>
        <v>1</v>
      </c>
      <c r="KA115" s="4">
        <f t="shared" si="71"/>
        <v>1</v>
      </c>
      <c r="KB115" s="4">
        <f t="shared" si="71"/>
        <v>1</v>
      </c>
      <c r="KC115" s="4">
        <f t="shared" si="71"/>
        <v>1</v>
      </c>
      <c r="KD115" s="4">
        <f t="shared" si="71"/>
        <v>1</v>
      </c>
      <c r="KE115" s="4">
        <f t="shared" si="71"/>
        <v>1</v>
      </c>
      <c r="KF115" s="4">
        <f t="shared" si="71"/>
        <v>1</v>
      </c>
      <c r="KG115" s="4">
        <f t="shared" si="71"/>
        <v>1</v>
      </c>
      <c r="KH115" s="4">
        <f t="shared" si="71"/>
        <v>1</v>
      </c>
      <c r="KI115" s="4">
        <f t="shared" si="71"/>
        <v>2</v>
      </c>
      <c r="KJ115" s="4">
        <f t="shared" si="71"/>
        <v>1</v>
      </c>
      <c r="KK115" s="4">
        <f t="shared" si="71"/>
        <v>2</v>
      </c>
      <c r="KL115" s="4">
        <f t="shared" si="71"/>
        <v>2</v>
      </c>
      <c r="KM115" s="4">
        <f t="shared" si="71"/>
        <v>2</v>
      </c>
      <c r="KN115" s="4">
        <f t="shared" si="71"/>
        <v>1</v>
      </c>
      <c r="KO115" s="4">
        <f t="shared" si="71"/>
        <v>1</v>
      </c>
      <c r="KP115" s="4">
        <f t="shared" si="71"/>
        <v>1</v>
      </c>
      <c r="KQ115" s="4">
        <f t="shared" si="71"/>
        <v>3</v>
      </c>
      <c r="KR115" s="4">
        <f t="shared" si="71"/>
        <v>1</v>
      </c>
      <c r="KS115" s="4">
        <f t="shared" si="71"/>
        <v>1</v>
      </c>
      <c r="KT115" s="4">
        <f t="shared" si="71"/>
        <v>1</v>
      </c>
      <c r="KU115" s="4">
        <f t="shared" si="71"/>
        <v>3</v>
      </c>
      <c r="KV115" s="4">
        <f t="shared" si="71"/>
        <v>1</v>
      </c>
      <c r="KW115" s="4">
        <f t="shared" si="71"/>
        <v>1</v>
      </c>
      <c r="KX115" s="4">
        <f t="shared" si="71"/>
        <v>2</v>
      </c>
      <c r="KY115" s="4">
        <f t="shared" si="71"/>
        <v>1</v>
      </c>
      <c r="KZ115" s="4">
        <f t="shared" si="71"/>
        <v>1</v>
      </c>
      <c r="LA115" s="4">
        <f t="shared" si="71"/>
        <v>1</v>
      </c>
      <c r="LB115" s="4">
        <f t="shared" si="71"/>
        <v>1</v>
      </c>
      <c r="LC115" s="4">
        <f t="shared" si="71"/>
        <v>1</v>
      </c>
      <c r="LD115" s="4">
        <f t="shared" si="71"/>
        <v>1</v>
      </c>
      <c r="LE115" s="4">
        <f t="shared" si="71"/>
        <v>1</v>
      </c>
      <c r="LF115" s="4">
        <f t="shared" si="71"/>
        <v>1</v>
      </c>
      <c r="LG115" s="4">
        <f t="shared" si="71"/>
        <v>2</v>
      </c>
      <c r="LH115" s="4">
        <f t="shared" si="71"/>
        <v>1</v>
      </c>
      <c r="LI115" s="4">
        <f t="shared" si="71"/>
        <v>1</v>
      </c>
      <c r="LJ115" s="4">
        <f t="shared" si="71"/>
        <v>4</v>
      </c>
      <c r="LK115" s="4">
        <f t="shared" ref="LK115:NV115" si="72">MAX(LK2:LK101)</f>
        <v>1</v>
      </c>
      <c r="LL115" s="4">
        <f t="shared" si="72"/>
        <v>1</v>
      </c>
      <c r="LM115" s="4">
        <f t="shared" si="72"/>
        <v>1</v>
      </c>
      <c r="LN115" s="4">
        <f t="shared" si="72"/>
        <v>1</v>
      </c>
      <c r="LO115" s="4">
        <f t="shared" si="72"/>
        <v>9</v>
      </c>
      <c r="LP115" s="4">
        <f t="shared" si="72"/>
        <v>1</v>
      </c>
      <c r="LQ115" s="4">
        <f t="shared" si="72"/>
        <v>1</v>
      </c>
      <c r="LR115" s="4">
        <f t="shared" si="72"/>
        <v>2</v>
      </c>
      <c r="LS115" s="4">
        <f t="shared" si="72"/>
        <v>1</v>
      </c>
      <c r="LT115" s="4">
        <f t="shared" si="72"/>
        <v>1</v>
      </c>
      <c r="LU115" s="4">
        <f t="shared" si="72"/>
        <v>1</v>
      </c>
      <c r="LV115" s="4">
        <f t="shared" si="72"/>
        <v>1</v>
      </c>
      <c r="LW115" s="4">
        <f t="shared" si="72"/>
        <v>1</v>
      </c>
      <c r="LX115" s="4">
        <f t="shared" si="72"/>
        <v>1</v>
      </c>
      <c r="LY115" s="4">
        <f t="shared" si="72"/>
        <v>1</v>
      </c>
      <c r="LZ115" s="4">
        <f t="shared" si="72"/>
        <v>1</v>
      </c>
      <c r="MA115" s="4">
        <f t="shared" si="72"/>
        <v>1</v>
      </c>
      <c r="MB115" s="4">
        <f t="shared" si="72"/>
        <v>1</v>
      </c>
      <c r="MC115" s="4">
        <f t="shared" si="72"/>
        <v>1</v>
      </c>
      <c r="MD115" s="4">
        <f t="shared" si="72"/>
        <v>1</v>
      </c>
      <c r="ME115" s="4">
        <f t="shared" si="72"/>
        <v>1</v>
      </c>
      <c r="MF115" s="4">
        <f t="shared" si="72"/>
        <v>1</v>
      </c>
      <c r="MG115" s="4">
        <f t="shared" si="72"/>
        <v>3</v>
      </c>
      <c r="MH115" s="4">
        <f t="shared" si="72"/>
        <v>1</v>
      </c>
      <c r="MI115" s="4">
        <f t="shared" si="72"/>
        <v>1</v>
      </c>
      <c r="MJ115" s="4">
        <f t="shared" si="72"/>
        <v>1</v>
      </c>
      <c r="MK115" s="4">
        <f t="shared" si="72"/>
        <v>1</v>
      </c>
      <c r="ML115" s="4">
        <f t="shared" si="72"/>
        <v>3</v>
      </c>
      <c r="MM115" s="4">
        <f t="shared" si="72"/>
        <v>1</v>
      </c>
      <c r="MN115" s="4">
        <f t="shared" si="72"/>
        <v>1</v>
      </c>
      <c r="MO115" s="4">
        <f t="shared" si="72"/>
        <v>1</v>
      </c>
      <c r="MP115" s="4">
        <f t="shared" si="72"/>
        <v>1</v>
      </c>
      <c r="MQ115" s="4">
        <f t="shared" si="72"/>
        <v>0</v>
      </c>
      <c r="MR115" s="4">
        <f t="shared" si="72"/>
        <v>2</v>
      </c>
      <c r="MS115" s="4">
        <f t="shared" si="72"/>
        <v>1</v>
      </c>
      <c r="MT115" s="4">
        <f t="shared" si="72"/>
        <v>1</v>
      </c>
      <c r="MU115" s="4">
        <f t="shared" si="72"/>
        <v>2</v>
      </c>
      <c r="MV115" s="4">
        <f t="shared" si="72"/>
        <v>1</v>
      </c>
      <c r="MW115" s="4">
        <f t="shared" si="72"/>
        <v>1</v>
      </c>
      <c r="MX115" s="4">
        <f t="shared" si="72"/>
        <v>2</v>
      </c>
      <c r="MY115" s="4">
        <f t="shared" si="72"/>
        <v>1</v>
      </c>
      <c r="MZ115" s="4">
        <f t="shared" si="72"/>
        <v>1</v>
      </c>
      <c r="NA115" s="4">
        <f t="shared" si="72"/>
        <v>1</v>
      </c>
      <c r="NB115" s="4">
        <f t="shared" si="72"/>
        <v>1</v>
      </c>
      <c r="NC115" s="4">
        <f t="shared" si="72"/>
        <v>1</v>
      </c>
      <c r="ND115" s="4">
        <f t="shared" si="72"/>
        <v>1</v>
      </c>
      <c r="NE115" s="4">
        <f t="shared" si="72"/>
        <v>2</v>
      </c>
      <c r="NF115" s="4">
        <f t="shared" si="72"/>
        <v>1</v>
      </c>
      <c r="NG115" s="4">
        <f t="shared" si="72"/>
        <v>1</v>
      </c>
      <c r="NH115" s="4">
        <f t="shared" si="72"/>
        <v>1</v>
      </c>
      <c r="NI115" s="4">
        <f t="shared" si="72"/>
        <v>1</v>
      </c>
      <c r="NJ115" s="4">
        <f t="shared" si="72"/>
        <v>1</v>
      </c>
      <c r="NK115" s="4">
        <f t="shared" si="72"/>
        <v>1</v>
      </c>
      <c r="NL115" s="4">
        <f t="shared" si="72"/>
        <v>1</v>
      </c>
      <c r="NM115" s="4">
        <f t="shared" si="72"/>
        <v>3</v>
      </c>
      <c r="NN115" s="4">
        <f t="shared" si="72"/>
        <v>2</v>
      </c>
      <c r="NO115" s="4">
        <f t="shared" si="72"/>
        <v>1</v>
      </c>
      <c r="NP115" s="4">
        <f t="shared" si="72"/>
        <v>3</v>
      </c>
      <c r="NQ115" s="4">
        <f t="shared" si="72"/>
        <v>1</v>
      </c>
      <c r="NR115" s="4">
        <f t="shared" si="72"/>
        <v>2</v>
      </c>
      <c r="NS115" s="4">
        <f t="shared" si="72"/>
        <v>1</v>
      </c>
      <c r="NT115" s="4">
        <f t="shared" si="72"/>
        <v>1</v>
      </c>
      <c r="NU115" s="4">
        <f t="shared" si="72"/>
        <v>1</v>
      </c>
      <c r="NV115" s="4">
        <f t="shared" si="72"/>
        <v>1</v>
      </c>
      <c r="NW115" s="4">
        <f t="shared" ref="NW115:OQ115" si="73">MAX(NW2:NW101)</f>
        <v>1</v>
      </c>
      <c r="NX115" s="4">
        <f t="shared" si="73"/>
        <v>2</v>
      </c>
      <c r="NY115" s="4">
        <f t="shared" si="73"/>
        <v>1</v>
      </c>
      <c r="NZ115" s="4">
        <f t="shared" si="73"/>
        <v>1</v>
      </c>
      <c r="OA115" s="4">
        <f t="shared" si="73"/>
        <v>1</v>
      </c>
      <c r="OB115" s="4">
        <f t="shared" si="73"/>
        <v>1</v>
      </c>
      <c r="OC115" s="4">
        <f t="shared" si="73"/>
        <v>1</v>
      </c>
      <c r="OD115" s="4">
        <f t="shared" si="73"/>
        <v>1</v>
      </c>
      <c r="OE115" s="4">
        <f t="shared" si="73"/>
        <v>1</v>
      </c>
      <c r="OF115" s="4">
        <f t="shared" si="73"/>
        <v>1</v>
      </c>
      <c r="OG115" s="4">
        <f t="shared" si="73"/>
        <v>1</v>
      </c>
      <c r="OH115" s="4">
        <f t="shared" si="73"/>
        <v>1</v>
      </c>
      <c r="OI115" s="4">
        <f t="shared" si="73"/>
        <v>1</v>
      </c>
      <c r="OJ115" s="4">
        <f t="shared" si="73"/>
        <v>1</v>
      </c>
      <c r="OK115" s="4">
        <f t="shared" si="73"/>
        <v>1</v>
      </c>
      <c r="OL115" s="4">
        <f t="shared" si="73"/>
        <v>4</v>
      </c>
      <c r="OM115" s="4">
        <f t="shared" si="73"/>
        <v>1</v>
      </c>
      <c r="ON115" s="4">
        <f t="shared" si="73"/>
        <v>1</v>
      </c>
      <c r="OO115" s="4">
        <f t="shared" si="73"/>
        <v>1</v>
      </c>
      <c r="OP115" s="4">
        <f t="shared" si="73"/>
        <v>1</v>
      </c>
      <c r="OQ115" s="4">
        <f t="shared" si="73"/>
        <v>2</v>
      </c>
    </row>
    <row r="116" spans="1:407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B116" s="4"/>
      <c r="CC116" s="4"/>
      <c r="CD116" s="4"/>
      <c r="CE116" s="4"/>
      <c r="CF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J116" s="4"/>
      <c r="EK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S116" s="4"/>
      <c r="FT116" s="4"/>
      <c r="FU116" s="4"/>
      <c r="FV116" s="4"/>
      <c r="FW116" s="4"/>
      <c r="FY116" s="4"/>
      <c r="FZ116" s="4"/>
      <c r="GA116" s="4"/>
      <c r="GB116" s="4"/>
      <c r="GC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D116" s="4"/>
      <c r="HE116" s="4"/>
      <c r="HF116" s="4"/>
      <c r="HG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J116" s="4"/>
      <c r="IK116" s="4"/>
      <c r="IL116" s="4"/>
      <c r="IM116" s="4"/>
      <c r="IN116" s="4"/>
      <c r="IO116" s="4"/>
      <c r="IP116" s="4"/>
      <c r="IQ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L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W116" s="4"/>
      <c r="KX116" s="4"/>
      <c r="KZ116" s="4"/>
      <c r="LA116" s="4"/>
      <c r="LB116" s="4"/>
      <c r="LD116" s="4"/>
      <c r="LE116" s="4"/>
      <c r="LF116" s="4"/>
      <c r="LG116" s="4"/>
      <c r="LH116" s="4"/>
      <c r="LI116" s="4"/>
      <c r="LJ116" s="4"/>
      <c r="LK116" s="4"/>
      <c r="LL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U116" s="4"/>
      <c r="MV116" s="4"/>
      <c r="MW116" s="4"/>
      <c r="MX116" s="4"/>
      <c r="MY116" s="4"/>
      <c r="MZ116" s="4"/>
      <c r="NA116" s="4"/>
      <c r="NC116" s="4"/>
      <c r="ND116" s="4"/>
      <c r="NE116" s="4"/>
      <c r="NF116" s="4"/>
      <c r="NG116" s="4"/>
      <c r="NH116" s="4"/>
      <c r="NI116" s="4"/>
      <c r="NK116" s="4"/>
      <c r="NL116" s="4"/>
      <c r="NM116" s="4"/>
      <c r="NN116" s="4"/>
      <c r="NO116" s="4"/>
      <c r="NP116" s="4"/>
      <c r="NQ116" s="4"/>
      <c r="NR116" s="4"/>
      <c r="NT116" s="4"/>
      <c r="NU116" s="4"/>
      <c r="NV116" s="4"/>
      <c r="NW116" s="4"/>
      <c r="NX116" s="4"/>
      <c r="NZ116" s="4"/>
      <c r="OA116" s="4"/>
      <c r="OB116" s="4"/>
      <c r="OC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Q116" s="4"/>
    </row>
    <row r="117" spans="1:407" x14ac:dyDescent="0.3">
      <c r="A117" s="9" t="s">
        <v>604</v>
      </c>
      <c r="B117">
        <f>KURT(B2:B101)</f>
        <v>-0.57955158086086822</v>
      </c>
      <c r="C117" s="4">
        <f t="shared" ref="C117:BN117" si="74">KURT(C2:C101)</f>
        <v>47.41774260724705</v>
      </c>
      <c r="D117" s="4">
        <f t="shared" si="74"/>
        <v>99.999999999999645</v>
      </c>
      <c r="E117" s="4">
        <f t="shared" si="74"/>
        <v>6.9968916591456427</v>
      </c>
      <c r="F117" s="4">
        <f t="shared" si="74"/>
        <v>3.0515977344477832</v>
      </c>
      <c r="G117" s="4">
        <f t="shared" si="74"/>
        <v>0.67450715710287534</v>
      </c>
      <c r="H117" s="4">
        <f t="shared" si="74"/>
        <v>-1.4267209105871004</v>
      </c>
      <c r="I117" s="4">
        <f t="shared" si="74"/>
        <v>-1.3311442186510067</v>
      </c>
      <c r="J117" s="4">
        <f t="shared" si="74"/>
        <v>7.924095635506669</v>
      </c>
      <c r="K117" s="4">
        <f t="shared" si="74"/>
        <v>99.999999999999886</v>
      </c>
      <c r="L117" s="4">
        <f t="shared" si="74"/>
        <v>3.2018561256419442E-2</v>
      </c>
      <c r="M117" s="4">
        <f t="shared" si="74"/>
        <v>-0.78162692301130621</v>
      </c>
      <c r="N117" s="4">
        <f t="shared" si="74"/>
        <v>0.67450715710287179</v>
      </c>
      <c r="O117" s="4">
        <f t="shared" si="74"/>
        <v>12.40135009915358</v>
      </c>
      <c r="P117" s="4">
        <f t="shared" si="74"/>
        <v>-2.0260355753255399</v>
      </c>
      <c r="Q117" s="4">
        <f t="shared" si="74"/>
        <v>29.897774818291715</v>
      </c>
      <c r="R117" s="4">
        <f t="shared" si="74"/>
        <v>-0.41725626864171961</v>
      </c>
      <c r="S117" s="4">
        <f t="shared" si="74"/>
        <v>6.5945626012951699</v>
      </c>
      <c r="T117" s="4">
        <f t="shared" si="74"/>
        <v>12.401350099153669</v>
      </c>
      <c r="U117" s="4">
        <f t="shared" si="74"/>
        <v>99.999999999999588</v>
      </c>
      <c r="V117" s="4">
        <f t="shared" si="74"/>
        <v>10.055175678518824</v>
      </c>
      <c r="W117" s="4">
        <f t="shared" si="74"/>
        <v>21.143554071112995</v>
      </c>
      <c r="X117" s="4">
        <f t="shared" si="74"/>
        <v>-1.4267209105871028</v>
      </c>
      <c r="Y117" s="4">
        <f t="shared" si="74"/>
        <v>21.143554071112995</v>
      </c>
      <c r="Z117" s="4">
        <f t="shared" si="74"/>
        <v>4.3659037925404949</v>
      </c>
      <c r="AA117" s="4">
        <f t="shared" si="74"/>
        <v>99.999999999999531</v>
      </c>
      <c r="AB117" s="4">
        <f t="shared" si="74"/>
        <v>-0.8135794053987051</v>
      </c>
      <c r="AC117" s="4">
        <f t="shared" si="74"/>
        <v>2.001212856276513</v>
      </c>
      <c r="AD117" s="4">
        <f t="shared" si="74"/>
        <v>78.895556556650448</v>
      </c>
      <c r="AE117" s="4">
        <f t="shared" si="74"/>
        <v>-1.9003510935022703</v>
      </c>
      <c r="AF117" s="4">
        <f t="shared" si="74"/>
        <v>-0.63875447086050574</v>
      </c>
      <c r="AG117" s="4">
        <f t="shared" si="74"/>
        <v>-1.414760491825592</v>
      </c>
      <c r="AH117" s="4">
        <f t="shared" si="74"/>
        <v>0.87775115074944532</v>
      </c>
      <c r="AI117" s="4">
        <f t="shared" si="74"/>
        <v>1.2766300386823803</v>
      </c>
      <c r="AJ117" s="4">
        <f t="shared" si="74"/>
        <v>15.327374854806205</v>
      </c>
      <c r="AK117" s="4">
        <f t="shared" si="74"/>
        <v>1.2060419746087461</v>
      </c>
      <c r="AL117" s="4">
        <f t="shared" si="74"/>
        <v>47.417742607247021</v>
      </c>
      <c r="AM117" s="4">
        <f t="shared" si="74"/>
        <v>-0.30931755426124186</v>
      </c>
      <c r="AN117" s="4">
        <f t="shared" si="74"/>
        <v>-0.54098492534961462</v>
      </c>
      <c r="AO117" s="4">
        <f t="shared" si="74"/>
        <v>-1.6251158897908298</v>
      </c>
      <c r="AP117" s="4">
        <f t="shared" si="74"/>
        <v>0.80200333716265471</v>
      </c>
      <c r="AQ117" s="4">
        <f t="shared" si="74"/>
        <v>-0.93568841408291581</v>
      </c>
      <c r="AR117" s="4">
        <f t="shared" si="74"/>
        <v>2.4877101575294671</v>
      </c>
      <c r="AS117" s="4">
        <f t="shared" si="74"/>
        <v>4.4955640080658323</v>
      </c>
      <c r="AT117" s="4">
        <f t="shared" si="74"/>
        <v>8.0429179740026608</v>
      </c>
      <c r="AU117" s="4">
        <f t="shared" si="74"/>
        <v>47.417742607247071</v>
      </c>
      <c r="AV117" s="4">
        <f t="shared" si="74"/>
        <v>12.806533672513076</v>
      </c>
      <c r="AW117" s="4">
        <f t="shared" si="74"/>
        <v>8.0429179740026751</v>
      </c>
      <c r="AX117" s="4">
        <f t="shared" si="74"/>
        <v>47.417742607247021</v>
      </c>
      <c r="AY117" s="4">
        <f t="shared" si="74"/>
        <v>4.579101349210962</v>
      </c>
      <c r="AZ117" s="4">
        <f t="shared" si="74"/>
        <v>35.92968183837101</v>
      </c>
      <c r="BA117" s="4">
        <f t="shared" si="74"/>
        <v>29.897774818291616</v>
      </c>
      <c r="BB117" s="4">
        <f t="shared" si="74"/>
        <v>15.895777735945099</v>
      </c>
      <c r="BC117" s="4">
        <f t="shared" si="74"/>
        <v>5.4386703134862628</v>
      </c>
      <c r="BD117" s="4">
        <f t="shared" si="74"/>
        <v>21.143554071113002</v>
      </c>
      <c r="BE117" s="4">
        <f t="shared" si="74"/>
        <v>21.14355407111313</v>
      </c>
      <c r="BF117" s="4">
        <f t="shared" si="74"/>
        <v>1.2060419746087461</v>
      </c>
      <c r="BG117" s="4">
        <f t="shared" si="74"/>
        <v>0.32545234588683059</v>
      </c>
      <c r="BH117" s="4">
        <f t="shared" si="74"/>
        <v>29.897774818291623</v>
      </c>
      <c r="BI117" s="4">
        <f t="shared" si="74"/>
        <v>99.999999999999517</v>
      </c>
      <c r="BJ117" s="4">
        <f t="shared" si="74"/>
        <v>29.897774818291644</v>
      </c>
      <c r="BK117" s="4">
        <f t="shared" si="74"/>
        <v>99.999999999999901</v>
      </c>
      <c r="BL117" s="4">
        <f t="shared" si="74"/>
        <v>2.0012128562765077</v>
      </c>
      <c r="BM117" s="4">
        <f t="shared" si="74"/>
        <v>99.999999999999531</v>
      </c>
      <c r="BN117" s="4">
        <f t="shared" si="74"/>
        <v>2.0012128562765157</v>
      </c>
      <c r="BO117" s="4">
        <f t="shared" ref="BO117:DZ117" si="75">KURT(BO2:BO101)</f>
        <v>4.495564008065811</v>
      </c>
      <c r="BP117" s="4">
        <f t="shared" si="75"/>
        <v>15.895777735945025</v>
      </c>
      <c r="BQ117" s="4">
        <f t="shared" si="75"/>
        <v>99.999999999999588</v>
      </c>
      <c r="BR117" s="4">
        <f t="shared" si="75"/>
        <v>47.417742607247014</v>
      </c>
      <c r="BS117" s="4">
        <f t="shared" si="75"/>
        <v>99.999999999999631</v>
      </c>
      <c r="BT117" s="4">
        <f t="shared" si="75"/>
        <v>47.417742607247014</v>
      </c>
      <c r="BU117" s="4">
        <f t="shared" si="75"/>
        <v>99.999999999999858</v>
      </c>
      <c r="BV117" s="4">
        <f t="shared" si="75"/>
        <v>99.999999999999744</v>
      </c>
      <c r="BW117" s="4">
        <f t="shared" si="75"/>
        <v>99.999999999999801</v>
      </c>
      <c r="BX117" s="4">
        <f t="shared" si="75"/>
        <v>47.417742607247014</v>
      </c>
      <c r="BY117" s="4">
        <f t="shared" si="75"/>
        <v>4.178540219545404</v>
      </c>
      <c r="BZ117" s="4">
        <f t="shared" si="75"/>
        <v>47.41774260724705</v>
      </c>
      <c r="CA117" s="4">
        <f t="shared" si="75"/>
        <v>99.999999999999943</v>
      </c>
      <c r="CB117" s="4">
        <f t="shared" si="75"/>
        <v>15.895777735945124</v>
      </c>
      <c r="CC117" s="4">
        <f t="shared" si="75"/>
        <v>-1.6833118556701043</v>
      </c>
      <c r="CD117" s="4">
        <f t="shared" si="75"/>
        <v>99.999999999999517</v>
      </c>
      <c r="CE117" s="4">
        <f t="shared" si="75"/>
        <v>29.89777481829158</v>
      </c>
      <c r="CF117" s="4">
        <f t="shared" si="75"/>
        <v>0.57813710248546846</v>
      </c>
      <c r="CG117" s="4">
        <f t="shared" si="75"/>
        <v>99.999999999999858</v>
      </c>
      <c r="CH117" s="4">
        <f t="shared" si="75"/>
        <v>99.999999999999858</v>
      </c>
      <c r="CI117" s="4">
        <f t="shared" si="75"/>
        <v>21.143554071113087</v>
      </c>
      <c r="CJ117" s="4">
        <f t="shared" si="75"/>
        <v>8.0429179740026591</v>
      </c>
      <c r="CK117" s="4">
        <f t="shared" si="75"/>
        <v>8.0429179740026715</v>
      </c>
      <c r="CL117" s="4">
        <f t="shared" si="75"/>
        <v>99.999999999999588</v>
      </c>
      <c r="CM117" s="4">
        <f t="shared" si="75"/>
        <v>0.19396959814853609</v>
      </c>
      <c r="CN117" s="4">
        <f t="shared" si="75"/>
        <v>21.143554071113158</v>
      </c>
      <c r="CO117" s="4">
        <f t="shared" si="75"/>
        <v>60.212193033894074</v>
      </c>
      <c r="CP117" s="4">
        <f t="shared" si="75"/>
        <v>9.9089490896362697</v>
      </c>
      <c r="CQ117" s="4">
        <f t="shared" si="75"/>
        <v>9.9089490896362822</v>
      </c>
      <c r="CR117" s="4">
        <f t="shared" si="75"/>
        <v>47.417742607247071</v>
      </c>
      <c r="CS117" s="4">
        <f t="shared" si="75"/>
        <v>47.41774260724705</v>
      </c>
      <c r="CT117" s="4">
        <f t="shared" si="75"/>
        <v>99.999999999999702</v>
      </c>
      <c r="CU117" s="4">
        <f t="shared" si="75"/>
        <v>6.5945626012951823</v>
      </c>
      <c r="CV117" s="4">
        <f t="shared" si="75"/>
        <v>29.89777481829185</v>
      </c>
      <c r="CW117" s="4">
        <f t="shared" si="75"/>
        <v>47.417742607247071</v>
      </c>
      <c r="CX117" s="4">
        <f t="shared" si="75"/>
        <v>99.999999999999687</v>
      </c>
      <c r="CY117" s="4">
        <f t="shared" si="75"/>
        <v>47.66195556849118</v>
      </c>
      <c r="CZ117" s="4">
        <f t="shared" si="75"/>
        <v>47.417742607247092</v>
      </c>
      <c r="DA117" s="4">
        <f t="shared" si="75"/>
        <v>21.143554071113002</v>
      </c>
      <c r="DB117" s="4">
        <f t="shared" si="75"/>
        <v>21.143554071113183</v>
      </c>
      <c r="DC117" s="4">
        <f t="shared" si="75"/>
        <v>2.4877101575294698</v>
      </c>
      <c r="DD117" s="4">
        <f t="shared" si="75"/>
        <v>29.897774818291623</v>
      </c>
      <c r="DE117" s="4">
        <f t="shared" si="75"/>
        <v>66.484293660637633</v>
      </c>
      <c r="DF117" s="4">
        <f t="shared" si="75"/>
        <v>12.401350099153513</v>
      </c>
      <c r="DG117" s="4">
        <f t="shared" si="75"/>
        <v>99.999999999999574</v>
      </c>
      <c r="DH117" s="4">
        <f t="shared" si="75"/>
        <v>0.22949385576983294</v>
      </c>
      <c r="DI117" s="4">
        <f t="shared" si="75"/>
        <v>12.401350099153674</v>
      </c>
      <c r="DJ117" s="4">
        <f t="shared" si="75"/>
        <v>47.417742607247092</v>
      </c>
      <c r="DK117" s="4">
        <f t="shared" si="75"/>
        <v>15.895777735945035</v>
      </c>
      <c r="DL117" s="4">
        <f t="shared" si="75"/>
        <v>15.895777735945142</v>
      </c>
      <c r="DM117" s="4">
        <f t="shared" si="75"/>
        <v>47.417742607247071</v>
      </c>
      <c r="DN117" s="4">
        <f t="shared" si="75"/>
        <v>99.999999999999886</v>
      </c>
      <c r="DO117" s="4">
        <f t="shared" si="75"/>
        <v>99.999999999999915</v>
      </c>
      <c r="DP117" s="4">
        <f t="shared" si="75"/>
        <v>99.999999999999886</v>
      </c>
      <c r="DQ117" s="4">
        <f t="shared" si="75"/>
        <v>12.401350099153589</v>
      </c>
      <c r="DR117" s="4">
        <f t="shared" si="75"/>
        <v>6.0253810804996402</v>
      </c>
      <c r="DS117" s="4">
        <f t="shared" si="75"/>
        <v>47.417742607247071</v>
      </c>
      <c r="DT117" s="4">
        <f t="shared" si="75"/>
        <v>66.484293660636979</v>
      </c>
      <c r="DU117" s="4">
        <f t="shared" si="75"/>
        <v>29.897774818291659</v>
      </c>
      <c r="DV117" s="4">
        <f t="shared" si="75"/>
        <v>66.484293660636979</v>
      </c>
      <c r="DW117" s="4">
        <f t="shared" si="75"/>
        <v>99.999999999999886</v>
      </c>
      <c r="DX117" s="4">
        <f t="shared" si="75"/>
        <v>99.999999999999517</v>
      </c>
      <c r="DY117" s="4">
        <f t="shared" si="75"/>
        <v>99.999999999999488</v>
      </c>
      <c r="DZ117" s="4">
        <f t="shared" si="75"/>
        <v>99.999999999999574</v>
      </c>
      <c r="EA117" s="4">
        <f t="shared" ref="EA117:GL117" si="76">KURT(EA2:EA101)</f>
        <v>21.143554071113027</v>
      </c>
      <c r="EB117" s="4">
        <f t="shared" si="76"/>
        <v>2.4877101575294565</v>
      </c>
      <c r="EC117" s="4">
        <f t="shared" si="76"/>
        <v>47.417742607247057</v>
      </c>
      <c r="ED117" s="4">
        <f t="shared" si="76"/>
        <v>3.222563552301724</v>
      </c>
      <c r="EE117" s="4">
        <f t="shared" si="76"/>
        <v>9.9089490896362964</v>
      </c>
      <c r="EF117" s="4">
        <f t="shared" si="76"/>
        <v>21.143554071113062</v>
      </c>
      <c r="EG117" s="4">
        <f t="shared" si="76"/>
        <v>47.41774260724705</v>
      </c>
      <c r="EH117" s="4">
        <f t="shared" si="76"/>
        <v>-1.7361926261568625</v>
      </c>
      <c r="EI117" s="4">
        <f t="shared" si="76"/>
        <v>99.999999999999901</v>
      </c>
      <c r="EJ117" s="4">
        <f t="shared" si="76"/>
        <v>47.417742607247014</v>
      </c>
      <c r="EK117" s="4">
        <f t="shared" si="76"/>
        <v>29.897774818291801</v>
      </c>
      <c r="EL117" s="4">
        <f t="shared" si="76"/>
        <v>99.999999999999829</v>
      </c>
      <c r="EM117" s="4">
        <f t="shared" si="76"/>
        <v>29.89777481829185</v>
      </c>
      <c r="EN117" s="4">
        <f t="shared" si="76"/>
        <v>47.417742607247028</v>
      </c>
      <c r="EO117" s="4">
        <f t="shared" si="76"/>
        <v>47.417742607247092</v>
      </c>
      <c r="EP117" s="4">
        <f t="shared" si="76"/>
        <v>47.41774260724705</v>
      </c>
      <c r="EQ117" s="4">
        <f t="shared" si="76"/>
        <v>47.417742607247014</v>
      </c>
      <c r="ER117" s="4">
        <f t="shared" si="76"/>
        <v>99.999999999999645</v>
      </c>
      <c r="ES117" s="4">
        <f t="shared" si="76"/>
        <v>99.999999999999829</v>
      </c>
      <c r="ET117" s="4">
        <f t="shared" si="76"/>
        <v>99.999999999999886</v>
      </c>
      <c r="EU117" s="4">
        <f t="shared" si="76"/>
        <v>99.999999999999901</v>
      </c>
      <c r="EV117" s="4">
        <f t="shared" si="76"/>
        <v>-0.85032563694858654</v>
      </c>
      <c r="EW117" s="4">
        <f t="shared" si="76"/>
        <v>29.897774818291921</v>
      </c>
      <c r="EX117" s="4">
        <f t="shared" si="76"/>
        <v>99.999999999999574</v>
      </c>
      <c r="EY117" s="4">
        <f t="shared" si="76"/>
        <v>12.401350099153589</v>
      </c>
      <c r="EZ117" s="4">
        <f t="shared" si="76"/>
        <v>0.87775115074944665</v>
      </c>
      <c r="FA117" s="4">
        <f t="shared" si="76"/>
        <v>-0.25955049315566514</v>
      </c>
      <c r="FB117" s="4">
        <f t="shared" si="76"/>
        <v>47.417742607247014</v>
      </c>
      <c r="FC117" s="4">
        <f t="shared" si="76"/>
        <v>29.897774818291808</v>
      </c>
      <c r="FD117" s="4">
        <f t="shared" si="76"/>
        <v>29.897774818291722</v>
      </c>
      <c r="FE117" s="4">
        <f t="shared" si="76"/>
        <v>2.868728565453853</v>
      </c>
      <c r="FF117" s="4">
        <f t="shared" si="76"/>
        <v>3.0515977344477734</v>
      </c>
      <c r="FG117" s="4">
        <f t="shared" si="76"/>
        <v>0.87775115074945376</v>
      </c>
      <c r="FH117" s="4">
        <f t="shared" si="76"/>
        <v>3.1661816780307421</v>
      </c>
      <c r="FI117" s="4">
        <f t="shared" si="76"/>
        <v>-1.9003510935022694</v>
      </c>
      <c r="FJ117" s="4">
        <f t="shared" si="76"/>
        <v>12.401350099153536</v>
      </c>
      <c r="FK117" s="4">
        <f t="shared" si="76"/>
        <v>47.417742607247057</v>
      </c>
      <c r="FL117" s="4">
        <f t="shared" si="76"/>
        <v>47.417742607247021</v>
      </c>
      <c r="FM117" s="4">
        <f t="shared" si="76"/>
        <v>99.999999999999886</v>
      </c>
      <c r="FN117" s="4">
        <f t="shared" si="76"/>
        <v>47.417742607247071</v>
      </c>
      <c r="FO117" s="4">
        <f t="shared" si="76"/>
        <v>3.7121291815695128</v>
      </c>
      <c r="FP117" s="4">
        <f t="shared" si="76"/>
        <v>47.417742607247057</v>
      </c>
      <c r="FQ117" s="4">
        <f t="shared" si="76"/>
        <v>47.417742607247071</v>
      </c>
      <c r="FR117" s="4">
        <f t="shared" si="76"/>
        <v>99.999999999999886</v>
      </c>
      <c r="FS117" s="4" t="s">
        <v>611</v>
      </c>
      <c r="FT117" s="4">
        <f t="shared" si="76"/>
        <v>99.999999999999488</v>
      </c>
      <c r="FU117" s="4">
        <f t="shared" si="76"/>
        <v>5.3836237363780999</v>
      </c>
      <c r="FV117" s="4">
        <f t="shared" si="76"/>
        <v>-0.85032563694858609</v>
      </c>
      <c r="FW117" s="4">
        <f t="shared" si="76"/>
        <v>8.0429179740026626</v>
      </c>
      <c r="FX117" s="4">
        <f t="shared" si="76"/>
        <v>47.417742607246993</v>
      </c>
      <c r="FY117" s="4">
        <f t="shared" si="76"/>
        <v>99.999999999999687</v>
      </c>
      <c r="FZ117" s="4">
        <f t="shared" si="76"/>
        <v>47.417742607247014</v>
      </c>
      <c r="GA117" s="4">
        <f t="shared" si="76"/>
        <v>99.999999999999545</v>
      </c>
      <c r="GB117" s="4">
        <f t="shared" si="76"/>
        <v>29.89777481829158</v>
      </c>
      <c r="GC117" s="4">
        <f t="shared" si="76"/>
        <v>15.257351757223354</v>
      </c>
      <c r="GD117" s="4">
        <f t="shared" si="76"/>
        <v>99.999999999999886</v>
      </c>
      <c r="GE117" s="4">
        <f t="shared" si="76"/>
        <v>3.7121291815695163</v>
      </c>
      <c r="GF117" s="4">
        <f t="shared" si="76"/>
        <v>99.999999999999744</v>
      </c>
      <c r="GG117" s="4">
        <f t="shared" si="76"/>
        <v>12.401350099153564</v>
      </c>
      <c r="GH117" s="4">
        <f t="shared" si="76"/>
        <v>0.3254523458868257</v>
      </c>
      <c r="GI117" s="4">
        <f t="shared" si="76"/>
        <v>-0.78162692301130576</v>
      </c>
      <c r="GJ117" s="4">
        <f t="shared" si="76"/>
        <v>22.495197695842091</v>
      </c>
      <c r="GK117" s="4">
        <f t="shared" si="76"/>
        <v>21.143554071113087</v>
      </c>
      <c r="GL117" s="4">
        <f t="shared" si="76"/>
        <v>99.999999999999886</v>
      </c>
      <c r="GM117" s="4">
        <f t="shared" ref="GM117:IW117" si="77">KURT(GM2:GM101)</f>
        <v>21.143554071113101</v>
      </c>
      <c r="GN117" s="4">
        <f t="shared" si="77"/>
        <v>11.89944913689961</v>
      </c>
      <c r="GO117" s="4">
        <f t="shared" si="77"/>
        <v>99.999999999999588</v>
      </c>
      <c r="GP117" s="4">
        <f t="shared" si="77"/>
        <v>15.257351757223351</v>
      </c>
      <c r="GQ117" s="4">
        <f t="shared" si="77"/>
        <v>47.41774260724705</v>
      </c>
      <c r="GR117" s="4">
        <f t="shared" si="77"/>
        <v>4.4955640080658714</v>
      </c>
      <c r="GS117" s="4">
        <f t="shared" si="77"/>
        <v>9.9089490896362467</v>
      </c>
      <c r="GT117" s="4">
        <f t="shared" si="77"/>
        <v>15.895777735945114</v>
      </c>
      <c r="GU117" s="4">
        <f t="shared" si="77"/>
        <v>15.895777735945114</v>
      </c>
      <c r="GV117" s="4">
        <f t="shared" si="77"/>
        <v>-0.13660767694176856</v>
      </c>
      <c r="GW117" s="4">
        <f t="shared" si="77"/>
        <v>21.143554071113112</v>
      </c>
      <c r="GX117" s="4" t="s">
        <v>609</v>
      </c>
      <c r="GY117" s="4">
        <f t="shared" si="77"/>
        <v>47.417742607247092</v>
      </c>
      <c r="GZ117" s="4">
        <f t="shared" si="77"/>
        <v>-1.6251158897908287</v>
      </c>
      <c r="HA117" s="4">
        <f t="shared" si="77"/>
        <v>99.999999999999588</v>
      </c>
      <c r="HB117" s="4">
        <f t="shared" si="77"/>
        <v>11.201835480551109</v>
      </c>
      <c r="HC117" s="4">
        <f t="shared" si="77"/>
        <v>99.999999999999957</v>
      </c>
      <c r="HD117" s="4">
        <f t="shared" si="77"/>
        <v>47.417742607247071</v>
      </c>
      <c r="HE117" s="4">
        <f t="shared" si="77"/>
        <v>6.5945626012951788</v>
      </c>
      <c r="HF117" s="4">
        <f t="shared" si="77"/>
        <v>0.58602569260658388</v>
      </c>
      <c r="HG117" s="4">
        <f t="shared" si="77"/>
        <v>47.417742607247092</v>
      </c>
      <c r="HH117" s="4">
        <f t="shared" si="77"/>
        <v>99.999999999999915</v>
      </c>
      <c r="HI117" s="4">
        <f t="shared" si="77"/>
        <v>5.4386703134862628</v>
      </c>
      <c r="HJ117" s="4">
        <f t="shared" si="77"/>
        <v>99.999999999999574</v>
      </c>
      <c r="HK117" s="4">
        <f t="shared" si="77"/>
        <v>9.9089490896362911</v>
      </c>
      <c r="HL117" s="4">
        <f t="shared" si="77"/>
        <v>9.9089490896362893</v>
      </c>
      <c r="HM117" s="4">
        <f t="shared" si="77"/>
        <v>29.897774818291531</v>
      </c>
      <c r="HN117" s="4">
        <f t="shared" si="77"/>
        <v>99.999999999999517</v>
      </c>
      <c r="HO117" s="4">
        <f t="shared" si="77"/>
        <v>15.895777735944996</v>
      </c>
      <c r="HP117" s="4">
        <f t="shared" si="77"/>
        <v>9.9089490896362644</v>
      </c>
      <c r="HQ117" s="4">
        <f t="shared" si="77"/>
        <v>47.417742607247092</v>
      </c>
      <c r="HR117" s="4">
        <f t="shared" si="77"/>
        <v>15.257351757223478</v>
      </c>
      <c r="HS117" s="4">
        <f t="shared" si="77"/>
        <v>21.143554071113023</v>
      </c>
      <c r="HT117" s="4">
        <f t="shared" si="77"/>
        <v>29.897774818291822</v>
      </c>
      <c r="HU117" s="4">
        <f t="shared" si="77"/>
        <v>-0.30931755426125118</v>
      </c>
      <c r="HV117" s="4">
        <f t="shared" si="77"/>
        <v>-2.0344944083898406</v>
      </c>
      <c r="HW117" s="4">
        <f t="shared" si="77"/>
        <v>9.1652402651171805E-2</v>
      </c>
      <c r="HX117" s="4">
        <f t="shared" si="77"/>
        <v>99.999999999999858</v>
      </c>
      <c r="HY117" s="4">
        <f t="shared" si="77"/>
        <v>1.57766899101316</v>
      </c>
      <c r="HZ117" s="4">
        <f t="shared" si="77"/>
        <v>29.897774818291772</v>
      </c>
      <c r="IA117" s="4">
        <f t="shared" si="77"/>
        <v>99.999999999999886</v>
      </c>
      <c r="IB117" s="4">
        <f t="shared" si="77"/>
        <v>99.999999999999886</v>
      </c>
      <c r="IC117" s="4">
        <f t="shared" si="77"/>
        <v>-1.4147604918255907</v>
      </c>
      <c r="ID117" s="4">
        <f t="shared" si="77"/>
        <v>15.895777735945149</v>
      </c>
      <c r="IE117" s="4">
        <f t="shared" si="77"/>
        <v>99.999999999999517</v>
      </c>
      <c r="IF117" s="4">
        <f t="shared" si="77"/>
        <v>6.5945626012951752</v>
      </c>
      <c r="IG117" s="4">
        <f t="shared" si="77"/>
        <v>99.999999999999517</v>
      </c>
      <c r="IH117" s="4">
        <f t="shared" si="77"/>
        <v>0.87775115074944887</v>
      </c>
      <c r="II117" s="4">
        <f t="shared" si="77"/>
        <v>99.999999999999886</v>
      </c>
      <c r="IJ117" s="4">
        <f t="shared" si="77"/>
        <v>8.0429179740026555</v>
      </c>
      <c r="IK117" s="4">
        <f t="shared" si="77"/>
        <v>4.4955640080658466</v>
      </c>
      <c r="IL117" s="4">
        <f t="shared" si="77"/>
        <v>47.417742607247071</v>
      </c>
      <c r="IM117" s="4">
        <f t="shared" si="77"/>
        <v>-1.1400790094280551</v>
      </c>
      <c r="IN117" s="4">
        <f t="shared" si="77"/>
        <v>47.417742607247014</v>
      </c>
      <c r="IO117" s="4">
        <f t="shared" si="77"/>
        <v>99.999999999999517</v>
      </c>
      <c r="IP117" s="4">
        <f t="shared" si="77"/>
        <v>-0.1366076769417699</v>
      </c>
      <c r="IQ117" s="4">
        <f t="shared" si="77"/>
        <v>-2.0141359995365256</v>
      </c>
      <c r="IR117" s="4">
        <f t="shared" si="77"/>
        <v>99.999999999999943</v>
      </c>
      <c r="IS117" s="4">
        <f t="shared" si="77"/>
        <v>9.2471720801415032</v>
      </c>
      <c r="IT117" s="4">
        <f t="shared" si="77"/>
        <v>99.999999999999488</v>
      </c>
      <c r="IU117" s="4">
        <f t="shared" si="77"/>
        <v>29.897774818291722</v>
      </c>
      <c r="IV117" s="4">
        <f t="shared" si="77"/>
        <v>99.999999999999574</v>
      </c>
      <c r="IW117" s="4">
        <f t="shared" si="77"/>
        <v>99.999999999999886</v>
      </c>
      <c r="IX117" s="4" t="s">
        <v>609</v>
      </c>
      <c r="IY117" s="4">
        <f t="shared" ref="IY117:LJ117" si="78">KURT(IY2:IY101)</f>
        <v>21.143554071113051</v>
      </c>
      <c r="IZ117" s="4">
        <f t="shared" si="78"/>
        <v>99.999999999999545</v>
      </c>
      <c r="JA117" s="4">
        <f t="shared" si="78"/>
        <v>47.417742607247071</v>
      </c>
      <c r="JB117" s="4">
        <f t="shared" si="78"/>
        <v>4.1857858194824988</v>
      </c>
      <c r="JC117" s="4">
        <f t="shared" si="78"/>
        <v>15.895777735945117</v>
      </c>
      <c r="JD117" s="4">
        <f t="shared" si="78"/>
        <v>21.143554071113101</v>
      </c>
      <c r="JE117" s="4">
        <f t="shared" si="78"/>
        <v>99.999999999999545</v>
      </c>
      <c r="JF117" s="4">
        <f t="shared" si="78"/>
        <v>29.897774818291701</v>
      </c>
      <c r="JG117" s="4">
        <f t="shared" si="78"/>
        <v>99.999999999999773</v>
      </c>
      <c r="JH117" s="4">
        <f t="shared" si="78"/>
        <v>47.417742607247092</v>
      </c>
      <c r="JI117" s="4">
        <f t="shared" si="78"/>
        <v>-0.78162692301130754</v>
      </c>
      <c r="JJ117" s="4">
        <f t="shared" si="78"/>
        <v>-0.63875447086050174</v>
      </c>
      <c r="JK117" s="4">
        <f t="shared" si="78"/>
        <v>99.999999999999858</v>
      </c>
      <c r="JL117" s="4">
        <f t="shared" si="78"/>
        <v>-0.11895321173672668</v>
      </c>
      <c r="JM117" s="4">
        <f t="shared" si="78"/>
        <v>99.999999999999943</v>
      </c>
      <c r="JN117" s="4">
        <f t="shared" si="78"/>
        <v>15.895777735945167</v>
      </c>
      <c r="JO117" s="4">
        <f t="shared" si="78"/>
        <v>99.999999999999687</v>
      </c>
      <c r="JP117" s="4">
        <f t="shared" si="78"/>
        <v>77.264763021206193</v>
      </c>
      <c r="JQ117" s="4">
        <f t="shared" si="78"/>
        <v>5.438670313486238</v>
      </c>
      <c r="JR117" s="4">
        <f t="shared" si="78"/>
        <v>99.999999999999886</v>
      </c>
      <c r="JS117" s="4">
        <f t="shared" si="78"/>
        <v>1.5776689910131503</v>
      </c>
      <c r="JT117" s="4">
        <f t="shared" si="78"/>
        <v>47.417742607247028</v>
      </c>
      <c r="JU117" s="4">
        <f t="shared" si="78"/>
        <v>-1.7840756101856148</v>
      </c>
      <c r="JV117" s="4">
        <f t="shared" si="78"/>
        <v>21.14355407111314</v>
      </c>
      <c r="JW117" s="4">
        <f t="shared" si="78"/>
        <v>-1.7361926261568608</v>
      </c>
      <c r="JX117" s="4">
        <f t="shared" si="78"/>
        <v>3.7121291815695261</v>
      </c>
      <c r="JY117" s="4">
        <f t="shared" si="78"/>
        <v>8.0429179740026662</v>
      </c>
      <c r="JZ117" s="4">
        <f t="shared" si="78"/>
        <v>21.143554071113023</v>
      </c>
      <c r="KA117" s="4">
        <f t="shared" si="78"/>
        <v>99.999999999999943</v>
      </c>
      <c r="KB117" s="4">
        <f t="shared" si="78"/>
        <v>99.999999999999943</v>
      </c>
      <c r="KC117" s="4">
        <f t="shared" si="78"/>
        <v>99.999999999999744</v>
      </c>
      <c r="KD117" s="4">
        <f t="shared" si="78"/>
        <v>12.40135009915363</v>
      </c>
      <c r="KE117" s="4">
        <f t="shared" si="78"/>
        <v>99.999999999999517</v>
      </c>
      <c r="KF117" s="4">
        <f t="shared" si="78"/>
        <v>47.417742607247092</v>
      </c>
      <c r="KG117" s="4">
        <f t="shared" si="78"/>
        <v>99.999999999999901</v>
      </c>
      <c r="KH117" s="4">
        <f t="shared" si="78"/>
        <v>4.4955640080658021</v>
      </c>
      <c r="KI117" s="4">
        <f t="shared" si="78"/>
        <v>15.895777735945124</v>
      </c>
      <c r="KJ117" s="4">
        <f t="shared" si="78"/>
        <v>29.897774818291808</v>
      </c>
      <c r="KK117" s="4">
        <f t="shared" si="78"/>
        <v>4.4131238123495464</v>
      </c>
      <c r="KL117" s="4">
        <f t="shared" si="78"/>
        <v>6.8141052960357165</v>
      </c>
      <c r="KM117" s="4">
        <f t="shared" si="78"/>
        <v>-0.85032563694858432</v>
      </c>
      <c r="KN117" s="4">
        <f t="shared" si="78"/>
        <v>4.4955640080658537</v>
      </c>
      <c r="KO117" s="4">
        <f t="shared" si="78"/>
        <v>99.999999999999517</v>
      </c>
      <c r="KP117" s="4">
        <f t="shared" si="78"/>
        <v>47.417742607247028</v>
      </c>
      <c r="KQ117" s="4">
        <f t="shared" si="78"/>
        <v>1.6680683182259979</v>
      </c>
      <c r="KR117" s="4">
        <f t="shared" si="78"/>
        <v>12.401350099153591</v>
      </c>
      <c r="KS117" s="4">
        <f t="shared" si="78"/>
        <v>99.999999999999744</v>
      </c>
      <c r="KT117" s="4">
        <f t="shared" si="78"/>
        <v>0.58602569260658077</v>
      </c>
      <c r="KU117" s="4">
        <f t="shared" si="78"/>
        <v>36.519296886839932</v>
      </c>
      <c r="KV117" s="4">
        <f t="shared" si="78"/>
        <v>99.999999999999943</v>
      </c>
      <c r="KW117" s="4">
        <f t="shared" si="78"/>
        <v>47.417742607247071</v>
      </c>
      <c r="KX117" s="4">
        <f t="shared" si="78"/>
        <v>-0.40428171282231418</v>
      </c>
      <c r="KY117" s="4">
        <f t="shared" si="78"/>
        <v>99.999999999999957</v>
      </c>
      <c r="KZ117" s="4">
        <f t="shared" si="78"/>
        <v>99.999999999999787</v>
      </c>
      <c r="LA117" s="4">
        <f t="shared" si="78"/>
        <v>15.895777735945128</v>
      </c>
      <c r="LB117" s="4">
        <f t="shared" si="78"/>
        <v>29.89777481829185</v>
      </c>
      <c r="LC117" s="4">
        <f t="shared" si="78"/>
        <v>47.417742607246993</v>
      </c>
      <c r="LD117" s="4">
        <f t="shared" si="78"/>
        <v>21.143554071113236</v>
      </c>
      <c r="LE117" s="4">
        <f t="shared" si="78"/>
        <v>29.897774818291744</v>
      </c>
      <c r="LF117" s="4">
        <f t="shared" si="78"/>
        <v>47.417742607247092</v>
      </c>
      <c r="LG117" s="4">
        <f t="shared" si="78"/>
        <v>12.80653367251308</v>
      </c>
      <c r="LH117" s="4">
        <f t="shared" si="78"/>
        <v>99.999999999999616</v>
      </c>
      <c r="LI117" s="4" t="s">
        <v>609</v>
      </c>
      <c r="LJ117" s="4">
        <f t="shared" si="78"/>
        <v>5.5273235526944511</v>
      </c>
      <c r="LK117" s="4">
        <f t="shared" ref="LK117:NV117" si="79">KURT(LK2:LK101)</f>
        <v>8.0429179740026679</v>
      </c>
      <c r="LL117" s="4">
        <f t="shared" si="79"/>
        <v>21.14355407111309</v>
      </c>
      <c r="LM117" s="4">
        <f t="shared" si="79"/>
        <v>99.999999999999901</v>
      </c>
      <c r="LN117" s="4">
        <f t="shared" si="79"/>
        <v>47.417742607247092</v>
      </c>
      <c r="LO117" s="4">
        <f t="shared" si="79"/>
        <v>57.658606813414828</v>
      </c>
      <c r="LP117" s="4">
        <f t="shared" si="79"/>
        <v>99.999999999999744</v>
      </c>
      <c r="LQ117" s="4">
        <f t="shared" si="79"/>
        <v>-1.9003510935022696</v>
      </c>
      <c r="LR117" s="4">
        <f t="shared" si="79"/>
        <v>47.41774260724705</v>
      </c>
      <c r="LS117" s="4">
        <f t="shared" si="79"/>
        <v>21.143554071113002</v>
      </c>
      <c r="LT117" s="4">
        <f t="shared" si="79"/>
        <v>29.897774818291772</v>
      </c>
      <c r="LU117" s="4" t="s">
        <v>609</v>
      </c>
      <c r="LV117" s="4">
        <f t="shared" si="79"/>
        <v>21.143554071113051</v>
      </c>
      <c r="LW117" s="4">
        <f t="shared" si="79"/>
        <v>47.417742607247071</v>
      </c>
      <c r="LX117" s="4">
        <f t="shared" si="79"/>
        <v>-1.9797646599140399</v>
      </c>
      <c r="LY117" s="4">
        <f t="shared" si="79"/>
        <v>6.5945626012951699</v>
      </c>
      <c r="LZ117" s="4">
        <f t="shared" si="79"/>
        <v>47.417742607247014</v>
      </c>
      <c r="MA117" s="4">
        <f t="shared" si="79"/>
        <v>1.5776689910131592</v>
      </c>
      <c r="MB117" s="4">
        <f t="shared" si="79"/>
        <v>15.895777735944872</v>
      </c>
      <c r="MC117" s="4">
        <f t="shared" si="79"/>
        <v>3.051597734447776</v>
      </c>
      <c r="MD117" s="4">
        <f t="shared" si="79"/>
        <v>99.999999999999673</v>
      </c>
      <c r="ME117" s="4">
        <f t="shared" si="79"/>
        <v>-2.034494408389842</v>
      </c>
      <c r="MF117" s="4">
        <f t="shared" si="79"/>
        <v>99.999999999999517</v>
      </c>
      <c r="MG117" s="4">
        <f t="shared" si="79"/>
        <v>1.9155396806799181</v>
      </c>
      <c r="MH117" s="4">
        <f t="shared" si="79"/>
        <v>9.9089490896362697</v>
      </c>
      <c r="MI117" s="4">
        <f t="shared" si="79"/>
        <v>99.999999999999545</v>
      </c>
      <c r="MJ117" s="4">
        <f t="shared" si="79"/>
        <v>47.417742607247021</v>
      </c>
      <c r="MK117" s="4">
        <f t="shared" si="79"/>
        <v>47.417742607247021</v>
      </c>
      <c r="ML117" s="4">
        <f t="shared" si="79"/>
        <v>2.6371380205265491</v>
      </c>
      <c r="MM117" s="4">
        <f t="shared" si="79"/>
        <v>21.14355407111314</v>
      </c>
      <c r="MN117" s="4">
        <f t="shared" si="79"/>
        <v>9.9089490896363301</v>
      </c>
      <c r="MO117" s="4">
        <f t="shared" si="79"/>
        <v>3.0515977344478054</v>
      </c>
      <c r="MP117" s="4">
        <f t="shared" si="79"/>
        <v>99.999999999999488</v>
      </c>
      <c r="MQ117" s="4" t="e">
        <f t="shared" si="79"/>
        <v>#DIV/0!</v>
      </c>
      <c r="MR117" s="4">
        <f t="shared" si="79"/>
        <v>5.0644295795310548</v>
      </c>
      <c r="MS117" s="4">
        <f t="shared" si="79"/>
        <v>29.89777481829158</v>
      </c>
      <c r="MT117" s="4">
        <f t="shared" si="79"/>
        <v>99.999999999999829</v>
      </c>
      <c r="MU117" s="4">
        <f t="shared" si="79"/>
        <v>1.3000375341889243</v>
      </c>
      <c r="MV117" s="4">
        <f t="shared" si="79"/>
        <v>99.999999999999773</v>
      </c>
      <c r="MW117" s="4">
        <f t="shared" si="79"/>
        <v>15.895777735944918</v>
      </c>
      <c r="MX117" s="4">
        <f t="shared" si="79"/>
        <v>4.3659037925404665</v>
      </c>
      <c r="MY117" s="4">
        <f t="shared" si="79"/>
        <v>8.0429179740026591</v>
      </c>
      <c r="MZ117" s="4">
        <f t="shared" si="79"/>
        <v>47.417742607247092</v>
      </c>
      <c r="NA117" s="4">
        <f t="shared" si="79"/>
        <v>99.999999999999702</v>
      </c>
      <c r="NB117" s="4">
        <f t="shared" si="79"/>
        <v>99.999999999999801</v>
      </c>
      <c r="NC117" s="4">
        <f t="shared" si="79"/>
        <v>99.999999999999829</v>
      </c>
      <c r="ND117" s="4">
        <f t="shared" si="79"/>
        <v>99.999999999999844</v>
      </c>
      <c r="NE117" s="4">
        <f t="shared" si="79"/>
        <v>12.401350099153603</v>
      </c>
      <c r="NF117" s="4">
        <f t="shared" si="79"/>
        <v>47.417742607247092</v>
      </c>
      <c r="NG117" s="4">
        <f t="shared" si="79"/>
        <v>99.999999999999488</v>
      </c>
      <c r="NH117" s="4">
        <f t="shared" si="79"/>
        <v>15.895777735945114</v>
      </c>
      <c r="NI117" s="4">
        <f t="shared" si="79"/>
        <v>47.417742607247042</v>
      </c>
      <c r="NJ117" s="4">
        <f t="shared" si="79"/>
        <v>99.999999999999915</v>
      </c>
      <c r="NK117" s="4">
        <f t="shared" si="79"/>
        <v>29.897774818291637</v>
      </c>
      <c r="NL117" s="4">
        <f t="shared" si="79"/>
        <v>99.999999999999545</v>
      </c>
      <c r="NM117" s="4">
        <f t="shared" si="79"/>
        <v>28.602919253261664</v>
      </c>
      <c r="NN117" s="4">
        <f t="shared" si="79"/>
        <v>99.999999999999531</v>
      </c>
      <c r="NO117" s="4">
        <f t="shared" si="79"/>
        <v>-2.0395534607699579</v>
      </c>
      <c r="NP117" s="4">
        <f t="shared" si="79"/>
        <v>32.123240058910163</v>
      </c>
      <c r="NQ117" s="4">
        <f t="shared" si="79"/>
        <v>12.401350099153513</v>
      </c>
      <c r="NR117" s="4">
        <f t="shared" si="79"/>
        <v>-0.84915337920095268</v>
      </c>
      <c r="NS117" s="4">
        <f t="shared" si="79"/>
        <v>99.999999999999886</v>
      </c>
      <c r="NT117" s="4">
        <f t="shared" si="79"/>
        <v>47.417742607247092</v>
      </c>
      <c r="NU117" s="4">
        <f t="shared" si="79"/>
        <v>99.999999999999574</v>
      </c>
      <c r="NV117" s="4">
        <f t="shared" si="79"/>
        <v>99.999999999999829</v>
      </c>
      <c r="NW117" s="4">
        <f t="shared" ref="NW117:OQ117" si="80">KURT(NW2:NW101)</f>
        <v>47.417742607247014</v>
      </c>
      <c r="NX117" s="4">
        <f t="shared" si="80"/>
        <v>0.80200333716264893</v>
      </c>
      <c r="NY117" s="4">
        <f t="shared" si="80"/>
        <v>99.999999999999901</v>
      </c>
      <c r="NZ117" s="4">
        <f t="shared" si="80"/>
        <v>9.9089490896362964</v>
      </c>
      <c r="OA117" s="4">
        <f t="shared" si="80"/>
        <v>29.89777481829158</v>
      </c>
      <c r="OB117" s="4">
        <f t="shared" si="80"/>
        <v>3.0515977344477849</v>
      </c>
      <c r="OC117" s="4">
        <f t="shared" si="80"/>
        <v>-0.91199309832674791</v>
      </c>
      <c r="OD117" s="4">
        <f t="shared" si="80"/>
        <v>47.417742607246993</v>
      </c>
      <c r="OE117" s="4">
        <f t="shared" si="80"/>
        <v>21.143554071113041</v>
      </c>
      <c r="OF117" s="4">
        <f t="shared" si="80"/>
        <v>99.999999999999488</v>
      </c>
      <c r="OG117" s="4">
        <f t="shared" si="80"/>
        <v>3.0515977344477823</v>
      </c>
      <c r="OH117" s="4">
        <f t="shared" si="80"/>
        <v>99.999999999999844</v>
      </c>
      <c r="OI117" s="4">
        <f t="shared" si="80"/>
        <v>0.8777511507494431</v>
      </c>
      <c r="OJ117" s="4">
        <f t="shared" si="80"/>
        <v>99.999999999999631</v>
      </c>
      <c r="OK117" s="4">
        <f t="shared" si="80"/>
        <v>-1.7361926261568645</v>
      </c>
      <c r="OL117" s="4">
        <f t="shared" si="80"/>
        <v>2.6976849245428887</v>
      </c>
      <c r="OM117" s="4">
        <f t="shared" si="80"/>
        <v>47.41774260724705</v>
      </c>
      <c r="ON117" s="4">
        <f t="shared" si="80"/>
        <v>-1.9003510935022694</v>
      </c>
      <c r="OO117" s="4">
        <f t="shared" si="80"/>
        <v>47.417742607247057</v>
      </c>
      <c r="OP117" s="4">
        <f t="shared" si="80"/>
        <v>29.897774818291666</v>
      </c>
      <c r="OQ117" s="4">
        <f t="shared" si="80"/>
        <v>-1.5050622049904612</v>
      </c>
    </row>
    <row r="118" spans="1:407" x14ac:dyDescent="0.3">
      <c r="A118" s="9" t="s">
        <v>605</v>
      </c>
      <c r="B118">
        <f>SKEW(B2:B101)</f>
        <v>0.77563016730798029</v>
      </c>
      <c r="C118" s="4">
        <f t="shared" ref="C118:BN118" si="81">SKEW(C2:C101)</f>
        <v>6.9620112217373356</v>
      </c>
      <c r="D118" s="4">
        <f t="shared" si="81"/>
        <v>10.000000000000027</v>
      </c>
      <c r="E118" s="4">
        <f t="shared" si="81"/>
        <v>2.5230947077489128</v>
      </c>
      <c r="F118" s="4">
        <f t="shared" si="81"/>
        <v>2.2340451136054851</v>
      </c>
      <c r="G118" s="4">
        <f t="shared" si="81"/>
        <v>1.3021421925376797</v>
      </c>
      <c r="H118" s="4">
        <f t="shared" si="81"/>
        <v>0.29870343372510788</v>
      </c>
      <c r="I118" s="4">
        <f t="shared" si="81"/>
        <v>0.83419911724606022</v>
      </c>
      <c r="J118" s="4">
        <f t="shared" si="81"/>
        <v>2.8413499133688034</v>
      </c>
      <c r="K118" s="4">
        <f t="shared" si="81"/>
        <v>10.000000000000012</v>
      </c>
      <c r="L118" s="4">
        <f t="shared" si="81"/>
        <v>-1.0035334185061944</v>
      </c>
      <c r="M118" s="4">
        <f t="shared" si="81"/>
        <v>1.1110413566652173</v>
      </c>
      <c r="N118" s="4">
        <f t="shared" si="81"/>
        <v>1.3021421925376768</v>
      </c>
      <c r="O118" s="4">
        <f t="shared" si="81"/>
        <v>3.7621373051266653</v>
      </c>
      <c r="P118" s="4">
        <f t="shared" si="81"/>
        <v>0.12205509363491304</v>
      </c>
      <c r="Q118" s="4">
        <f t="shared" si="81"/>
        <v>-5.5946494635921313</v>
      </c>
      <c r="R118" s="4">
        <f t="shared" si="81"/>
        <v>-0.84589202891344351</v>
      </c>
      <c r="S118" s="4">
        <f t="shared" si="81"/>
        <v>2.9091319704050744</v>
      </c>
      <c r="T118" s="4">
        <f t="shared" si="81"/>
        <v>3.7621373051266778</v>
      </c>
      <c r="U118" s="4">
        <f t="shared" si="81"/>
        <v>10.000000000000037</v>
      </c>
      <c r="V118" s="4">
        <f t="shared" si="81"/>
        <v>1.4647345614514536E-16</v>
      </c>
      <c r="W118" s="4">
        <f t="shared" si="81"/>
        <v>4.7666551863935478</v>
      </c>
      <c r="X118" s="4">
        <f t="shared" si="81"/>
        <v>0.29870343372510788</v>
      </c>
      <c r="Y118" s="4">
        <f t="shared" si="81"/>
        <v>4.7666551863935434</v>
      </c>
      <c r="Z118" s="4">
        <f t="shared" si="81"/>
        <v>2.2441891092850295</v>
      </c>
      <c r="AA118" s="4">
        <f t="shared" si="81"/>
        <v>10.000000000000039</v>
      </c>
      <c r="AB118" s="4">
        <f t="shared" si="81"/>
        <v>-0.34983137779552809</v>
      </c>
      <c r="AC118" s="4">
        <f t="shared" si="81"/>
        <v>1.9903729886263772</v>
      </c>
      <c r="AD118" s="4">
        <f t="shared" si="81"/>
        <v>8.6064772132663574</v>
      </c>
      <c r="AE118" s="4">
        <f t="shared" si="81"/>
        <v>0.37157466295528219</v>
      </c>
      <c r="AF118" s="4">
        <f t="shared" si="81"/>
        <v>1.1723597237832741</v>
      </c>
      <c r="AG118" s="4">
        <f t="shared" si="81"/>
        <v>0.78354614249245436</v>
      </c>
      <c r="AH118" s="4">
        <f t="shared" si="81"/>
        <v>1.6913298621479511</v>
      </c>
      <c r="AI118" s="4">
        <f t="shared" si="81"/>
        <v>-1.0063773976581307</v>
      </c>
      <c r="AJ118" s="4">
        <f t="shared" si="81"/>
        <v>3.1736579719800435</v>
      </c>
      <c r="AK118" s="4">
        <f t="shared" si="81"/>
        <v>-1.7839059345380091</v>
      </c>
      <c r="AL118" s="4">
        <f t="shared" si="81"/>
        <v>6.9620112217372867</v>
      </c>
      <c r="AM118" s="4">
        <f t="shared" si="81"/>
        <v>1.3027947531707571</v>
      </c>
      <c r="AN118" s="4">
        <f t="shared" si="81"/>
        <v>-0.79606669384504636</v>
      </c>
      <c r="AO118" s="4">
        <f t="shared" si="81"/>
        <v>-0.63858994472306541</v>
      </c>
      <c r="AP118" s="4">
        <f t="shared" si="81"/>
        <v>1.4183827459440497</v>
      </c>
      <c r="AQ118" s="4">
        <f t="shared" si="81"/>
        <v>-0.60749639224493679</v>
      </c>
      <c r="AR118" s="4">
        <f t="shared" si="81"/>
        <v>2.1067391919833325</v>
      </c>
      <c r="AS118" s="4">
        <f t="shared" si="81"/>
        <v>2.5310153461376341</v>
      </c>
      <c r="AT118" s="4">
        <f t="shared" si="81"/>
        <v>3.1436334444974379</v>
      </c>
      <c r="AU118" s="4">
        <f t="shared" si="81"/>
        <v>6.9620112217373125</v>
      </c>
      <c r="AV118" s="4">
        <f t="shared" si="81"/>
        <v>3.506493506493515</v>
      </c>
      <c r="AW118" s="4">
        <f t="shared" si="81"/>
        <v>3.1436334444974428</v>
      </c>
      <c r="AX118" s="4">
        <f t="shared" si="81"/>
        <v>6.9620112217372982</v>
      </c>
      <c r="AY118" s="4">
        <f t="shared" si="81"/>
        <v>-0.99553187300695367</v>
      </c>
      <c r="AZ118" s="4">
        <f t="shared" si="81"/>
        <v>5.7749571578953649</v>
      </c>
      <c r="BA118" s="4">
        <f t="shared" si="81"/>
        <v>5.5946494635921118</v>
      </c>
      <c r="BB118" s="4">
        <f t="shared" si="81"/>
        <v>4.1926366483311073</v>
      </c>
      <c r="BC118" s="4">
        <f t="shared" si="81"/>
        <v>2.7074488084533943</v>
      </c>
      <c r="BD118" s="4">
        <f t="shared" si="81"/>
        <v>4.766655186393546</v>
      </c>
      <c r="BE118" s="4">
        <f t="shared" si="81"/>
        <v>4.7666551863935513</v>
      </c>
      <c r="BF118" s="4">
        <f t="shared" si="81"/>
        <v>1.7839059345380046</v>
      </c>
      <c r="BG118" s="4">
        <f t="shared" si="81"/>
        <v>1.5229399547550355</v>
      </c>
      <c r="BH118" s="4">
        <f t="shared" si="81"/>
        <v>5.5946494635921109</v>
      </c>
      <c r="BI118" s="4">
        <f t="shared" si="81"/>
        <v>10.000000000000032</v>
      </c>
      <c r="BJ118" s="4">
        <f t="shared" si="81"/>
        <v>5.5946494635921145</v>
      </c>
      <c r="BK118" s="4">
        <f t="shared" si="81"/>
        <v>10.000000000000012</v>
      </c>
      <c r="BL118" s="4">
        <f t="shared" si="81"/>
        <v>1.9903729886263744</v>
      </c>
      <c r="BM118" s="4">
        <f t="shared" si="81"/>
        <v>10.00000000000003</v>
      </c>
      <c r="BN118" s="4">
        <f t="shared" si="81"/>
        <v>1.9903729886263817</v>
      </c>
      <c r="BO118" s="4">
        <f t="shared" ref="BO118:DZ118" si="82">SKEW(BO2:BO101)</f>
        <v>2.5310153461376332</v>
      </c>
      <c r="BP118" s="4">
        <f t="shared" si="82"/>
        <v>4.1926366483310975</v>
      </c>
      <c r="BQ118" s="4">
        <f t="shared" si="82"/>
        <v>10.000000000000037</v>
      </c>
      <c r="BR118" s="4">
        <f t="shared" si="82"/>
        <v>6.9620112217373054</v>
      </c>
      <c r="BS118" s="4">
        <f t="shared" si="82"/>
        <v>10.000000000000028</v>
      </c>
      <c r="BT118" s="4">
        <f t="shared" si="82"/>
        <v>6.9620112217372938</v>
      </c>
      <c r="BU118" s="4">
        <f t="shared" si="82"/>
        <v>10.000000000000004</v>
      </c>
      <c r="BV118" s="4">
        <f t="shared" si="82"/>
        <v>10.000000000000018</v>
      </c>
      <c r="BW118" s="4">
        <f t="shared" si="82"/>
        <v>10.000000000000021</v>
      </c>
      <c r="BX118" s="4">
        <f t="shared" si="82"/>
        <v>6.9620112217372938</v>
      </c>
      <c r="BY118" s="4">
        <f t="shared" si="82"/>
        <v>2.0785286228233959</v>
      </c>
      <c r="BZ118" s="4">
        <f t="shared" si="82"/>
        <v>6.9620112217372938</v>
      </c>
      <c r="CA118" s="4">
        <f t="shared" si="82"/>
        <v>10.000000000000002</v>
      </c>
      <c r="CB118" s="4">
        <f t="shared" si="82"/>
        <v>4.1926366483311224</v>
      </c>
      <c r="CC118" s="4">
        <f t="shared" si="82"/>
        <v>0.59225442684917862</v>
      </c>
      <c r="CD118" s="4">
        <f t="shared" si="82"/>
        <v>10.000000000000032</v>
      </c>
      <c r="CE118" s="4">
        <f t="shared" si="82"/>
        <v>5.5946494635921074</v>
      </c>
      <c r="CF118" s="4">
        <f t="shared" si="82"/>
        <v>1.3496285987148136</v>
      </c>
      <c r="CG118" s="4">
        <f t="shared" si="82"/>
        <v>10.000000000000004</v>
      </c>
      <c r="CH118" s="4">
        <f t="shared" si="82"/>
        <v>10.000000000000004</v>
      </c>
      <c r="CI118" s="4">
        <f t="shared" si="82"/>
        <v>4.7666551863935451</v>
      </c>
      <c r="CJ118" s="4">
        <f t="shared" si="82"/>
        <v>3.1436334444974348</v>
      </c>
      <c r="CK118" s="4">
        <f t="shared" si="82"/>
        <v>3.1436334444974388</v>
      </c>
      <c r="CL118" s="4">
        <f t="shared" si="82"/>
        <v>10.000000000000028</v>
      </c>
      <c r="CM118" s="4">
        <f t="shared" si="82"/>
        <v>1.0768811693472158</v>
      </c>
      <c r="CN118" s="4">
        <f t="shared" si="82"/>
        <v>4.7666551863935496</v>
      </c>
      <c r="CO118" s="4">
        <f t="shared" si="82"/>
        <v>7.5047801567442525</v>
      </c>
      <c r="CP118" s="4">
        <f t="shared" si="82"/>
        <v>3.4221534427375762</v>
      </c>
      <c r="CQ118" s="4">
        <f t="shared" si="82"/>
        <v>3.4221534427375797</v>
      </c>
      <c r="CR118" s="4">
        <f t="shared" si="82"/>
        <v>6.9620112217373213</v>
      </c>
      <c r="CS118" s="4">
        <f t="shared" si="82"/>
        <v>6.9620112217373249</v>
      </c>
      <c r="CT118" s="4">
        <f t="shared" si="82"/>
        <v>10.000000000000025</v>
      </c>
      <c r="CU118" s="4">
        <f t="shared" si="82"/>
        <v>2.9091319704050744</v>
      </c>
      <c r="CV118" s="4">
        <f t="shared" si="82"/>
        <v>5.5946494635921376</v>
      </c>
      <c r="CW118" s="4">
        <f t="shared" si="82"/>
        <v>6.9620112217373205</v>
      </c>
      <c r="CX118" s="4">
        <f t="shared" si="82"/>
        <v>10.000000000000018</v>
      </c>
      <c r="CY118" s="4">
        <f t="shared" si="82"/>
        <v>6.6852682967545727</v>
      </c>
      <c r="CZ118" s="4">
        <f t="shared" si="82"/>
        <v>6.9620112217372885</v>
      </c>
      <c r="DA118" s="4">
        <f t="shared" si="82"/>
        <v>4.7666551863935451</v>
      </c>
      <c r="DB118" s="4">
        <f t="shared" si="82"/>
        <v>4.7666551863935522</v>
      </c>
      <c r="DC118" s="4">
        <f t="shared" si="82"/>
        <v>2.1067391919833338</v>
      </c>
      <c r="DD118" s="4">
        <f t="shared" si="82"/>
        <v>5.5946494635921109</v>
      </c>
      <c r="DE118" s="4">
        <f t="shared" si="82"/>
        <v>7.9837991506352495</v>
      </c>
      <c r="DF118" s="4">
        <f t="shared" si="82"/>
        <v>3.7621373051266551</v>
      </c>
      <c r="DG118" s="4">
        <f t="shared" si="82"/>
        <v>10.000000000000028</v>
      </c>
      <c r="DH118" s="4">
        <f t="shared" si="82"/>
        <v>-0.77179133729568539</v>
      </c>
      <c r="DI118" s="4">
        <f t="shared" si="82"/>
        <v>3.7621373051266778</v>
      </c>
      <c r="DJ118" s="4">
        <f t="shared" si="82"/>
        <v>6.9620112217373427</v>
      </c>
      <c r="DK118" s="4">
        <f t="shared" si="82"/>
        <v>4.1926366483311055</v>
      </c>
      <c r="DL118" s="4">
        <f t="shared" si="82"/>
        <v>4.1926366483311126</v>
      </c>
      <c r="DM118" s="4">
        <f t="shared" si="82"/>
        <v>6.9620112217373054</v>
      </c>
      <c r="DN118" s="4">
        <f t="shared" si="82"/>
        <v>10.000000000000012</v>
      </c>
      <c r="DO118" s="4">
        <f t="shared" si="82"/>
        <v>10.000000000000002</v>
      </c>
      <c r="DP118" s="4">
        <f t="shared" si="82"/>
        <v>10.000000000000012</v>
      </c>
      <c r="DQ118" s="4">
        <f t="shared" si="82"/>
        <v>3.7621373051266671</v>
      </c>
      <c r="DR118" s="4">
        <f t="shared" si="82"/>
        <v>1.561012474953966</v>
      </c>
      <c r="DS118" s="4">
        <f t="shared" si="82"/>
        <v>6.9620112217373089</v>
      </c>
      <c r="DT118" s="4">
        <f t="shared" si="82"/>
        <v>7.9837991506351775</v>
      </c>
      <c r="DU118" s="4">
        <f t="shared" si="82"/>
        <v>5.5946494635921145</v>
      </c>
      <c r="DV118" s="4">
        <f t="shared" si="82"/>
        <v>7.9837991506351775</v>
      </c>
      <c r="DW118" s="4">
        <f t="shared" si="82"/>
        <v>10.000000000000012</v>
      </c>
      <c r="DX118" s="4">
        <f t="shared" si="82"/>
        <v>10.000000000000041</v>
      </c>
      <c r="DY118" s="4">
        <f t="shared" si="82"/>
        <v>10.000000000000041</v>
      </c>
      <c r="DZ118" s="4">
        <f t="shared" si="82"/>
        <v>10.000000000000039</v>
      </c>
      <c r="EA118" s="4">
        <f t="shared" ref="EA118:GL118" si="83">SKEW(EA2:EA101)</f>
        <v>4.7666551863935469</v>
      </c>
      <c r="EB118" s="4">
        <f t="shared" si="83"/>
        <v>2.1067391919833289</v>
      </c>
      <c r="EC118" s="4">
        <f t="shared" si="83"/>
        <v>6.9620112217373329</v>
      </c>
      <c r="ED118" s="4">
        <f t="shared" si="83"/>
        <v>2.0163175216096887</v>
      </c>
      <c r="EE118" s="4">
        <f t="shared" si="83"/>
        <v>3.4221534427375833</v>
      </c>
      <c r="EF118" s="4">
        <f t="shared" si="83"/>
        <v>4.7666551863935513</v>
      </c>
      <c r="EG118" s="4">
        <f t="shared" si="83"/>
        <v>6.9620112217373027</v>
      </c>
      <c r="EH118" s="4">
        <f t="shared" si="83"/>
        <v>0.54675622058489548</v>
      </c>
      <c r="EI118" s="4">
        <f t="shared" si="83"/>
        <v>9.9999999999999964</v>
      </c>
      <c r="EJ118" s="4">
        <f t="shared" si="83"/>
        <v>6.9620112217373071</v>
      </c>
      <c r="EK118" s="4">
        <f t="shared" si="83"/>
        <v>5.5946494635921331</v>
      </c>
      <c r="EL118" s="4">
        <f t="shared" si="83"/>
        <v>10.000000000000005</v>
      </c>
      <c r="EM118" s="4">
        <f t="shared" si="83"/>
        <v>5.5946494635921376</v>
      </c>
      <c r="EN118" s="4">
        <f t="shared" si="83"/>
        <v>6.9620112217373054</v>
      </c>
      <c r="EO118" s="4">
        <f t="shared" si="83"/>
        <v>6.96201122173734</v>
      </c>
      <c r="EP118" s="4">
        <f t="shared" si="83"/>
        <v>6.9620112217373098</v>
      </c>
      <c r="EQ118" s="4">
        <f t="shared" si="83"/>
        <v>6.9620112217372876</v>
      </c>
      <c r="ER118" s="4">
        <f t="shared" si="83"/>
        <v>10.000000000000027</v>
      </c>
      <c r="ES118" s="4">
        <f t="shared" si="83"/>
        <v>10.000000000000014</v>
      </c>
      <c r="ET118" s="4">
        <f t="shared" si="83"/>
        <v>10.000000000000012</v>
      </c>
      <c r="EU118" s="4">
        <f t="shared" si="83"/>
        <v>10.000000000000012</v>
      </c>
      <c r="EV118" s="4">
        <f t="shared" si="83"/>
        <v>-0.65321617504979246</v>
      </c>
      <c r="EW118" s="4">
        <f t="shared" si="83"/>
        <v>5.5946494635921482</v>
      </c>
      <c r="EX118" s="4">
        <f t="shared" si="83"/>
        <v>10.000000000000028</v>
      </c>
      <c r="EY118" s="4">
        <f t="shared" si="83"/>
        <v>3.7621373051266671</v>
      </c>
      <c r="EZ118" s="4">
        <f t="shared" si="83"/>
        <v>1.6913298621479544</v>
      </c>
      <c r="FA118" s="4">
        <f t="shared" si="83"/>
        <v>0.84914550428340452</v>
      </c>
      <c r="FB118" s="4">
        <f t="shared" si="83"/>
        <v>6.9620112217373027</v>
      </c>
      <c r="FC118" s="4">
        <f t="shared" si="83"/>
        <v>5.5946494635921331</v>
      </c>
      <c r="FD118" s="4">
        <f t="shared" si="83"/>
        <v>5.5946494635921349</v>
      </c>
      <c r="FE118" s="4">
        <f t="shared" si="83"/>
        <v>1.9414717169781948</v>
      </c>
      <c r="FF118" s="4">
        <f t="shared" si="83"/>
        <v>2.2340451136054815</v>
      </c>
      <c r="FG118" s="4">
        <f t="shared" si="83"/>
        <v>1.6913298621479564</v>
      </c>
      <c r="FH118" s="4">
        <f t="shared" si="83"/>
        <v>-1.6663374398748376</v>
      </c>
      <c r="FI118" s="4">
        <f t="shared" si="83"/>
        <v>0.37157466295528219</v>
      </c>
      <c r="FJ118" s="4">
        <f t="shared" si="83"/>
        <v>3.7621373051266569</v>
      </c>
      <c r="FK118" s="4">
        <f t="shared" si="83"/>
        <v>6.9620112217373382</v>
      </c>
      <c r="FL118" s="4">
        <f t="shared" si="83"/>
        <v>6.9620112217372867</v>
      </c>
      <c r="FM118" s="4">
        <f t="shared" si="83"/>
        <v>10.000000000000012</v>
      </c>
      <c r="FN118" s="4">
        <f t="shared" si="83"/>
        <v>6.9620112217372956</v>
      </c>
      <c r="FO118" s="4">
        <f t="shared" si="83"/>
        <v>2.3745053629020578</v>
      </c>
      <c r="FP118" s="4">
        <f t="shared" si="83"/>
        <v>6.9620112217373364</v>
      </c>
      <c r="FQ118" s="4">
        <f t="shared" si="83"/>
        <v>6.9620112217373329</v>
      </c>
      <c r="FR118" s="4">
        <f t="shared" si="83"/>
        <v>10.000000000000004</v>
      </c>
      <c r="FS118" s="4" t="s">
        <v>610</v>
      </c>
      <c r="FT118" s="4">
        <f t="shared" si="83"/>
        <v>10.000000000000041</v>
      </c>
      <c r="FU118" s="4">
        <f t="shared" si="83"/>
        <v>2.4098690292692599</v>
      </c>
      <c r="FV118" s="4">
        <f t="shared" si="83"/>
        <v>-0.65321617504979224</v>
      </c>
      <c r="FW118" s="4">
        <f t="shared" si="83"/>
        <v>3.143633444497437</v>
      </c>
      <c r="FX118" s="4">
        <f t="shared" si="83"/>
        <v>6.9620112217372885</v>
      </c>
      <c r="FY118" s="4">
        <f t="shared" si="83"/>
        <v>10.000000000000025</v>
      </c>
      <c r="FZ118" s="4">
        <f t="shared" si="83"/>
        <v>6.9620112217373071</v>
      </c>
      <c r="GA118" s="4">
        <f t="shared" si="83"/>
        <v>10.000000000000039</v>
      </c>
      <c r="GB118" s="4">
        <f t="shared" si="83"/>
        <v>5.5946494635921029</v>
      </c>
      <c r="GC118" s="4">
        <f t="shared" si="83"/>
        <v>3.8003863657521442</v>
      </c>
      <c r="GD118" s="4">
        <f t="shared" si="83"/>
        <v>10.000000000000004</v>
      </c>
      <c r="GE118" s="4">
        <f t="shared" si="83"/>
        <v>2.3745053629020529</v>
      </c>
      <c r="GF118" s="4">
        <f t="shared" si="83"/>
        <v>10.000000000000018</v>
      </c>
      <c r="GG118" s="4">
        <f t="shared" si="83"/>
        <v>3.7621373051266622</v>
      </c>
      <c r="GH118" s="4">
        <f t="shared" si="83"/>
        <v>1.5229399547550309</v>
      </c>
      <c r="GI118" s="4">
        <f t="shared" si="83"/>
        <v>1.1110413566652169</v>
      </c>
      <c r="GJ118" s="4">
        <f t="shared" si="83"/>
        <v>4.571772360513739</v>
      </c>
      <c r="GK118" s="4">
        <f t="shared" si="83"/>
        <v>4.7666551863935505</v>
      </c>
      <c r="GL118" s="4">
        <f t="shared" si="83"/>
        <v>10.000000000000012</v>
      </c>
      <c r="GM118" s="4">
        <f t="shared" ref="GM118:IW118" si="84">SKEW(GM2:GM101)</f>
        <v>4.7666551863935478</v>
      </c>
      <c r="GN118" s="4">
        <f t="shared" si="84"/>
        <v>-0.4341229878045923</v>
      </c>
      <c r="GO118" s="4">
        <f t="shared" si="84"/>
        <v>10.000000000000037</v>
      </c>
      <c r="GP118" s="4">
        <f t="shared" si="84"/>
        <v>3.8003863657521442</v>
      </c>
      <c r="GQ118" s="4">
        <f t="shared" si="84"/>
        <v>6.9620112217373284</v>
      </c>
      <c r="GR118" s="4">
        <f t="shared" si="84"/>
        <v>-2.5310153461376377</v>
      </c>
      <c r="GS118" s="4">
        <f t="shared" si="84"/>
        <v>3.4221534427375722</v>
      </c>
      <c r="GT118" s="4">
        <f t="shared" si="84"/>
        <v>4.1926366483311188</v>
      </c>
      <c r="GU118" s="4">
        <f t="shared" si="84"/>
        <v>4.1926366483311188</v>
      </c>
      <c r="GV118" s="4">
        <f t="shared" si="84"/>
        <v>1.1011006937462942</v>
      </c>
      <c r="GW118" s="4">
        <f t="shared" si="84"/>
        <v>4.7666551863935478</v>
      </c>
      <c r="GX118" s="4" t="s">
        <v>610</v>
      </c>
      <c r="GY118" s="4">
        <f t="shared" si="84"/>
        <v>6.9620112217373453</v>
      </c>
      <c r="GZ118" s="4">
        <f t="shared" si="84"/>
        <v>0.63858994472306663</v>
      </c>
      <c r="HA118" s="4">
        <f t="shared" si="84"/>
        <v>10.000000000000028</v>
      </c>
      <c r="HB118" s="4">
        <f t="shared" si="84"/>
        <v>3.3875744345058747</v>
      </c>
      <c r="HC118" s="4">
        <f t="shared" si="84"/>
        <v>10.000000000000002</v>
      </c>
      <c r="HD118" s="4">
        <f t="shared" si="84"/>
        <v>6.9620112217372938</v>
      </c>
      <c r="HE118" s="4">
        <f t="shared" si="84"/>
        <v>2.9091319704050744</v>
      </c>
      <c r="HF118" s="4">
        <f t="shared" si="84"/>
        <v>1.6045893345464792</v>
      </c>
      <c r="HG118" s="4">
        <f t="shared" si="84"/>
        <v>6.96201122173734</v>
      </c>
      <c r="HH118" s="4">
        <f t="shared" si="84"/>
        <v>10.000000000000002</v>
      </c>
      <c r="HI118" s="4">
        <f t="shared" si="84"/>
        <v>2.7074488084533943</v>
      </c>
      <c r="HJ118" s="4">
        <f t="shared" si="84"/>
        <v>10.000000000000039</v>
      </c>
      <c r="HK118" s="4">
        <f t="shared" si="84"/>
        <v>3.4221534427375819</v>
      </c>
      <c r="HL118" s="4">
        <f t="shared" si="84"/>
        <v>3.4221534427375819</v>
      </c>
      <c r="HM118" s="4">
        <f t="shared" si="84"/>
        <v>5.5946494635920976</v>
      </c>
      <c r="HN118" s="4">
        <f t="shared" si="84"/>
        <v>10.000000000000041</v>
      </c>
      <c r="HO118" s="4">
        <f t="shared" si="84"/>
        <v>4.1926366483310904</v>
      </c>
      <c r="HP118" s="4">
        <f t="shared" si="84"/>
        <v>3.4221534427375748</v>
      </c>
      <c r="HQ118" s="4">
        <f t="shared" si="84"/>
        <v>6.9620112217372885</v>
      </c>
      <c r="HR118" s="4">
        <f t="shared" si="84"/>
        <v>3.8003863657521628</v>
      </c>
      <c r="HS118" s="4">
        <f t="shared" si="84"/>
        <v>4.7666551863935487</v>
      </c>
      <c r="HT118" s="4">
        <f t="shared" si="84"/>
        <v>5.5946494635921349</v>
      </c>
      <c r="HU118" s="4">
        <f t="shared" si="84"/>
        <v>-1.3027947531707562</v>
      </c>
      <c r="HV118" s="4">
        <f t="shared" si="84"/>
        <v>-8.1288521103642167E-2</v>
      </c>
      <c r="HW118" s="4">
        <f t="shared" si="84"/>
        <v>1.4457603903328617</v>
      </c>
      <c r="HX118" s="4">
        <f t="shared" si="84"/>
        <v>10.000000000000012</v>
      </c>
      <c r="HY118" s="4">
        <f t="shared" si="84"/>
        <v>1.8832188820021909</v>
      </c>
      <c r="HZ118" s="4">
        <f t="shared" si="84"/>
        <v>5.5946494635921296</v>
      </c>
      <c r="IA118" s="4">
        <f t="shared" si="84"/>
        <v>10.000000000000012</v>
      </c>
      <c r="IB118" s="4">
        <f t="shared" si="84"/>
        <v>10.000000000000012</v>
      </c>
      <c r="IC118" s="4">
        <f t="shared" si="84"/>
        <v>0.78354614249245436</v>
      </c>
      <c r="ID118" s="4">
        <f t="shared" si="84"/>
        <v>4.1926366483311135</v>
      </c>
      <c r="IE118" s="4">
        <f t="shared" si="84"/>
        <v>10.000000000000041</v>
      </c>
      <c r="IF118" s="4">
        <f t="shared" si="84"/>
        <v>2.9091319704050731</v>
      </c>
      <c r="IG118" s="4">
        <f t="shared" si="84"/>
        <v>10.000000000000041</v>
      </c>
      <c r="IH118" s="4">
        <f t="shared" si="84"/>
        <v>1.6913298621479513</v>
      </c>
      <c r="II118" s="4">
        <f t="shared" si="84"/>
        <v>10.000000000000004</v>
      </c>
      <c r="IJ118" s="4">
        <f t="shared" si="84"/>
        <v>3.1436334444974352</v>
      </c>
      <c r="IK118" s="4">
        <f t="shared" si="84"/>
        <v>2.5310153461376341</v>
      </c>
      <c r="IL118" s="4">
        <f t="shared" si="84"/>
        <v>6.9620112217373009</v>
      </c>
      <c r="IM118" s="4">
        <f t="shared" si="84"/>
        <v>0.9397506584812616</v>
      </c>
      <c r="IN118" s="4">
        <f t="shared" si="84"/>
        <v>6.9620112217372947</v>
      </c>
      <c r="IO118" s="4">
        <f t="shared" si="84"/>
        <v>10.000000000000041</v>
      </c>
      <c r="IP118" s="4">
        <f t="shared" si="84"/>
        <v>1.1011006937462939</v>
      </c>
      <c r="IQ118" s="4">
        <f t="shared" si="84"/>
        <v>-0.1629692672458552</v>
      </c>
      <c r="IR118" s="4">
        <f t="shared" si="84"/>
        <v>10.000000000000002</v>
      </c>
      <c r="IS118" s="4">
        <f t="shared" si="84"/>
        <v>3.0348800153305211</v>
      </c>
      <c r="IT118" s="4">
        <f t="shared" si="84"/>
        <v>10.000000000000041</v>
      </c>
      <c r="IU118" s="4">
        <f t="shared" si="84"/>
        <v>5.5946494635921216</v>
      </c>
      <c r="IV118" s="4">
        <f t="shared" si="84"/>
        <v>10.000000000000039</v>
      </c>
      <c r="IW118" s="4">
        <f t="shared" si="84"/>
        <v>10.000000000000012</v>
      </c>
      <c r="IX118" s="4" t="s">
        <v>610</v>
      </c>
      <c r="IY118" s="4">
        <f t="shared" ref="IY118:LJ118" si="85">SKEW(IY2:IY101)</f>
        <v>4.7666551863935478</v>
      </c>
      <c r="IZ118" s="4">
        <f t="shared" si="85"/>
        <v>10.000000000000039</v>
      </c>
      <c r="JA118" s="4">
        <f t="shared" si="85"/>
        <v>6.962011221737324</v>
      </c>
      <c r="JB118" s="4">
        <f t="shared" si="85"/>
        <v>2.1794542492689342</v>
      </c>
      <c r="JC118" s="4">
        <f t="shared" si="85"/>
        <v>4.1926366483311046</v>
      </c>
      <c r="JD118" s="4">
        <f t="shared" si="85"/>
        <v>4.7666551863935513</v>
      </c>
      <c r="JE118" s="4">
        <f t="shared" si="85"/>
        <v>10.000000000000039</v>
      </c>
      <c r="JF118" s="4">
        <f t="shared" si="85"/>
        <v>5.5946494635921269</v>
      </c>
      <c r="JG118" s="4">
        <f t="shared" si="85"/>
        <v>10.000000000000016</v>
      </c>
      <c r="JH118" s="4">
        <f t="shared" si="85"/>
        <v>6.9620112217373267</v>
      </c>
      <c r="JI118" s="4">
        <f t="shared" si="85"/>
        <v>-1.1110413566652135</v>
      </c>
      <c r="JJ118" s="4">
        <f t="shared" si="85"/>
        <v>0.8843537414965984</v>
      </c>
      <c r="JK118" s="4">
        <f t="shared" si="85"/>
        <v>10.000000000000004</v>
      </c>
      <c r="JL118" s="4">
        <f t="shared" si="85"/>
        <v>1.372527032615025</v>
      </c>
      <c r="JM118" s="4">
        <f t="shared" si="85"/>
        <v>10.000000000000002</v>
      </c>
      <c r="JN118" s="4">
        <f t="shared" si="85"/>
        <v>4.1926366483311117</v>
      </c>
      <c r="JO118" s="4">
        <f t="shared" si="85"/>
        <v>10.000000000000025</v>
      </c>
      <c r="JP118" s="4">
        <f t="shared" si="85"/>
        <v>8.530649295068347</v>
      </c>
      <c r="JQ118" s="4">
        <f t="shared" si="85"/>
        <v>2.7074488084533916</v>
      </c>
      <c r="JR118" s="4">
        <f t="shared" si="85"/>
        <v>10.000000000000012</v>
      </c>
      <c r="JS118" s="4">
        <f t="shared" si="85"/>
        <v>1.8832188820021893</v>
      </c>
      <c r="JT118" s="4">
        <f t="shared" si="85"/>
        <v>6.9620112217373027</v>
      </c>
      <c r="JU118" s="4">
        <f t="shared" si="85"/>
        <v>0.50201318100802139</v>
      </c>
      <c r="JV118" s="4">
        <f t="shared" si="85"/>
        <v>4.7666551863935496</v>
      </c>
      <c r="JW118" s="4">
        <f t="shared" si="85"/>
        <v>-0.54675622058489515</v>
      </c>
      <c r="JX118" s="4">
        <f t="shared" si="85"/>
        <v>2.3745053629020481</v>
      </c>
      <c r="JY118" s="4">
        <f t="shared" si="85"/>
        <v>3.1436334444974401</v>
      </c>
      <c r="JZ118" s="4">
        <f t="shared" si="85"/>
        <v>4.7666551863935469</v>
      </c>
      <c r="KA118" s="4">
        <f t="shared" si="85"/>
        <v>10.000000000000002</v>
      </c>
      <c r="KB118" s="4">
        <f t="shared" si="85"/>
        <v>10.000000000000002</v>
      </c>
      <c r="KC118" s="4">
        <f t="shared" si="85"/>
        <v>10.000000000000018</v>
      </c>
      <c r="KD118" s="4">
        <f t="shared" si="85"/>
        <v>3.7621373051266702</v>
      </c>
      <c r="KE118" s="4">
        <f t="shared" si="85"/>
        <v>10.000000000000041</v>
      </c>
      <c r="KF118" s="4">
        <f t="shared" si="85"/>
        <v>6.9620112217373213</v>
      </c>
      <c r="KG118" s="4">
        <f t="shared" si="85"/>
        <v>10.000000000000012</v>
      </c>
      <c r="KH118" s="4">
        <f t="shared" si="85"/>
        <v>2.5310153461376332</v>
      </c>
      <c r="KI118" s="4">
        <f t="shared" si="85"/>
        <v>4.1926366483311082</v>
      </c>
      <c r="KJ118" s="4">
        <f t="shared" si="85"/>
        <v>5.5946494635921331</v>
      </c>
      <c r="KK118" s="4">
        <f t="shared" si="85"/>
        <v>2.3375077216350801</v>
      </c>
      <c r="KL118" s="4">
        <f t="shared" si="85"/>
        <v>2.6688573139554563</v>
      </c>
      <c r="KM118" s="4">
        <f t="shared" si="85"/>
        <v>-0.65321617504979268</v>
      </c>
      <c r="KN118" s="4">
        <f t="shared" si="85"/>
        <v>2.5310153461376341</v>
      </c>
      <c r="KO118" s="4">
        <f t="shared" si="85"/>
        <v>10.000000000000039</v>
      </c>
      <c r="KP118" s="4">
        <f t="shared" si="85"/>
        <v>6.9620112217373054</v>
      </c>
      <c r="KQ118" s="4">
        <f t="shared" si="85"/>
        <v>0.9507668552745645</v>
      </c>
      <c r="KR118" s="4">
        <f t="shared" si="85"/>
        <v>3.7621373051266662</v>
      </c>
      <c r="KS118" s="4">
        <f t="shared" si="85"/>
        <v>10.000000000000018</v>
      </c>
      <c r="KT118" s="4">
        <f t="shared" si="85"/>
        <v>1.6045893345464766</v>
      </c>
      <c r="KU118" s="4">
        <f t="shared" si="85"/>
        <v>5.5264752729578612</v>
      </c>
      <c r="KV118" s="4">
        <f t="shared" si="85"/>
        <v>10.000000000000002</v>
      </c>
      <c r="KW118" s="4">
        <f t="shared" si="85"/>
        <v>6.9620112217373311</v>
      </c>
      <c r="KX118" s="4">
        <f t="shared" si="85"/>
        <v>0.87002935662499115</v>
      </c>
      <c r="KY118" s="4">
        <f t="shared" si="85"/>
        <v>10.000000000000002</v>
      </c>
      <c r="KZ118" s="4">
        <f t="shared" si="85"/>
        <v>10.000000000000016</v>
      </c>
      <c r="LA118" s="4">
        <f t="shared" si="85"/>
        <v>4.192636648331117</v>
      </c>
      <c r="LB118" s="4">
        <f t="shared" si="85"/>
        <v>5.5946494635921376</v>
      </c>
      <c r="LC118" s="4">
        <f t="shared" si="85"/>
        <v>6.9620112217372938</v>
      </c>
      <c r="LD118" s="4">
        <f t="shared" si="85"/>
        <v>4.7666551863935513</v>
      </c>
      <c r="LE118" s="4">
        <f t="shared" si="85"/>
        <v>5.5946494635921269</v>
      </c>
      <c r="LF118" s="4">
        <f t="shared" si="85"/>
        <v>6.9620112217373435</v>
      </c>
      <c r="LG118" s="4">
        <f t="shared" si="85"/>
        <v>3.5064935064935119</v>
      </c>
      <c r="LH118" s="4">
        <f t="shared" si="85"/>
        <v>10.000000000000028</v>
      </c>
      <c r="LI118" s="4" t="s">
        <v>610</v>
      </c>
      <c r="LJ118" s="4">
        <f t="shared" si="85"/>
        <v>2.0180329942000359</v>
      </c>
      <c r="LK118" s="4">
        <f t="shared" ref="LK118:NV118" si="86">SKEW(LK2:LK101)</f>
        <v>3.1436334444974401</v>
      </c>
      <c r="LL118" s="4">
        <f t="shared" si="86"/>
        <v>4.7666551863935478</v>
      </c>
      <c r="LM118" s="4">
        <f t="shared" si="86"/>
        <v>9.9999999999999964</v>
      </c>
      <c r="LN118" s="4">
        <f t="shared" si="86"/>
        <v>6.96201122173734</v>
      </c>
      <c r="LO118" s="4">
        <f t="shared" si="86"/>
        <v>7.3847846503975578</v>
      </c>
      <c r="LP118" s="4">
        <f t="shared" si="86"/>
        <v>10.000000000000018</v>
      </c>
      <c r="LQ118" s="4">
        <f t="shared" si="86"/>
        <v>0.37157466295528219</v>
      </c>
      <c r="LR118" s="4">
        <f t="shared" si="86"/>
        <v>6.9620112217372867</v>
      </c>
      <c r="LS118" s="4">
        <f t="shared" si="86"/>
        <v>4.766655186393546</v>
      </c>
      <c r="LT118" s="4">
        <f t="shared" si="86"/>
        <v>5.5946494635921367</v>
      </c>
      <c r="LU118" s="4" t="s">
        <v>610</v>
      </c>
      <c r="LV118" s="4">
        <f t="shared" si="86"/>
        <v>4.7666551863935513</v>
      </c>
      <c r="LW118" s="4">
        <f t="shared" si="86"/>
        <v>6.962011221737324</v>
      </c>
      <c r="LX118" s="4">
        <f t="shared" si="86"/>
        <v>0.24544399767467479</v>
      </c>
      <c r="LY118" s="4">
        <f t="shared" si="86"/>
        <v>2.9091319704050727</v>
      </c>
      <c r="LZ118" s="4">
        <f t="shared" si="86"/>
        <v>6.9620112217373071</v>
      </c>
      <c r="MA118" s="4">
        <f t="shared" si="86"/>
        <v>1.8832188820021911</v>
      </c>
      <c r="MB118" s="4">
        <f t="shared" si="86"/>
        <v>4.1926366483310797</v>
      </c>
      <c r="MC118" s="4">
        <f t="shared" si="86"/>
        <v>2.2340451136054815</v>
      </c>
      <c r="MD118" s="4">
        <f t="shared" si="86"/>
        <v>10.000000000000025</v>
      </c>
      <c r="ME118" s="4">
        <f t="shared" si="86"/>
        <v>8.1288521103641889E-2</v>
      </c>
      <c r="MF118" s="4">
        <f t="shared" si="86"/>
        <v>10.000000000000039</v>
      </c>
      <c r="MG118" s="4">
        <f t="shared" si="86"/>
        <v>1.0451147982212698</v>
      </c>
      <c r="MH118" s="4">
        <f t="shared" si="86"/>
        <v>3.4221534427375762</v>
      </c>
      <c r="MI118" s="4">
        <f t="shared" si="86"/>
        <v>10.000000000000039</v>
      </c>
      <c r="MJ118" s="4">
        <f t="shared" si="86"/>
        <v>6.9620112217372867</v>
      </c>
      <c r="MK118" s="4">
        <f t="shared" si="86"/>
        <v>6.9620112217372867</v>
      </c>
      <c r="ML118" s="4">
        <f t="shared" si="86"/>
        <v>1.4247568681026372</v>
      </c>
      <c r="MM118" s="4">
        <f t="shared" si="86"/>
        <v>4.7666551863935496</v>
      </c>
      <c r="MN118" s="4">
        <f t="shared" si="86"/>
        <v>-3.4221534427375948</v>
      </c>
      <c r="MO118" s="4">
        <f t="shared" si="86"/>
        <v>2.2340451136054855</v>
      </c>
      <c r="MP118" s="4">
        <f t="shared" si="86"/>
        <v>10.000000000000041</v>
      </c>
      <c r="MQ118" s="4" t="e">
        <f t="shared" si="86"/>
        <v>#DIV/0!</v>
      </c>
      <c r="MR118" s="4">
        <f t="shared" si="86"/>
        <v>2.3728610413294051</v>
      </c>
      <c r="MS118" s="4">
        <f t="shared" si="86"/>
        <v>5.5946494635921029</v>
      </c>
      <c r="MT118" s="4">
        <f t="shared" si="86"/>
        <v>10.000000000000005</v>
      </c>
      <c r="MU118" s="4">
        <f t="shared" si="86"/>
        <v>-0.77844685659209112</v>
      </c>
      <c r="MV118" s="4">
        <f t="shared" si="86"/>
        <v>10.000000000000016</v>
      </c>
      <c r="MW118" s="4">
        <f t="shared" si="86"/>
        <v>4.1926366483310842</v>
      </c>
      <c r="MX118" s="4">
        <f t="shared" si="86"/>
        <v>2.2441891092850299</v>
      </c>
      <c r="MY118" s="4">
        <f t="shared" si="86"/>
        <v>3.1436334444974348</v>
      </c>
      <c r="MZ118" s="4">
        <f t="shared" si="86"/>
        <v>6.9620112217373205</v>
      </c>
      <c r="NA118" s="4">
        <f t="shared" si="86"/>
        <v>10.000000000000018</v>
      </c>
      <c r="NB118" s="4">
        <f t="shared" si="86"/>
        <v>10.000000000000005</v>
      </c>
      <c r="NC118" s="4">
        <f t="shared" si="86"/>
        <v>10.000000000000014</v>
      </c>
      <c r="ND118" s="4">
        <f t="shared" si="86"/>
        <v>10.000000000000014</v>
      </c>
      <c r="NE118" s="4">
        <f t="shared" si="86"/>
        <v>3.7621373051266698</v>
      </c>
      <c r="NF118" s="4">
        <f t="shared" si="86"/>
        <v>6.9620112217373435</v>
      </c>
      <c r="NG118" s="4">
        <f t="shared" si="86"/>
        <v>10.000000000000041</v>
      </c>
      <c r="NH118" s="4">
        <f t="shared" si="86"/>
        <v>4.1926366483311046</v>
      </c>
      <c r="NI118" s="4">
        <f t="shared" si="86"/>
        <v>6.9620112217372885</v>
      </c>
      <c r="NJ118" s="4">
        <f t="shared" si="86"/>
        <v>10.000000000000002</v>
      </c>
      <c r="NK118" s="4">
        <f t="shared" si="86"/>
        <v>5.5946494635921109</v>
      </c>
      <c r="NL118" s="4">
        <f t="shared" si="86"/>
        <v>10.000000000000039</v>
      </c>
      <c r="NM118" s="4">
        <f t="shared" si="86"/>
        <v>5.2368963315442851</v>
      </c>
      <c r="NN118" s="4">
        <f t="shared" si="86"/>
        <v>10.00000000000003</v>
      </c>
      <c r="NO118" s="4">
        <f t="shared" si="86"/>
        <v>4.0619856910742921E-2</v>
      </c>
      <c r="NP118" s="4">
        <f t="shared" si="86"/>
        <v>5.1380930314660631</v>
      </c>
      <c r="NQ118" s="4">
        <f t="shared" si="86"/>
        <v>3.7621373051266551</v>
      </c>
      <c r="NR118" s="4">
        <f t="shared" si="86"/>
        <v>0.59769742082404298</v>
      </c>
      <c r="NS118" s="4">
        <f t="shared" si="86"/>
        <v>10.000000000000004</v>
      </c>
      <c r="NT118" s="4">
        <f t="shared" si="86"/>
        <v>6.96201122173734</v>
      </c>
      <c r="NU118" s="4">
        <f t="shared" si="86"/>
        <v>10.000000000000039</v>
      </c>
      <c r="NV118" s="4">
        <f t="shared" si="86"/>
        <v>10.000000000000014</v>
      </c>
      <c r="NW118" s="4">
        <f t="shared" ref="NW118:OQ118" si="87">SKEW(NW2:NW101)</f>
        <v>6.9620112217373027</v>
      </c>
      <c r="NX118" s="4">
        <f t="shared" si="87"/>
        <v>1.4183827459440475</v>
      </c>
      <c r="NY118" s="4">
        <f t="shared" si="87"/>
        <v>9.9999999999999964</v>
      </c>
      <c r="NZ118" s="4">
        <f t="shared" si="87"/>
        <v>3.4221534427375855</v>
      </c>
      <c r="OA118" s="4">
        <f t="shared" si="87"/>
        <v>5.5946494635921074</v>
      </c>
      <c r="OB118" s="4">
        <f t="shared" si="87"/>
        <v>2.234045113605486</v>
      </c>
      <c r="OC118" s="4">
        <f t="shared" si="87"/>
        <v>1.0519765069856843</v>
      </c>
      <c r="OD118" s="4">
        <f t="shared" si="87"/>
        <v>6.9620112217372938</v>
      </c>
      <c r="OE118" s="4">
        <f t="shared" si="87"/>
        <v>4.766655186393546</v>
      </c>
      <c r="OF118" s="4">
        <f t="shared" si="87"/>
        <v>10.000000000000041</v>
      </c>
      <c r="OG118" s="4">
        <f t="shared" si="87"/>
        <v>2.2340451136054833</v>
      </c>
      <c r="OH118" s="4">
        <f t="shared" si="87"/>
        <v>10.000000000000014</v>
      </c>
      <c r="OI118" s="4">
        <f t="shared" si="87"/>
        <v>1.691329862147948</v>
      </c>
      <c r="OJ118" s="4">
        <f t="shared" si="87"/>
        <v>10.000000000000028</v>
      </c>
      <c r="OK118" s="4">
        <f t="shared" si="87"/>
        <v>0.54675622058489615</v>
      </c>
      <c r="OL118" s="4">
        <f t="shared" si="87"/>
        <v>0.94429638189017528</v>
      </c>
      <c r="OM118" s="4">
        <f t="shared" si="87"/>
        <v>6.962011221737332</v>
      </c>
      <c r="ON118" s="4">
        <f t="shared" si="87"/>
        <v>0.37157466295528374</v>
      </c>
      <c r="OO118" s="4">
        <f t="shared" si="87"/>
        <v>6.9620112217372974</v>
      </c>
      <c r="OP118" s="4">
        <f t="shared" si="87"/>
        <v>5.5946494635921287</v>
      </c>
      <c r="OQ118" s="4">
        <f t="shared" si="87"/>
        <v>1.6511569624903032E-2</v>
      </c>
    </row>
    <row r="120" spans="1:407" x14ac:dyDescent="0.3">
      <c r="A120" s="9" t="s">
        <v>612</v>
      </c>
      <c r="B120">
        <f>B105/100</f>
        <v>0.39</v>
      </c>
      <c r="C120" s="4">
        <f t="shared" ref="C120:BN120" si="88">C105/100</f>
        <v>0.02</v>
      </c>
      <c r="D120" s="4">
        <f t="shared" si="88"/>
        <v>0.01</v>
      </c>
      <c r="E120" s="4">
        <f t="shared" si="88"/>
        <v>0.2</v>
      </c>
      <c r="F120" s="4">
        <f t="shared" si="88"/>
        <v>1</v>
      </c>
      <c r="G120" s="4">
        <f t="shared" si="88"/>
        <v>1</v>
      </c>
      <c r="H120" s="4">
        <f t="shared" si="88"/>
        <v>0.47</v>
      </c>
      <c r="I120" s="4">
        <f t="shared" si="88"/>
        <v>0.31</v>
      </c>
      <c r="J120" s="4">
        <f t="shared" si="88"/>
        <v>0.12</v>
      </c>
      <c r="K120" s="4">
        <f t="shared" si="88"/>
        <v>0.01</v>
      </c>
      <c r="L120" s="4">
        <f t="shared" si="88"/>
        <v>0.77</v>
      </c>
      <c r="M120" s="4">
        <f t="shared" si="88"/>
        <v>0.26</v>
      </c>
      <c r="N120" s="4">
        <f t="shared" si="88"/>
        <v>0.28999999999999998</v>
      </c>
      <c r="O120" s="4">
        <f t="shared" si="88"/>
        <v>0.06</v>
      </c>
      <c r="P120" s="4">
        <f t="shared" si="88"/>
        <v>0.47</v>
      </c>
      <c r="Q120" s="4">
        <f t="shared" si="88"/>
        <v>0.97</v>
      </c>
      <c r="R120" s="4">
        <f t="shared" si="88"/>
        <v>0.74</v>
      </c>
      <c r="S120" s="4">
        <f t="shared" si="88"/>
        <v>0.09</v>
      </c>
      <c r="T120" s="4">
        <f t="shared" si="88"/>
        <v>0.06</v>
      </c>
      <c r="U120" s="4">
        <f t="shared" si="88"/>
        <v>0.01</v>
      </c>
      <c r="V120" s="4">
        <f t="shared" si="88"/>
        <v>0.96</v>
      </c>
      <c r="W120" s="4">
        <f t="shared" si="88"/>
        <v>0.04</v>
      </c>
      <c r="X120" s="4">
        <f t="shared" si="88"/>
        <v>0.47</v>
      </c>
      <c r="Y120" s="4">
        <f t="shared" si="88"/>
        <v>0.04</v>
      </c>
      <c r="Z120" s="4">
        <f t="shared" si="88"/>
        <v>0.16</v>
      </c>
      <c r="AA120" s="4">
        <f t="shared" si="88"/>
        <v>1</v>
      </c>
      <c r="AB120" s="4">
        <f t="shared" si="88"/>
        <v>0.67</v>
      </c>
      <c r="AC120" s="4">
        <f t="shared" si="88"/>
        <v>0.15</v>
      </c>
      <c r="AD120" s="4">
        <f t="shared" si="88"/>
        <v>1</v>
      </c>
      <c r="AE120" s="4">
        <f t="shared" si="88"/>
        <v>0.41</v>
      </c>
      <c r="AF120" s="4">
        <f t="shared" si="88"/>
        <v>0.25</v>
      </c>
      <c r="AG120" s="4">
        <f t="shared" si="88"/>
        <v>0.32</v>
      </c>
      <c r="AH120" s="4">
        <f t="shared" si="88"/>
        <v>0.18</v>
      </c>
      <c r="AI120" s="4">
        <f t="shared" si="88"/>
        <v>0.82</v>
      </c>
      <c r="AJ120" s="4">
        <f t="shared" si="88"/>
        <v>0.94</v>
      </c>
      <c r="AK120" s="4">
        <f t="shared" si="88"/>
        <v>0.83</v>
      </c>
      <c r="AL120" s="4">
        <f t="shared" si="88"/>
        <v>0.02</v>
      </c>
      <c r="AM120" s="4">
        <f t="shared" si="88"/>
        <v>0.23</v>
      </c>
      <c r="AN120" s="4">
        <f t="shared" si="88"/>
        <v>0.73</v>
      </c>
      <c r="AO120" s="4">
        <f t="shared" si="88"/>
        <v>0.65</v>
      </c>
      <c r="AP120" s="4">
        <f t="shared" si="88"/>
        <v>0.25</v>
      </c>
      <c r="AQ120" s="4">
        <f t="shared" si="88"/>
        <v>0.69</v>
      </c>
      <c r="AR120" s="4">
        <f t="shared" si="88"/>
        <v>0.14000000000000001</v>
      </c>
      <c r="AS120" s="4">
        <f t="shared" si="88"/>
        <v>0.11</v>
      </c>
      <c r="AT120" s="4">
        <f t="shared" si="88"/>
        <v>0.08</v>
      </c>
      <c r="AU120" s="4">
        <f t="shared" si="88"/>
        <v>1</v>
      </c>
      <c r="AV120" s="4">
        <f t="shared" si="88"/>
        <v>0.09</v>
      </c>
      <c r="AW120" s="4">
        <f t="shared" si="88"/>
        <v>0.08</v>
      </c>
      <c r="AX120" s="4">
        <f t="shared" si="88"/>
        <v>0.02</v>
      </c>
      <c r="AY120" s="4">
        <f t="shared" si="88"/>
        <v>0.9</v>
      </c>
      <c r="AZ120" s="4">
        <f t="shared" si="88"/>
        <v>0.04</v>
      </c>
      <c r="BA120" s="4">
        <f t="shared" si="88"/>
        <v>0.03</v>
      </c>
      <c r="BB120" s="4">
        <f t="shared" si="88"/>
        <v>0.05</v>
      </c>
      <c r="BC120" s="4">
        <f t="shared" si="88"/>
        <v>0.1</v>
      </c>
      <c r="BD120" s="4">
        <f t="shared" si="88"/>
        <v>0.04</v>
      </c>
      <c r="BE120" s="4">
        <f t="shared" si="88"/>
        <v>0.04</v>
      </c>
      <c r="BF120" s="4">
        <f t="shared" si="88"/>
        <v>0.17</v>
      </c>
      <c r="BG120" s="4">
        <f t="shared" si="88"/>
        <v>0.2</v>
      </c>
      <c r="BH120" s="4">
        <f t="shared" si="88"/>
        <v>0.03</v>
      </c>
      <c r="BI120" s="4">
        <f t="shared" si="88"/>
        <v>0.01</v>
      </c>
      <c r="BJ120" s="4">
        <f t="shared" si="88"/>
        <v>0.03</v>
      </c>
      <c r="BK120" s="4">
        <f t="shared" si="88"/>
        <v>0.01</v>
      </c>
      <c r="BL120" s="4">
        <f t="shared" si="88"/>
        <v>0.15</v>
      </c>
      <c r="BM120" s="4">
        <f t="shared" si="88"/>
        <v>0.01</v>
      </c>
      <c r="BN120" s="4">
        <f t="shared" si="88"/>
        <v>0.15</v>
      </c>
      <c r="BO120" s="4">
        <f t="shared" ref="BO120:DZ120" si="89">BO105/100</f>
        <v>0.11</v>
      </c>
      <c r="BP120" s="4">
        <f t="shared" si="89"/>
        <v>0.05</v>
      </c>
      <c r="BQ120" s="4">
        <f t="shared" si="89"/>
        <v>0.01</v>
      </c>
      <c r="BR120" s="4">
        <f t="shared" si="89"/>
        <v>0.02</v>
      </c>
      <c r="BS120" s="4">
        <f t="shared" si="89"/>
        <v>1</v>
      </c>
      <c r="BT120" s="4">
        <f t="shared" si="89"/>
        <v>0.02</v>
      </c>
      <c r="BU120" s="4">
        <f t="shared" si="89"/>
        <v>0.01</v>
      </c>
      <c r="BV120" s="4">
        <f t="shared" si="89"/>
        <v>0.01</v>
      </c>
      <c r="BW120" s="4">
        <f t="shared" si="89"/>
        <v>0.01</v>
      </c>
      <c r="BX120" s="4">
        <f t="shared" si="89"/>
        <v>0.02</v>
      </c>
      <c r="BY120" s="4">
        <f t="shared" si="89"/>
        <v>0.39</v>
      </c>
      <c r="BZ120" s="4">
        <f t="shared" si="89"/>
        <v>0.02</v>
      </c>
      <c r="CA120" s="4">
        <f t="shared" si="89"/>
        <v>0.01</v>
      </c>
      <c r="CB120" s="4">
        <f t="shared" si="89"/>
        <v>0.05</v>
      </c>
      <c r="CC120" s="4">
        <f t="shared" si="89"/>
        <v>0.36</v>
      </c>
      <c r="CD120" s="4">
        <f t="shared" si="89"/>
        <v>0.01</v>
      </c>
      <c r="CE120" s="4">
        <f t="shared" si="89"/>
        <v>0.03</v>
      </c>
      <c r="CF120" s="4">
        <f t="shared" si="89"/>
        <v>0.26</v>
      </c>
      <c r="CG120" s="4">
        <f t="shared" si="89"/>
        <v>0.01</v>
      </c>
      <c r="CH120" s="4">
        <f t="shared" si="89"/>
        <v>0.01</v>
      </c>
      <c r="CI120" s="4">
        <f t="shared" si="89"/>
        <v>0.04</v>
      </c>
      <c r="CJ120" s="4">
        <f t="shared" si="89"/>
        <v>0.08</v>
      </c>
      <c r="CK120" s="4">
        <f t="shared" si="89"/>
        <v>0.08</v>
      </c>
      <c r="CL120" s="4">
        <f t="shared" si="89"/>
        <v>0.01</v>
      </c>
      <c r="CM120" s="4">
        <f t="shared" si="89"/>
        <v>0.36</v>
      </c>
      <c r="CN120" s="4">
        <f t="shared" si="89"/>
        <v>0.04</v>
      </c>
      <c r="CO120" s="4">
        <f t="shared" si="89"/>
        <v>0.03</v>
      </c>
      <c r="CP120" s="4">
        <f t="shared" si="89"/>
        <v>7.0000000000000007E-2</v>
      </c>
      <c r="CQ120" s="4">
        <f t="shared" si="89"/>
        <v>7.0000000000000007E-2</v>
      </c>
      <c r="CR120" s="4">
        <f t="shared" si="89"/>
        <v>0.02</v>
      </c>
      <c r="CS120" s="4">
        <f t="shared" si="89"/>
        <v>0.02</v>
      </c>
      <c r="CT120" s="4">
        <f t="shared" si="89"/>
        <v>0.01</v>
      </c>
      <c r="CU120" s="4">
        <f t="shared" si="89"/>
        <v>0.09</v>
      </c>
      <c r="CV120" s="4">
        <f t="shared" si="89"/>
        <v>0.03</v>
      </c>
      <c r="CW120" s="4">
        <f t="shared" si="89"/>
        <v>0.02</v>
      </c>
      <c r="CX120" s="4">
        <f t="shared" si="89"/>
        <v>0.01</v>
      </c>
      <c r="CY120" s="4">
        <f t="shared" si="89"/>
        <v>0.03</v>
      </c>
      <c r="CZ120" s="4">
        <f t="shared" si="89"/>
        <v>0.02</v>
      </c>
      <c r="DA120" s="4">
        <f t="shared" si="89"/>
        <v>0.04</v>
      </c>
      <c r="DB120" s="4">
        <f t="shared" si="89"/>
        <v>0.04</v>
      </c>
      <c r="DC120" s="4">
        <f t="shared" si="89"/>
        <v>0.14000000000000001</v>
      </c>
      <c r="DD120" s="4">
        <f t="shared" si="89"/>
        <v>0.03</v>
      </c>
      <c r="DE120" s="4">
        <f t="shared" si="89"/>
        <v>0.02</v>
      </c>
      <c r="DF120" s="4">
        <f t="shared" si="89"/>
        <v>0.06</v>
      </c>
      <c r="DG120" s="4">
        <f t="shared" si="89"/>
        <v>0.01</v>
      </c>
      <c r="DH120" s="4">
        <f t="shared" si="89"/>
        <v>0.77</v>
      </c>
      <c r="DI120" s="4">
        <f t="shared" si="89"/>
        <v>0.06</v>
      </c>
      <c r="DJ120" s="4">
        <f t="shared" si="89"/>
        <v>0.02</v>
      </c>
      <c r="DK120" s="4">
        <f t="shared" si="89"/>
        <v>0.05</v>
      </c>
      <c r="DL120" s="4">
        <f t="shared" si="89"/>
        <v>0.05</v>
      </c>
      <c r="DM120" s="4">
        <f t="shared" si="89"/>
        <v>0.02</v>
      </c>
      <c r="DN120" s="4">
        <f t="shared" si="89"/>
        <v>0.01</v>
      </c>
      <c r="DO120" s="4">
        <f t="shared" si="89"/>
        <v>0.01</v>
      </c>
      <c r="DP120" s="4">
        <f t="shared" si="89"/>
        <v>0.01</v>
      </c>
      <c r="DQ120" s="4">
        <f t="shared" si="89"/>
        <v>0.06</v>
      </c>
      <c r="DR120" s="4">
        <f t="shared" si="89"/>
        <v>0.74</v>
      </c>
      <c r="DS120" s="4">
        <f t="shared" si="89"/>
        <v>0.02</v>
      </c>
      <c r="DT120" s="4">
        <f t="shared" si="89"/>
        <v>0.02</v>
      </c>
      <c r="DU120" s="4">
        <f t="shared" si="89"/>
        <v>0.03</v>
      </c>
      <c r="DV120" s="4">
        <f t="shared" si="89"/>
        <v>0.02</v>
      </c>
      <c r="DW120" s="4">
        <f t="shared" si="89"/>
        <v>0.01</v>
      </c>
      <c r="DX120" s="4">
        <f t="shared" si="89"/>
        <v>0.01</v>
      </c>
      <c r="DY120" s="4">
        <f t="shared" si="89"/>
        <v>0.01</v>
      </c>
      <c r="DZ120" s="4">
        <f t="shared" si="89"/>
        <v>0.01</v>
      </c>
      <c r="EA120" s="4">
        <f t="shared" ref="EA120:GL120" si="90">EA105/100</f>
        <v>0.04</v>
      </c>
      <c r="EB120" s="4">
        <f t="shared" si="90"/>
        <v>0.14000000000000001</v>
      </c>
      <c r="EC120" s="4">
        <f t="shared" si="90"/>
        <v>0.02</v>
      </c>
      <c r="ED120" s="4">
        <f t="shared" si="90"/>
        <v>0.18</v>
      </c>
      <c r="EE120" s="4">
        <f t="shared" si="90"/>
        <v>7.0000000000000007E-2</v>
      </c>
      <c r="EF120" s="4">
        <f t="shared" si="90"/>
        <v>0.04</v>
      </c>
      <c r="EG120" s="4">
        <f t="shared" si="90"/>
        <v>0.02</v>
      </c>
      <c r="EH120" s="4">
        <f t="shared" si="90"/>
        <v>0.37</v>
      </c>
      <c r="EI120" s="4">
        <f t="shared" si="90"/>
        <v>0.01</v>
      </c>
      <c r="EJ120" s="4">
        <f t="shared" si="90"/>
        <v>0.02</v>
      </c>
      <c r="EK120" s="4">
        <f t="shared" si="90"/>
        <v>0.03</v>
      </c>
      <c r="EL120" s="4">
        <f t="shared" si="90"/>
        <v>0.01</v>
      </c>
      <c r="EM120" s="4">
        <f t="shared" si="90"/>
        <v>0.03</v>
      </c>
      <c r="EN120" s="4">
        <f t="shared" si="90"/>
        <v>0.02</v>
      </c>
      <c r="EO120" s="4">
        <f t="shared" si="90"/>
        <v>0.02</v>
      </c>
      <c r="EP120" s="4">
        <f t="shared" si="90"/>
        <v>0.02</v>
      </c>
      <c r="EQ120" s="4">
        <f t="shared" si="90"/>
        <v>0.02</v>
      </c>
      <c r="ER120" s="4">
        <f t="shared" si="90"/>
        <v>0.01</v>
      </c>
      <c r="ES120" s="4">
        <f t="shared" si="90"/>
        <v>0.01</v>
      </c>
      <c r="ET120" s="4">
        <f t="shared" si="90"/>
        <v>0.01</v>
      </c>
      <c r="EU120" s="4">
        <f t="shared" si="90"/>
        <v>0.01</v>
      </c>
      <c r="EV120" s="4">
        <f t="shared" si="90"/>
        <v>0.7</v>
      </c>
      <c r="EW120" s="4">
        <f t="shared" si="90"/>
        <v>0.03</v>
      </c>
      <c r="EX120" s="4">
        <f t="shared" si="90"/>
        <v>0.01</v>
      </c>
      <c r="EY120" s="4">
        <f t="shared" si="90"/>
        <v>0.06</v>
      </c>
      <c r="EZ120" s="4">
        <f t="shared" si="90"/>
        <v>0.18</v>
      </c>
      <c r="FA120" s="4">
        <f t="shared" si="90"/>
        <v>0.41</v>
      </c>
      <c r="FB120" s="4">
        <f t="shared" si="90"/>
        <v>0.02</v>
      </c>
      <c r="FC120" s="4">
        <f t="shared" si="90"/>
        <v>0.03</v>
      </c>
      <c r="FD120" s="4">
        <f t="shared" si="90"/>
        <v>0.03</v>
      </c>
      <c r="FE120" s="4">
        <f t="shared" si="90"/>
        <v>0.22</v>
      </c>
      <c r="FF120" s="4">
        <f t="shared" si="90"/>
        <v>0.13</v>
      </c>
      <c r="FG120" s="4">
        <f t="shared" si="90"/>
        <v>0.18</v>
      </c>
      <c r="FH120" s="4">
        <f t="shared" si="90"/>
        <v>0.87</v>
      </c>
      <c r="FI120" s="4">
        <f t="shared" si="90"/>
        <v>0.41</v>
      </c>
      <c r="FJ120" s="4">
        <f t="shared" si="90"/>
        <v>0.06</v>
      </c>
      <c r="FK120" s="4">
        <f t="shared" si="90"/>
        <v>0.02</v>
      </c>
      <c r="FL120" s="4">
        <f t="shared" si="90"/>
        <v>0.02</v>
      </c>
      <c r="FM120" s="4">
        <f t="shared" si="90"/>
        <v>0.01</v>
      </c>
      <c r="FN120" s="4">
        <f t="shared" si="90"/>
        <v>0.02</v>
      </c>
      <c r="FO120" s="4">
        <f t="shared" si="90"/>
        <v>0.12</v>
      </c>
      <c r="FP120" s="4">
        <f t="shared" si="90"/>
        <v>0.02</v>
      </c>
      <c r="FQ120" s="4">
        <f t="shared" si="90"/>
        <v>0.02</v>
      </c>
      <c r="FR120" s="4">
        <f t="shared" si="90"/>
        <v>0.01</v>
      </c>
      <c r="FS120" s="4">
        <f t="shared" si="90"/>
        <v>1</v>
      </c>
      <c r="FT120" s="4">
        <f t="shared" si="90"/>
        <v>0.01</v>
      </c>
      <c r="FU120" s="4">
        <f t="shared" si="90"/>
        <v>0.16</v>
      </c>
      <c r="FV120" s="4">
        <f t="shared" si="90"/>
        <v>0.7</v>
      </c>
      <c r="FW120" s="4">
        <f t="shared" si="90"/>
        <v>0.08</v>
      </c>
      <c r="FX120" s="4">
        <f t="shared" si="90"/>
        <v>0.02</v>
      </c>
      <c r="FY120" s="4">
        <f t="shared" si="90"/>
        <v>0.01</v>
      </c>
      <c r="FZ120" s="4">
        <f t="shared" si="90"/>
        <v>0.02</v>
      </c>
      <c r="GA120" s="4">
        <f t="shared" si="90"/>
        <v>0.01</v>
      </c>
      <c r="GB120" s="4">
        <f t="shared" si="90"/>
        <v>0.03</v>
      </c>
      <c r="GC120" s="4">
        <f t="shared" si="90"/>
        <v>0.08</v>
      </c>
      <c r="GD120" s="4">
        <f t="shared" si="90"/>
        <v>0.01</v>
      </c>
      <c r="GE120" s="4">
        <f t="shared" si="90"/>
        <v>0.12</v>
      </c>
      <c r="GF120" s="4">
        <f t="shared" si="90"/>
        <v>0.01</v>
      </c>
      <c r="GG120" s="4">
        <f t="shared" si="90"/>
        <v>0.06</v>
      </c>
      <c r="GH120" s="4">
        <f t="shared" si="90"/>
        <v>0.2</v>
      </c>
      <c r="GI120" s="4">
        <f t="shared" si="90"/>
        <v>0.26</v>
      </c>
      <c r="GJ120" s="4">
        <f t="shared" si="90"/>
        <v>0.06</v>
      </c>
      <c r="GK120" s="4">
        <f t="shared" si="90"/>
        <v>0.04</v>
      </c>
      <c r="GL120" s="4">
        <f t="shared" si="90"/>
        <v>0.01</v>
      </c>
      <c r="GM120" s="4">
        <f t="shared" ref="GM120:IX120" si="91">GM105/100</f>
        <v>0.04</v>
      </c>
      <c r="GN120" s="4">
        <f t="shared" si="91"/>
        <v>0.96</v>
      </c>
      <c r="GO120" s="4">
        <f t="shared" si="91"/>
        <v>0.01</v>
      </c>
      <c r="GP120" s="4">
        <f t="shared" si="91"/>
        <v>0.08</v>
      </c>
      <c r="GQ120" s="4">
        <f t="shared" si="91"/>
        <v>0.02</v>
      </c>
      <c r="GR120" s="4">
        <f t="shared" si="91"/>
        <v>0.89</v>
      </c>
      <c r="GS120" s="4">
        <f t="shared" si="91"/>
        <v>7.0000000000000007E-2</v>
      </c>
      <c r="GT120" s="4">
        <f t="shared" si="91"/>
        <v>0.05</v>
      </c>
      <c r="GU120" s="4">
        <f t="shared" si="91"/>
        <v>0.05</v>
      </c>
      <c r="GV120" s="4">
        <f t="shared" si="91"/>
        <v>0.3</v>
      </c>
      <c r="GW120" s="4">
        <f t="shared" si="91"/>
        <v>0.04</v>
      </c>
      <c r="GX120" s="4">
        <f t="shared" si="91"/>
        <v>1</v>
      </c>
      <c r="GY120" s="4">
        <f t="shared" si="91"/>
        <v>0.02</v>
      </c>
      <c r="GZ120" s="4">
        <f t="shared" si="91"/>
        <v>0.35</v>
      </c>
      <c r="HA120" s="4">
        <f t="shared" si="91"/>
        <v>0.01</v>
      </c>
      <c r="HB120" s="4">
        <f t="shared" si="91"/>
        <v>0.1</v>
      </c>
      <c r="HC120" s="4">
        <f t="shared" si="91"/>
        <v>0.01</v>
      </c>
      <c r="HD120" s="4">
        <f t="shared" si="91"/>
        <v>0.02</v>
      </c>
      <c r="HE120" s="4">
        <f t="shared" si="91"/>
        <v>0.09</v>
      </c>
      <c r="HF120" s="4">
        <f t="shared" si="91"/>
        <v>0.19</v>
      </c>
      <c r="HG120" s="4">
        <f t="shared" si="91"/>
        <v>0.02</v>
      </c>
      <c r="HH120" s="4">
        <f t="shared" si="91"/>
        <v>0.01</v>
      </c>
      <c r="HI120" s="4">
        <f t="shared" si="91"/>
        <v>0.1</v>
      </c>
      <c r="HJ120" s="4">
        <f t="shared" si="91"/>
        <v>0.01</v>
      </c>
      <c r="HK120" s="4">
        <f t="shared" si="91"/>
        <v>7.0000000000000007E-2</v>
      </c>
      <c r="HL120" s="4">
        <f t="shared" si="91"/>
        <v>7.0000000000000007E-2</v>
      </c>
      <c r="HM120" s="4">
        <f t="shared" si="91"/>
        <v>0.03</v>
      </c>
      <c r="HN120" s="4">
        <f t="shared" si="91"/>
        <v>0.01</v>
      </c>
      <c r="HO120" s="4">
        <f t="shared" si="91"/>
        <v>0.05</v>
      </c>
      <c r="HP120" s="4">
        <f t="shared" si="91"/>
        <v>7.0000000000000007E-2</v>
      </c>
      <c r="HQ120" s="4">
        <f t="shared" si="91"/>
        <v>0.02</v>
      </c>
      <c r="HR120" s="4">
        <f t="shared" si="91"/>
        <v>0.08</v>
      </c>
      <c r="HS120" s="4">
        <f t="shared" si="91"/>
        <v>0.04</v>
      </c>
      <c r="HT120" s="4">
        <f t="shared" si="91"/>
        <v>0.03</v>
      </c>
      <c r="HU120" s="4">
        <f t="shared" si="91"/>
        <v>0.77</v>
      </c>
      <c r="HV120" s="4">
        <f t="shared" si="91"/>
        <v>0.52</v>
      </c>
      <c r="HW120" s="4">
        <f t="shared" si="91"/>
        <v>0.21</v>
      </c>
      <c r="HX120" s="4">
        <f t="shared" si="91"/>
        <v>0.01</v>
      </c>
      <c r="HY120" s="4">
        <f t="shared" si="91"/>
        <v>0.16</v>
      </c>
      <c r="HZ120" s="4">
        <f t="shared" si="91"/>
        <v>0.03</v>
      </c>
      <c r="IA120" s="4">
        <f t="shared" si="91"/>
        <v>0.01</v>
      </c>
      <c r="IB120" s="4">
        <f t="shared" si="91"/>
        <v>0.01</v>
      </c>
      <c r="IC120" s="4">
        <f t="shared" si="91"/>
        <v>0.32</v>
      </c>
      <c r="ID120" s="4">
        <f t="shared" si="91"/>
        <v>0.05</v>
      </c>
      <c r="IE120" s="4">
        <f t="shared" si="91"/>
        <v>0.01</v>
      </c>
      <c r="IF120" s="4">
        <f t="shared" si="91"/>
        <v>0.09</v>
      </c>
      <c r="IG120" s="4">
        <f t="shared" si="91"/>
        <v>0.01</v>
      </c>
      <c r="IH120" s="4">
        <f t="shared" si="91"/>
        <v>0.18</v>
      </c>
      <c r="II120" s="4">
        <f t="shared" si="91"/>
        <v>0.01</v>
      </c>
      <c r="IJ120" s="4">
        <f t="shared" si="91"/>
        <v>0.08</v>
      </c>
      <c r="IK120" s="4">
        <f t="shared" si="91"/>
        <v>0.11</v>
      </c>
      <c r="IL120" s="4">
        <f t="shared" si="91"/>
        <v>0.02</v>
      </c>
      <c r="IM120" s="4">
        <f t="shared" si="91"/>
        <v>0.28999999999999998</v>
      </c>
      <c r="IN120" s="4">
        <f t="shared" si="91"/>
        <v>0.02</v>
      </c>
      <c r="IO120" s="4">
        <f t="shared" si="91"/>
        <v>0.01</v>
      </c>
      <c r="IP120" s="4">
        <f t="shared" si="91"/>
        <v>0.3</v>
      </c>
      <c r="IQ120" s="4">
        <f t="shared" si="91"/>
        <v>0.54</v>
      </c>
      <c r="IR120" s="4">
        <f t="shared" si="91"/>
        <v>0.01</v>
      </c>
      <c r="IS120" s="4">
        <f t="shared" si="91"/>
        <v>0.11</v>
      </c>
      <c r="IT120" s="4">
        <f t="shared" si="91"/>
        <v>0.01</v>
      </c>
      <c r="IU120" s="4">
        <f t="shared" si="91"/>
        <v>0.03</v>
      </c>
      <c r="IV120" s="4">
        <f t="shared" si="91"/>
        <v>0.01</v>
      </c>
      <c r="IW120" s="4">
        <f t="shared" si="91"/>
        <v>0.01</v>
      </c>
      <c r="IX120" s="4">
        <f t="shared" si="91"/>
        <v>1</v>
      </c>
      <c r="IY120" s="4">
        <f t="shared" ref="IY120:LJ120" si="92">IY105/100</f>
        <v>0.04</v>
      </c>
      <c r="IZ120" s="4">
        <f t="shared" si="92"/>
        <v>0.01</v>
      </c>
      <c r="JA120" s="4">
        <f t="shared" si="92"/>
        <v>0.02</v>
      </c>
      <c r="JB120" s="4">
        <f t="shared" si="92"/>
        <v>0.18</v>
      </c>
      <c r="JC120" s="4">
        <f t="shared" si="92"/>
        <v>0.05</v>
      </c>
      <c r="JD120" s="4">
        <f t="shared" si="92"/>
        <v>0.04</v>
      </c>
      <c r="JE120" s="4">
        <f t="shared" si="92"/>
        <v>0.01</v>
      </c>
      <c r="JF120" s="4">
        <f t="shared" si="92"/>
        <v>0.03</v>
      </c>
      <c r="JG120" s="4">
        <f t="shared" si="92"/>
        <v>0.01</v>
      </c>
      <c r="JH120" s="4">
        <f t="shared" si="92"/>
        <v>0.02</v>
      </c>
      <c r="JI120" s="4">
        <f t="shared" si="92"/>
        <v>0.74</v>
      </c>
      <c r="JJ120" s="4">
        <f t="shared" si="92"/>
        <v>0.34</v>
      </c>
      <c r="JK120" s="4">
        <f t="shared" si="92"/>
        <v>0.01</v>
      </c>
      <c r="JL120" s="4">
        <f t="shared" si="92"/>
        <v>0.22</v>
      </c>
      <c r="JM120" s="4">
        <f t="shared" si="92"/>
        <v>0.01</v>
      </c>
      <c r="JN120" s="4">
        <f t="shared" si="92"/>
        <v>0.05</v>
      </c>
      <c r="JO120" s="4">
        <f t="shared" si="92"/>
        <v>0.01</v>
      </c>
      <c r="JP120" s="4">
        <f t="shared" si="92"/>
        <v>0.03</v>
      </c>
      <c r="JQ120" s="4">
        <f t="shared" si="92"/>
        <v>0.1</v>
      </c>
      <c r="JR120" s="4">
        <f t="shared" si="92"/>
        <v>0.01</v>
      </c>
      <c r="JS120" s="4">
        <f t="shared" si="92"/>
        <v>0.16</v>
      </c>
      <c r="JT120" s="4">
        <f t="shared" si="92"/>
        <v>0.02</v>
      </c>
      <c r="JU120" s="4">
        <f t="shared" si="92"/>
        <v>0.38</v>
      </c>
      <c r="JV120" s="4">
        <f t="shared" si="92"/>
        <v>0.04</v>
      </c>
      <c r="JW120" s="4">
        <f t="shared" si="92"/>
        <v>0.63</v>
      </c>
      <c r="JX120" s="4">
        <f t="shared" si="92"/>
        <v>0.12</v>
      </c>
      <c r="JY120" s="4">
        <f t="shared" si="92"/>
        <v>0.08</v>
      </c>
      <c r="JZ120" s="4">
        <f t="shared" si="92"/>
        <v>0.04</v>
      </c>
      <c r="KA120" s="4">
        <f t="shared" si="92"/>
        <v>0.01</v>
      </c>
      <c r="KB120" s="4">
        <f t="shared" si="92"/>
        <v>0.01</v>
      </c>
      <c r="KC120" s="4">
        <f t="shared" si="92"/>
        <v>0.01</v>
      </c>
      <c r="KD120" s="4">
        <f t="shared" si="92"/>
        <v>0.06</v>
      </c>
      <c r="KE120" s="4">
        <f t="shared" si="92"/>
        <v>0.01</v>
      </c>
      <c r="KF120" s="4">
        <f t="shared" si="92"/>
        <v>0.02</v>
      </c>
      <c r="KG120" s="4">
        <f t="shared" si="92"/>
        <v>0.01</v>
      </c>
      <c r="KH120" s="4">
        <f t="shared" si="92"/>
        <v>0.11</v>
      </c>
      <c r="KI120" s="4">
        <f t="shared" si="92"/>
        <v>1</v>
      </c>
      <c r="KJ120" s="4">
        <f t="shared" si="92"/>
        <v>0.03</v>
      </c>
      <c r="KK120" s="4">
        <f t="shared" si="92"/>
        <v>0.17</v>
      </c>
      <c r="KL120" s="4">
        <f t="shared" si="92"/>
        <v>0.13</v>
      </c>
      <c r="KM120" s="4">
        <f t="shared" si="92"/>
        <v>0.7</v>
      </c>
      <c r="KN120" s="4">
        <f t="shared" si="92"/>
        <v>0.11</v>
      </c>
      <c r="KO120" s="4">
        <f t="shared" si="92"/>
        <v>0.01</v>
      </c>
      <c r="KP120" s="4">
        <f t="shared" si="92"/>
        <v>0.02</v>
      </c>
      <c r="KQ120" s="4">
        <f t="shared" si="92"/>
        <v>0.56999999999999995</v>
      </c>
      <c r="KR120" s="4">
        <f t="shared" si="92"/>
        <v>0.06</v>
      </c>
      <c r="KS120" s="4">
        <f t="shared" si="92"/>
        <v>0.01</v>
      </c>
      <c r="KT120" s="4">
        <f t="shared" si="92"/>
        <v>0.19</v>
      </c>
      <c r="KU120" s="4">
        <f t="shared" si="92"/>
        <v>7.0000000000000007E-2</v>
      </c>
      <c r="KV120" s="4">
        <f t="shared" si="92"/>
        <v>0.01</v>
      </c>
      <c r="KW120" s="4">
        <f t="shared" si="92"/>
        <v>0.02</v>
      </c>
      <c r="KX120" s="4">
        <f t="shared" si="92"/>
        <v>0.37</v>
      </c>
      <c r="KY120" s="4">
        <f t="shared" si="92"/>
        <v>0.01</v>
      </c>
      <c r="KZ120" s="4">
        <f t="shared" si="92"/>
        <v>0.01</v>
      </c>
      <c r="LA120" s="4">
        <f t="shared" si="92"/>
        <v>0.05</v>
      </c>
      <c r="LB120" s="4">
        <f t="shared" si="92"/>
        <v>0.03</v>
      </c>
      <c r="LC120" s="4">
        <f t="shared" si="92"/>
        <v>0.02</v>
      </c>
      <c r="LD120" s="4">
        <f t="shared" si="92"/>
        <v>0.04</v>
      </c>
      <c r="LE120" s="4">
        <f t="shared" si="92"/>
        <v>0.03</v>
      </c>
      <c r="LF120" s="4">
        <f t="shared" si="92"/>
        <v>0.02</v>
      </c>
      <c r="LG120" s="4">
        <f t="shared" si="92"/>
        <v>0.09</v>
      </c>
      <c r="LH120" s="4">
        <f t="shared" si="92"/>
        <v>0.01</v>
      </c>
      <c r="LI120" s="4">
        <f t="shared" si="92"/>
        <v>1</v>
      </c>
      <c r="LJ120" s="4">
        <f t="shared" si="92"/>
        <v>0.97</v>
      </c>
      <c r="LK120" s="4">
        <f t="shared" ref="LK120:NV120" si="93">LK105/100</f>
        <v>0.08</v>
      </c>
      <c r="LL120" s="4">
        <f t="shared" si="93"/>
        <v>0.04</v>
      </c>
      <c r="LM120" s="4">
        <f t="shared" si="93"/>
        <v>0.01</v>
      </c>
      <c r="LN120" s="4">
        <f t="shared" si="93"/>
        <v>0.02</v>
      </c>
      <c r="LO120" s="4">
        <f t="shared" si="93"/>
        <v>0.03</v>
      </c>
      <c r="LP120" s="4">
        <f t="shared" si="93"/>
        <v>0.01</v>
      </c>
      <c r="LQ120" s="4">
        <f t="shared" si="93"/>
        <v>0.41</v>
      </c>
      <c r="LR120" s="4">
        <f t="shared" si="93"/>
        <v>1</v>
      </c>
      <c r="LS120" s="4">
        <f t="shared" si="93"/>
        <v>0.04</v>
      </c>
      <c r="LT120" s="4">
        <f t="shared" si="93"/>
        <v>0.03</v>
      </c>
      <c r="LU120" s="4">
        <f t="shared" si="93"/>
        <v>1</v>
      </c>
      <c r="LV120" s="4">
        <f t="shared" si="93"/>
        <v>0.04</v>
      </c>
      <c r="LW120" s="4">
        <f t="shared" si="93"/>
        <v>0.02</v>
      </c>
      <c r="LX120" s="4">
        <f t="shared" si="93"/>
        <v>0.44</v>
      </c>
      <c r="LY120" s="4">
        <f t="shared" si="93"/>
        <v>0.09</v>
      </c>
      <c r="LZ120" s="4">
        <f t="shared" si="93"/>
        <v>0.02</v>
      </c>
      <c r="MA120" s="4">
        <f t="shared" si="93"/>
        <v>0.16</v>
      </c>
      <c r="MB120" s="4">
        <f t="shared" si="93"/>
        <v>0.05</v>
      </c>
      <c r="MC120" s="4">
        <f t="shared" si="93"/>
        <v>0.13</v>
      </c>
      <c r="MD120" s="4">
        <f t="shared" si="93"/>
        <v>0.01</v>
      </c>
      <c r="ME120" s="4">
        <f t="shared" si="93"/>
        <v>0.48</v>
      </c>
      <c r="MF120" s="4">
        <f t="shared" si="93"/>
        <v>0.01</v>
      </c>
      <c r="MG120" s="4">
        <f t="shared" si="93"/>
        <v>0.45</v>
      </c>
      <c r="MH120" s="4">
        <f t="shared" si="93"/>
        <v>7.0000000000000007E-2</v>
      </c>
      <c r="MI120" s="4">
        <f t="shared" si="93"/>
        <v>0.01</v>
      </c>
      <c r="MJ120" s="4">
        <f t="shared" si="93"/>
        <v>0.02</v>
      </c>
      <c r="MK120" s="4">
        <f t="shared" si="93"/>
        <v>0.02</v>
      </c>
      <c r="ML120" s="4">
        <f t="shared" si="93"/>
        <v>0.37</v>
      </c>
      <c r="MM120" s="4">
        <f t="shared" si="93"/>
        <v>0.04</v>
      </c>
      <c r="MN120" s="4">
        <f t="shared" si="93"/>
        <v>0.93</v>
      </c>
      <c r="MO120" s="4">
        <f t="shared" si="93"/>
        <v>0.13</v>
      </c>
      <c r="MP120" s="4">
        <f t="shared" si="93"/>
        <v>0.01</v>
      </c>
      <c r="MQ120" s="4">
        <f t="shared" si="93"/>
        <v>0</v>
      </c>
      <c r="MR120" s="4">
        <f t="shared" si="93"/>
        <v>0.15</v>
      </c>
      <c r="MS120" s="4">
        <f t="shared" si="93"/>
        <v>0.03</v>
      </c>
      <c r="MT120" s="4">
        <f t="shared" si="93"/>
        <v>0.01</v>
      </c>
      <c r="MU120" s="4">
        <f t="shared" si="93"/>
        <v>0.82</v>
      </c>
      <c r="MV120" s="4">
        <f t="shared" si="93"/>
        <v>0.01</v>
      </c>
      <c r="MW120" s="4">
        <f t="shared" si="93"/>
        <v>0.05</v>
      </c>
      <c r="MX120" s="4">
        <f t="shared" si="93"/>
        <v>0.16</v>
      </c>
      <c r="MY120" s="4">
        <f t="shared" si="93"/>
        <v>0.08</v>
      </c>
      <c r="MZ120" s="4">
        <f t="shared" si="93"/>
        <v>0.02</v>
      </c>
      <c r="NA120" s="4">
        <f>NA105/100</f>
        <v>0.01</v>
      </c>
      <c r="NB120" s="4">
        <f t="shared" si="93"/>
        <v>0.01</v>
      </c>
      <c r="NC120" s="4">
        <f t="shared" si="93"/>
        <v>0.01</v>
      </c>
      <c r="ND120" s="4">
        <f t="shared" si="93"/>
        <v>0.01</v>
      </c>
      <c r="NE120" s="4">
        <f t="shared" si="93"/>
        <v>1</v>
      </c>
      <c r="NF120" s="4">
        <f t="shared" si="93"/>
        <v>0.02</v>
      </c>
      <c r="NG120" s="4">
        <f t="shared" si="93"/>
        <v>0.01</v>
      </c>
      <c r="NH120" s="4">
        <f t="shared" si="93"/>
        <v>0.05</v>
      </c>
      <c r="NI120" s="4">
        <f t="shared" si="93"/>
        <v>0.02</v>
      </c>
      <c r="NJ120" s="4">
        <f t="shared" si="93"/>
        <v>0.01</v>
      </c>
      <c r="NK120" s="4">
        <f t="shared" si="93"/>
        <v>0.03</v>
      </c>
      <c r="NL120" s="4">
        <f t="shared" si="93"/>
        <v>0.01</v>
      </c>
      <c r="NM120" s="4">
        <f t="shared" si="93"/>
        <v>0.05</v>
      </c>
      <c r="NN120" s="4">
        <f t="shared" si="93"/>
        <v>1</v>
      </c>
      <c r="NO120" s="4">
        <f t="shared" si="93"/>
        <v>0.49</v>
      </c>
      <c r="NP120" s="4">
        <f t="shared" si="93"/>
        <v>0.08</v>
      </c>
      <c r="NQ120" s="4">
        <f t="shared" si="93"/>
        <v>0.06</v>
      </c>
      <c r="NR120" s="4">
        <f t="shared" si="93"/>
        <v>0.43</v>
      </c>
      <c r="NS120" s="4">
        <f t="shared" si="93"/>
        <v>0.01</v>
      </c>
      <c r="NT120" s="4">
        <f t="shared" si="93"/>
        <v>0.02</v>
      </c>
      <c r="NU120" s="4">
        <f t="shared" si="93"/>
        <v>0.01</v>
      </c>
      <c r="NV120" s="4">
        <f t="shared" si="93"/>
        <v>0.01</v>
      </c>
      <c r="NW120" s="4">
        <f t="shared" ref="NW120:OQ120" si="94">NW105/100</f>
        <v>0.02</v>
      </c>
      <c r="NX120" s="4">
        <f t="shared" si="94"/>
        <v>0.25</v>
      </c>
      <c r="NY120" s="4">
        <f t="shared" si="94"/>
        <v>0.01</v>
      </c>
      <c r="NZ120" s="4">
        <f t="shared" si="94"/>
        <v>7.0000000000000007E-2</v>
      </c>
      <c r="OA120" s="4">
        <f t="shared" si="94"/>
        <v>0.03</v>
      </c>
      <c r="OB120" s="4">
        <f t="shared" si="94"/>
        <v>0.13</v>
      </c>
      <c r="OC120" s="4">
        <f t="shared" si="94"/>
        <v>0.27</v>
      </c>
      <c r="OD120" s="4">
        <f t="shared" si="94"/>
        <v>0.02</v>
      </c>
      <c r="OE120" s="4">
        <f t="shared" si="94"/>
        <v>0.04</v>
      </c>
      <c r="OF120" s="4">
        <f t="shared" si="94"/>
        <v>0.01</v>
      </c>
      <c r="OG120" s="4">
        <f t="shared" si="94"/>
        <v>0.13</v>
      </c>
      <c r="OH120" s="4">
        <f t="shared" si="94"/>
        <v>0.01</v>
      </c>
      <c r="OI120" s="4">
        <f t="shared" si="94"/>
        <v>0.18</v>
      </c>
      <c r="OJ120" s="4">
        <f t="shared" si="94"/>
        <v>0.01</v>
      </c>
      <c r="OK120" s="4">
        <f t="shared" si="94"/>
        <v>0.37</v>
      </c>
      <c r="OL120" s="4">
        <f t="shared" si="94"/>
        <v>0.9</v>
      </c>
      <c r="OM120" s="4">
        <f t="shared" si="94"/>
        <v>0.02</v>
      </c>
      <c r="ON120" s="4">
        <f t="shared" si="94"/>
        <v>0.41</v>
      </c>
      <c r="OO120" s="4">
        <f t="shared" si="94"/>
        <v>0.02</v>
      </c>
      <c r="OP120" s="4">
        <f t="shared" si="94"/>
        <v>0.03</v>
      </c>
      <c r="OQ120" s="4">
        <f t="shared" si="94"/>
        <v>0.54</v>
      </c>
    </row>
    <row r="121" spans="1:407" s="4" customFormat="1" x14ac:dyDescent="0.3">
      <c r="A121" s="9"/>
    </row>
    <row r="122" spans="1:407" s="4" customFormat="1" x14ac:dyDescent="0.3">
      <c r="A122" s="9"/>
    </row>
    <row r="123" spans="1:407" s="4" customFormat="1" x14ac:dyDescent="0.3">
      <c r="A123" s="9"/>
    </row>
    <row r="124" spans="1:407" s="4" customFormat="1" x14ac:dyDescent="0.3">
      <c r="A124" s="9"/>
    </row>
    <row r="125" spans="1:407" s="4" customFormat="1" x14ac:dyDescent="0.3">
      <c r="A125" s="9"/>
    </row>
    <row r="126" spans="1:407" s="4" customFormat="1" x14ac:dyDescent="0.3">
      <c r="A126" s="9"/>
    </row>
    <row r="127" spans="1:407" s="4" customFormat="1" x14ac:dyDescent="0.3">
      <c r="A127" s="9"/>
    </row>
    <row r="128" spans="1:407" s="4" customFormat="1" x14ac:dyDescent="0.3">
      <c r="A128" s="9"/>
    </row>
    <row r="129" spans="1:1" s="4" customFormat="1" x14ac:dyDescent="0.3">
      <c r="A129" s="9"/>
    </row>
    <row r="130" spans="1:1" s="4" customFormat="1" x14ac:dyDescent="0.3">
      <c r="A130" s="9"/>
    </row>
    <row r="131" spans="1:1" s="4" customFormat="1" x14ac:dyDescent="0.3">
      <c r="A131" s="9"/>
    </row>
    <row r="132" spans="1:1" s="4" customFormat="1" x14ac:dyDescent="0.3">
      <c r="A132" s="9"/>
    </row>
    <row r="133" spans="1:1" s="4" customFormat="1" x14ac:dyDescent="0.3">
      <c r="A133" s="9"/>
    </row>
    <row r="134" spans="1:1" s="4" customFormat="1" x14ac:dyDescent="0.3">
      <c r="A134" s="9"/>
    </row>
    <row r="135" spans="1:1" s="4" customFormat="1" x14ac:dyDescent="0.3">
      <c r="A135" s="9"/>
    </row>
    <row r="136" spans="1:1" s="4" customFormat="1" x14ac:dyDescent="0.3">
      <c r="A136" s="9"/>
    </row>
    <row r="137" spans="1:1" s="4" customFormat="1" x14ac:dyDescent="0.3">
      <c r="A137" s="9"/>
    </row>
  </sheetData>
  <hyperlinks>
    <hyperlink ref="B1" r:id="rId1" tooltip="Property:P1278" display="https://www.wikidata.org/wiki/Property:P1278" xr:uid="{7EF365C7-ECB9-4EF1-912C-94402FD28ADD}"/>
    <hyperlink ref="E1" r:id="rId2" tooltip="Property:P791" display="https://www.wikidata.org/wiki/Property:P791" xr:uid="{F82411B6-CCB0-49A0-81E0-E4BC26ECEA80}"/>
    <hyperlink ref="F1" r:id="rId3" tooltip="Property:P214" display="https://www.wikidata.org/wiki/Property:P214" xr:uid="{30C593CF-2C3F-436C-A2BF-C9FF52948EBF}"/>
    <hyperlink ref="G1" r:id="rId4" tooltip="Property:P213" display="https://www.wikidata.org/wiki/Property:P213" xr:uid="{01FE8FE9-B369-407D-BA80-45DFF555BDAC}"/>
    <hyperlink ref="H1" r:id="rId5" tooltip="Property:P8034" display="https://www.wikidata.org/wiki/Property:P8034" xr:uid="{024AD1DF-4458-4A87-9851-A702F486C41E}"/>
    <hyperlink ref="I1" r:id="rId6" tooltip="Property:P3280" display="https://www.wikidata.org/wiki/Property:P3280" xr:uid="{AAB3A86E-806E-42B9-B8BE-84A3F95713E3}"/>
    <hyperlink ref="L1" r:id="rId7" tooltip="Property:P1015" display="https://www.wikidata.org/wiki/Property:P1015" xr:uid="{6CEED896-6D2E-43A5-809D-EFF9E257793D}"/>
    <hyperlink ref="Q1" r:id="rId8" tooltip="Property:P268" display="https://www.wikidata.org/wiki/Property:P268" xr:uid="{DACE503D-052C-46E9-8544-071DC13B334E}"/>
    <hyperlink ref="R1" r:id="rId9" tooltip="Property:P8179" display="https://www.wikidata.org/wiki/Property:P8179" xr:uid="{A0E982A8-2C46-47FA-A7CA-E323988F2AB3}"/>
    <hyperlink ref="V1" r:id="rId10" tooltip="Property:P227" display="https://www.wikidata.org/wiki/Property:P227" xr:uid="{4692F4A2-BA1D-4ABA-9735-741BF3A2A2F8}"/>
    <hyperlink ref="Z1" r:id="rId11" tooltip="Property:P3348" display="https://www.wikidata.org/wiki/Property:P3348" xr:uid="{EF7D36E4-FF3E-47D1-B561-891544056C00}"/>
    <hyperlink ref="AA1" r:id="rId12" tooltip="Property:P8189" display="https://www.wikidata.org/wiki/Property:P8189" xr:uid="{4278EE24-BD33-4ED5-85FA-8C6C90AA9CF0}"/>
    <hyperlink ref="AB1" r:id="rId13" tooltip="Property:P245" display="https://www.wikidata.org/wiki/Property:P245" xr:uid="{FF6F90BB-018A-44F9-B6AD-3E5BDC35DCDC}"/>
    <hyperlink ref="AC1" r:id="rId14" tooltip="Property:P5034" display="https://www.wikidata.org/wiki/Property:P5034" xr:uid="{D9014627-E092-4AB2-AC79-96F438F0C1BC}"/>
    <hyperlink ref="AD1" r:id="rId15" tooltip="Property:P244" display="https://www.wikidata.org/wiki/Property:P244" xr:uid="{00A59047-703F-4A69-A96B-DC234BF77733}"/>
    <hyperlink ref="AE1" r:id="rId16" tooltip="Property:P7699" display="https://www.wikidata.org/wiki/Property:P7699" xr:uid="{FD533E68-EF23-4548-9E81-1873B52E5BCA}"/>
    <hyperlink ref="AF1" r:id="rId17" tooltip="Property:P1368" display="https://www.wikidata.org/wiki/Property:P1368" xr:uid="{D72FD0FA-B7A5-4A29-B94E-561BEE5C9E9A}"/>
    <hyperlink ref="AI1" r:id="rId18" tooltip="Property:P271" display="https://www.wikidata.org/wiki/Property:P271" xr:uid="{610D2448-6AA5-4A8C-8F81-3262BA40108C}"/>
    <hyperlink ref="AJ1" r:id="rId19" tooltip="Property:P691" display="https://www.wikidata.org/wiki/Property:P691" xr:uid="{F7E799C1-0A19-4D1C-BA66-A9FCD5575A9B}"/>
    <hyperlink ref="AK1" r:id="rId20" tooltip="Property:P409" display="https://www.wikidata.org/wiki/Property:P409" xr:uid="{4BDC0AC9-5DEF-4B9C-A9F7-58E0C75A30E7}"/>
    <hyperlink ref="AM1" r:id="rId21" tooltip="Property:P1375" display="https://www.wikidata.org/wiki/Property:P1375" xr:uid="{60542971-3FEB-45D0-896C-7C4A378358E6}"/>
    <hyperlink ref="AN1" r:id="rId22" tooltip="Property:P1207" display="https://www.wikidata.org/wiki/Property:P1207" xr:uid="{317FAB17-052D-4F12-997C-C35679DDC8B0}"/>
    <hyperlink ref="AO1" r:id="rId23" tooltip="Property:P7293" display="https://www.wikidata.org/wiki/Property:P7293" xr:uid="{1641AD12-6EF2-487F-BD2B-39AD367B1171}"/>
    <hyperlink ref="AP1" r:id="rId24" tooltip="Property:P1005" display="https://www.wikidata.org/wiki/Property:P1005" xr:uid="{FE92F6C7-B104-4FA9-99E0-0B03EDAC6780}"/>
    <hyperlink ref="AQ1" r:id="rId25" tooltip="Property:P3065" display="https://www.wikidata.org/wiki/Property:P3065" xr:uid="{5245FCA6-125F-4095-9E8B-7130A9FC1AE5}"/>
    <hyperlink ref="AU1" r:id="rId26" tooltip="Property:P269" display="https://www.wikidata.org/wiki/Property:P269" xr:uid="{8E06ACD4-BF1F-4BD4-B252-EB98CC80709F}"/>
    <hyperlink ref="AY1" r:id="rId27" tooltip="Property:P7859" display="https://www.wikidata.org/wiki/Property:P7859" xr:uid="{5443E4CD-AB33-4641-9F1D-92130BCDB7BA}"/>
    <hyperlink ref="BC1" r:id="rId28" tooltip="Property:P4052" display="https://www.wikidata.org/wiki/Property:P4052" xr:uid="{E92B1D9D-C54C-45D1-995B-014BEEA59E10}"/>
    <hyperlink ref="BE1" r:id="rId29" tooltip="Property:P2342" display="https://www.wikidata.org/wiki/Property:P2342" xr:uid="{3A1F1B01-DFAE-4837-9B0D-F0CE692F3F6B}"/>
    <hyperlink ref="BF1" r:id="rId30" tooltip="Property:P6683" display="https://www.wikidata.org/wiki/Property:P6683" xr:uid="{3ADA51A8-9A94-463A-8F3D-02E9D6342BC2}"/>
    <hyperlink ref="BG1" r:id="rId31" tooltip="Property:P9226" display="https://www.wikidata.org/wiki/Property:P9226" xr:uid="{BEDE1C0F-017E-4E1A-8047-A8A3889F8A27}"/>
    <hyperlink ref="BL1" r:id="rId32" tooltip="Property:P5604" display="https://www.wikidata.org/wiki/Property:P5604" xr:uid="{93426B98-AD0C-4EB5-A5FB-FA41389B020D}"/>
    <hyperlink ref="BN1" r:id="rId33" tooltip="Property:P3642" display="https://www.wikidata.org/wiki/Property:P3642" xr:uid="{A1914C8B-93DC-4877-807B-61FAC416F3AF}"/>
    <hyperlink ref="BO1" r:id="rId34" tooltip="Property:P9629" display="https://www.wikidata.org/wiki/Property:P9629" xr:uid="{4955C8AD-792E-4028-B613-7CB017AC85F2}"/>
    <hyperlink ref="BS1" r:id="rId35" tooltip="Property:P5242" display="https://www.wikidata.org/wiki/Property:P5242" xr:uid="{A26BC1E4-2193-45E0-9228-D4AB039F6F8A}"/>
    <hyperlink ref="BY1" r:id="rId36" tooltip="Property:P3797" display="https://www.wikidata.org/wiki/Property:P3797" xr:uid="{067B119E-D46A-4EAC-8357-F22AFAD1E902}"/>
    <hyperlink ref="CB1" r:id="rId37" tooltip="Property:P3630" display="https://www.wikidata.org/wiki/Property:P3630" xr:uid="{2A581A61-0752-415F-AD0A-8098EF5F32B0}"/>
    <hyperlink ref="CC1" r:id="rId38" tooltip="Property:P2581" display="https://www.wikidata.org/wiki/Property:P2581" xr:uid="{4144310B-A6FB-4D9A-9404-2D6D75639298}"/>
    <hyperlink ref="CF1" r:id="rId39" tooltip="Property:P11196" display="https://www.wikidata.org/wiki/Property:P11196" xr:uid="{0BE5928E-8551-4D89-A49F-372CCBA42CE3}"/>
    <hyperlink ref="CI1" r:id="rId40" tooltip="Property:P9037" display="https://www.wikidata.org/wiki/Property:P9037" xr:uid="{DEC9375D-E280-49A1-809D-8FB2B830C8F6}"/>
    <hyperlink ref="CM1" r:id="rId41" tooltip="Property:P4081" display="https://www.wikidata.org/wiki/Property:P4081" xr:uid="{99DF99A0-92D4-4EDB-A0C9-BFED2B692B7F}"/>
    <hyperlink ref="CN1" r:id="rId42" tooltip="Property:P10864" display="https://www.wikidata.org/wiki/Property:P10864" xr:uid="{07C7AB4B-1348-4BD2-BCCA-AC1CC81F2E04}"/>
    <hyperlink ref="CV1" r:id="rId43" tooltip="Property:P5019" display="https://www.wikidata.org/wiki/Property:P5019" xr:uid="{CFCEAA46-FA76-411A-B604-AFA901143E74}"/>
    <hyperlink ref="CY1" r:id="rId44" tooltip="Property:P4725" display="https://www.wikidata.org/wiki/Property:P4725" xr:uid="{060C9AA2-5829-4F3E-B256-F7FAC1ADC418}"/>
    <hyperlink ref="DH1" r:id="rId45" tooltip="Property:P11496" display="https://www.wikidata.org/wiki/Property:P11496" xr:uid="{CEC84606-5603-4EF9-ACBF-E928F8AAFA2C}"/>
    <hyperlink ref="DR1" r:id="rId46" tooltip="Property:P2088" display="https://www.wikidata.org/wiki/Property:P2088" xr:uid="{7D1B1CB0-0D4E-4DE8-B978-0F5BD9183228}"/>
    <hyperlink ref="DY1" r:id="rId47" tooltip="Property:P6706" display="https://www.wikidata.org/wiki/Property:P6706" xr:uid="{2277A2ED-2963-4796-BEE5-64B323489B2C}"/>
    <hyperlink ref="EB1" r:id="rId48" tooltip="Property:P4272" display="https://www.wikidata.org/wiki/Property:P4272" xr:uid="{26976614-19DF-4F21-94EC-813A33F72FF5}"/>
    <hyperlink ref="EV1" r:id="rId49" tooltip="Property:P1417" display="https://www.wikidata.org/wiki/Property:P1417" xr:uid="{4EDFF9AC-8376-47BA-AB60-52E7715383FA}"/>
    <hyperlink ref="FA1" r:id="rId50" tooltip="Property:P10565" display="https://www.wikidata.org/wiki/Property:P10565" xr:uid="{65BA0E76-FE93-40A8-A106-F679E631FB15}"/>
    <hyperlink ref="FH1" r:id="rId51" tooltip="Property:P2013" display="https://www.wikidata.org/wiki/Property:P2013" xr:uid="{E0C09AE9-0927-47C8-A28B-ADB521D945D8}"/>
    <hyperlink ref="FI1" r:id="rId52" tooltip="Property:P8168" display="https://www.wikidata.org/wiki/Property:P8168" xr:uid="{1FF73D4F-98B5-4235-8A35-B720E2AE3DEB}"/>
    <hyperlink ref="FS1" r:id="rId53" tooltip="Property:P646" display="https://www.wikidata.org/wiki/Property:P646" xr:uid="{6A4F2DA3-3615-4CB5-A1E6-DE4D2DD076A4}"/>
    <hyperlink ref="FT1" r:id="rId54" tooltip="Property:P7818" display="https://www.wikidata.org/wiki/Property:P7818" xr:uid="{2AC33312-6D19-48CB-94CD-AFE28662C6B0}"/>
    <hyperlink ref="FV1" r:id="rId55" tooltip="Property:P1566" display="https://www.wikidata.org/wiki/Property:P1566" xr:uid="{4F658D86-2168-456D-BF57-4FC54FB65FCF}"/>
    <hyperlink ref="FW1" r:id="rId56" tooltip="Property:P4013" display="https://www.wikidata.org/wiki/Property:P4013" xr:uid="{46CD126A-FE9C-46A3-9169-631A4F5D8CBD}"/>
    <hyperlink ref="GC1" r:id="rId57" tooltip="Property:P9100" display="https://www.wikidata.org/wiki/Property:P9100" xr:uid="{DEF55518-AD48-4D16-A18B-D0CF4AD5FAC8}"/>
    <hyperlink ref="GH1" r:id="rId58" tooltip="Property:P590" display="https://www.wikidata.org/wiki/Property:P590" xr:uid="{0BFA5684-6448-43F8-976A-11570C0A43AA}"/>
    <hyperlink ref="GI1" r:id="rId59" tooltip="Property:P7502" display="https://www.wikidata.org/wiki/Property:P7502" xr:uid="{1D79CFA0-1186-4ED5-A5F5-997CCA69E8FD}"/>
    <hyperlink ref="GK1" r:id="rId60" tooltip="Property:P10297" display="https://www.wikidata.org/wiki/Property:P10297" xr:uid="{952805F7-6074-4190-83E0-3D17831AD984}"/>
    <hyperlink ref="GN1" r:id="rId61" tooltip="Property:P3749" display="https://www.wikidata.org/wiki/Property:P3749" xr:uid="{A143B320-9B8C-499D-B2F6-E745B68413C0}"/>
    <hyperlink ref="GR1" r:id="rId62" tooltip="Property:P11961" display="https://www.wikidata.org/wiki/Property:P11961" xr:uid="{FA48B773-EF24-411F-A72A-61863F6CA762}"/>
    <hyperlink ref="GS1" r:id="rId63" tooltip="Property:P2847" display="https://www.wikidata.org/wiki/Property:P2847" xr:uid="{0069A7F8-3DAA-47D5-AFCD-F46A88434BD5}"/>
    <hyperlink ref="GT1" r:id="rId64" tooltip="Property:P12385" display="https://www.wikidata.org/wiki/Property:P12385" xr:uid="{20A7F830-50B4-44A8-98C1-BA8BFDF4114D}"/>
    <hyperlink ref="GU1" r:id="rId65" tooltip="Property:P1296" display="https://www.wikidata.org/wiki/Property:P1296" xr:uid="{AA5353FC-7995-4F56-80F0-B6AFEC6EAFCC}"/>
    <hyperlink ref="GV1" r:id="rId66" tooltip="Property:P2924" display="https://www.wikidata.org/wiki/Property:P2924" xr:uid="{512BE0A1-2A9C-4F33-B3AE-1823349E8B8B}"/>
    <hyperlink ref="GX1" r:id="rId67" tooltip="Property:P2427" display="https://www.wikidata.org/wiki/Property:P2427" xr:uid="{049A7748-29D7-449E-9197-5ED299DAEFD7}"/>
    <hyperlink ref="GY1" r:id="rId68" tooltip="Property:P3106" display="https://www.wikidata.org/wiki/Property:P3106" xr:uid="{D30D3C1F-94F8-4201-9DCD-2F1FF655DDF8}"/>
    <hyperlink ref="HF1" r:id="rId69" tooltip="Property:P9943" display="https://www.wikidata.org/wiki/Property:P9943" xr:uid="{BE95C0C7-D8AA-417D-A8E1-B34474B81EAE}"/>
    <hyperlink ref="HG1" r:id="rId70" tooltip="Property:P7982" display="https://www.wikidata.org/wiki/Property:P7982" xr:uid="{7DD5D1B0-D1BE-4D00-9F5D-EEE24A33615F}"/>
    <hyperlink ref="HL1" r:id="rId71" tooltip="Property:P345" display="https://www.wikidata.org/wiki/Property:P345" xr:uid="{FC98B580-FC14-423A-A1FA-A2B69410B6B7}"/>
    <hyperlink ref="HM1" r:id="rId72" tooltip="Property:P11924" display="https://www.wikidata.org/wiki/Property:P11924" xr:uid="{B3B151B0-A9AE-4ADA-B663-2BBDA367D63B}"/>
    <hyperlink ref="HQ1" r:id="rId73" tooltip="Property:P9871" display="https://www.wikidata.org/wiki/Property:P9871" xr:uid="{599044C9-7A5C-4BAE-B535-E4DE3BF173E7}"/>
    <hyperlink ref="HU1" r:id="rId74" tooltip="Property:P2003" display="https://www.wikidata.org/wiki/Property:P2003" xr:uid="{DC4A5474-F1A3-48E9-968E-3F9A2DB0E17B}"/>
    <hyperlink ref="HV1" r:id="rId75" tooltip="Property:P1771" display="https://www.wikidata.org/wiki/Property:P1771" xr:uid="{94B940E6-E48F-4751-A709-7E179406118D}"/>
    <hyperlink ref="HW1" r:id="rId76" tooltip="Property:P5063" display="https://www.wikidata.org/wiki/Property:P5063" xr:uid="{7A33FDAC-3A94-4BFE-AE89-3B28CC8024FD}"/>
    <hyperlink ref="HY1" r:id="rId77" tooltip="Property:P3743" display="https://www.wikidata.org/wiki/Property:P3743" xr:uid="{9CEC69DF-4CBD-41CB-B491-EC28F607C5EB}"/>
    <hyperlink ref="IC1" r:id="rId78" tooltip="Property:P6698" display="https://www.wikidata.org/wiki/Property:P6698" xr:uid="{379E133C-B468-40AF-BEB9-9884E18E77F1}"/>
    <hyperlink ref="IJ1" r:id="rId79" tooltip="Property:P8408" display="https://www.wikidata.org/wiki/Property:P8408" xr:uid="{E1A6725D-ADA7-4ECD-8C01-80DBAF451470}"/>
    <hyperlink ref="IQ1" r:id="rId80" tooltip="Property:P3393" display="https://www.wikidata.org/wiki/Property:P3393" xr:uid="{1B25F0A8-14C9-48CA-8DAB-285CA53C6B3F}"/>
    <hyperlink ref="IS1" r:id="rId81" tooltip="Property:P4033" display="https://www.wikidata.org/wiki/Property:P4033" xr:uid="{317138BF-9A7B-4EFF-83BE-ECC6B52B9AD0}"/>
    <hyperlink ref="IT1" r:id="rId82" tooltip="Property:P10882" display="https://www.wikidata.org/wiki/Property:P10882" xr:uid="{A9928C42-7272-4D95-9987-99408B6715CF}"/>
    <hyperlink ref="IX1" r:id="rId83" tooltip="Property:P6366" display="https://www.wikidata.org/wiki/Property:P6366" xr:uid="{C64CC7F1-E631-466D-8C09-65EDABDF9219}"/>
    <hyperlink ref="IY1" r:id="rId84" tooltip="Property:P7632" display="https://www.wikidata.org/wiki/Property:P7632" xr:uid="{8857B2C3-0D35-4B75-B4C4-6F6A17226447}"/>
    <hyperlink ref="JB1" r:id="rId85" tooltip="Property:P2174" display="https://www.wikidata.org/wiki/Property:P2174" xr:uid="{F5E7C605-8FEF-4769-9B3C-DB3724DBF93E}"/>
    <hyperlink ref="JD1" r:id="rId86" tooltip="Property:P9957" display="https://www.wikidata.org/wiki/Property:P9957" xr:uid="{85D0CD20-2548-4464-AC11-DFDA766A8270}"/>
    <hyperlink ref="JI1" r:id="rId87" tooltip="Property:P1004" display="https://www.wikidata.org/wiki/Property:P1004" xr:uid="{AC3555B3-5A23-4737-A384-595F44628EEC}"/>
    <hyperlink ref="JL1" r:id="rId88" tooltip="Property:P949" display="https://www.wikidata.org/wiki/Property:P949" xr:uid="{71246B25-5B89-43BA-A48A-AADC0E5C0D68}"/>
    <hyperlink ref="JS1" r:id="rId89" tooltip="Property:P3222" display="https://www.wikidata.org/wiki/Property:P3222" xr:uid="{783A4F77-E1D2-4C6C-841B-77E8C5EB0CAB}"/>
    <hyperlink ref="JU1" r:id="rId90" tooltip="Property:P3221" display="https://www.wikidata.org/wiki/Property:P3221" xr:uid="{87A01BFA-C4BC-4F7A-A555-E9166EE368BB}"/>
    <hyperlink ref="JV1" r:id="rId91" tooltip="Property:P6900" display="https://www.wikidata.org/wiki/Property:P6900" xr:uid="{D4E2EDEB-3AFB-44C4-91B9-98777BDE8632}"/>
    <hyperlink ref="JW1" r:id="rId92" tooltip="Property:P1315" display="https://www.wikidata.org/wiki/Property:P1315" xr:uid="{EDFD6108-9883-49DC-8F34-6369E6B0179B}"/>
    <hyperlink ref="JY1" r:id="rId93" tooltip="Property:P1213" display="https://www.wikidata.org/wiki/Property:P1213" xr:uid="{41255CEA-5DA3-4910-9388-8537C52A2184}"/>
    <hyperlink ref="KD1" r:id="rId94" tooltip="Property:P4629" display="https://www.wikidata.org/wiki/Property:P4629" xr:uid="{B287BD2F-CEA2-4A4A-865A-3739D4E2682C}"/>
    <hyperlink ref="KH1" r:id="rId95" tooltip="Property:P7305" display="https://www.wikidata.org/wiki/Property:P7305" xr:uid="{16DB7606-49B5-4FC2-99AD-25356BA84B37}"/>
    <hyperlink ref="KI1" r:id="rId96" tooltip="Property:P3153" display="https://www.wikidata.org/wiki/Property:P3153" xr:uid="{B9A10C94-2669-4E15-889E-6FC86358623B}"/>
    <hyperlink ref="KK1" r:id="rId97" tooltip="Property:P648" display="https://www.wikidata.org/wiki/Property:P648" xr:uid="{EC6DD199-B550-4E5B-B7B2-4426E9301EDE}"/>
    <hyperlink ref="KM1" r:id="rId98" tooltip="Property:P10283" display="https://www.wikidata.org/wiki/Property:P10283" xr:uid="{C2415CA7-A684-4AED-8F80-E115BA48819B}"/>
    <hyperlink ref="KT1" r:id="rId99" tooltip="Property:P402" display="https://www.wikidata.org/wiki/Property:P402" xr:uid="{0EB501B3-1412-4643-87E8-EF5D246AFFF8}"/>
    <hyperlink ref="KX1" r:id="rId100" tooltip="Property:P3347" display="https://www.wikidata.org/wiki/Property:P3347" xr:uid="{CD1CAFC2-98E8-48FF-BA11-A3AEFD3A3506}"/>
    <hyperlink ref="LB1" r:id="rId101" tooltip="Property:P4293" display="https://www.wikidata.org/wiki/Property:P4293" xr:uid="{2452EDA2-F903-40EE-A4B6-5B9C5725CE64}"/>
    <hyperlink ref="LD1" r:id="rId102" tooltip="Property:P9937" display="https://www.wikidata.org/wiki/Property:P9937" xr:uid="{B7F0417C-6765-44F0-A250-CEC80E47E3A2}"/>
    <hyperlink ref="LF1" r:id="rId103" tooltip="Property:P8349" display="https://www.wikidata.org/wiki/Property:P8349" xr:uid="{5F33B11D-C2E4-431A-AC61-072586A66110}"/>
    <hyperlink ref="LI1" r:id="rId104" tooltip="Property:P5584" display="https://www.wikidata.org/wiki/Property:P5584" xr:uid="{B6849453-9208-41B1-AC8C-C5C736B54141}"/>
    <hyperlink ref="LJ1" r:id="rId105" tooltip="Property:P3417" display="https://www.wikidata.org/wiki/Property:P3417" xr:uid="{9AAA1A58-D468-45E4-8769-F74D3EE21CC3}"/>
    <hyperlink ref="LL1" r:id="rId106" tooltip="Property:P5181" display="https://www.wikidata.org/wiki/Property:P5181" xr:uid="{522DC934-2106-4A9F-A6E5-1E357EEDED07}"/>
    <hyperlink ref="LO1" r:id="rId107" tooltip="Property:P4096" display="https://www.wikidata.org/wiki/Property:P4096" xr:uid="{D45CA236-AF7D-485B-B69A-BD0DD18DF375}"/>
    <hyperlink ref="LQ1" r:id="rId108" tooltip="Property:P2740" display="https://www.wikidata.org/wiki/Property:P2740" xr:uid="{5D7A6A22-EB0B-4653-97C4-CFE4B1665159}"/>
    <hyperlink ref="LR1" r:id="rId109" tooltip="Property:P3500" display="https://www.wikidata.org/wiki/Property:P3500" xr:uid="{9033FB75-D61B-488A-8A6A-4CC1B972BD50}"/>
    <hyperlink ref="LU1" r:id="rId110" tooltip="Property:P6782" display="https://www.wikidata.org/wiki/Property:P6782" xr:uid="{B409A084-D726-4C78-86BF-74C2396BBF0A}"/>
    <hyperlink ref="LX1" r:id="rId111" tooltip="Property:P9756" display="https://www.wikidata.org/wiki/Property:P9756" xr:uid="{BC270BB4-63E7-424F-85FA-4571F5E2ABD7}"/>
    <hyperlink ref="MA1" r:id="rId112" tooltip="Property:P5432" display="https://www.wikidata.org/wiki/Property:P5432" xr:uid="{4289E7DB-9D61-47E9-9748-3F61F6F4C7F9}"/>
    <hyperlink ref="ME1" r:id="rId113" tooltip="Property:P12026" display="https://www.wikidata.org/wiki/Property:P12026" xr:uid="{D61133B8-C551-4185-A9C9-77AB8731E38B}"/>
    <hyperlink ref="MG1" r:id="rId114" tooltip="Property:P3987" display="https://www.wikidata.org/wiki/Property:P3987" xr:uid="{293564EF-21F3-41BD-9086-4D30740002A0}"/>
    <hyperlink ref="ML1" r:id="rId115" tooltip="Property:P3430" display="https://www.wikidata.org/wiki/Property:P3430" xr:uid="{6445A6EC-6895-4A3A-8C54-EEB9272F9CF0}"/>
    <hyperlink ref="MN1" r:id="rId116" tooltip="Property:P12749" display="https://www.wikidata.org/wiki/Property:P12749" xr:uid="{A2FBE33F-EDFD-4734-BBC3-886C3A45EC85}"/>
    <hyperlink ref="MO1" r:id="rId117" tooltip="Property:P3977" display="https://www.wikidata.org/wiki/Property:P3977" xr:uid="{834BC6D8-3BAF-4276-B2E5-B0B4138E566D}"/>
    <hyperlink ref="MP1" r:id="rId118" tooltip="Property:P3040" display="https://www.wikidata.org/wiki/Property:P3040" xr:uid="{B23CA023-0CAE-4882-806D-DDF54B98B6F7}"/>
    <hyperlink ref="MR1" r:id="rId119" tooltip="Property:P4342" display="https://www.wikidata.org/wiki/Property:P4342" xr:uid="{F991FD3A-087E-4A08-9570-5EC4A8788253}"/>
    <hyperlink ref="MS1" r:id="rId120" tooltip="Property:P454" display="https://www.wikidata.org/wiki/Property:P454" xr:uid="{FC705E67-954B-4111-AB9F-D0264439684B}"/>
    <hyperlink ref="MU1" r:id="rId121" tooltip="Property:P3984" display="https://www.wikidata.org/wiki/Property:P3984" xr:uid="{822BA823-552A-407F-A924-4CA690BA0E27}"/>
    <hyperlink ref="MY1" r:id="rId122" tooltip="Property:P2468" display="https://www.wikidata.org/wiki/Property:P2468" xr:uid="{B5834D0F-777A-4CD0-9356-3D1D4EA72585}"/>
    <hyperlink ref="MZ1" r:id="rId123" tooltip="Property:P11892" display="https://www.wikidata.org/wiki/Property:P11892" xr:uid="{6C3A1F1C-ACBA-4BF4-96F2-BA995AD87FCB}"/>
    <hyperlink ref="NE1" r:id="rId124" tooltip="Property:P5586" display="https://www.wikidata.org/wiki/Property:P5586" xr:uid="{82831F3C-1FDE-48C6-A3CE-7A53BC91BA39}"/>
    <hyperlink ref="NF1" r:id="rId125" tooltip="Property:P3365" display="https://www.wikidata.org/wiki/Property:P3365" xr:uid="{19A5DB0D-7A34-435B-A8FB-558411F2CA58}"/>
    <hyperlink ref="NG1" r:id="rId126" tooltip="Property:P4223" display="https://www.wikidata.org/wiki/Property:P4223" xr:uid="{4E454DDF-47DC-44DA-8A58-C8E41EB25455}"/>
    <hyperlink ref="NM1" r:id="rId127" tooltip="Property:P2002" display="https://www.wikidata.org/wiki/Property:P2002" xr:uid="{AB1F2584-E7C6-4EE8-ADD8-7732639294AB}"/>
    <hyperlink ref="NN1" r:id="rId128" tooltip="Property:P5600" display="https://www.wikidata.org/wiki/Property:P5600" xr:uid="{3DD59163-A2D5-4B32-BA61-6CB80B624CB5}"/>
    <hyperlink ref="NO1" r:id="rId129" tooltip="Property:P4527" display="https://www.wikidata.org/wiki/Property:P4527" xr:uid="{1371F771-6043-4C4A-8DD0-2F9D9E72B05A}"/>
    <hyperlink ref="NT1" r:id="rId130" tooltip="Property:P6821" display="https://www.wikidata.org/wiki/Property:P6821" xr:uid="{D95F836C-B45C-43E5-A565-3090521E2DA0}"/>
    <hyperlink ref="NX1" r:id="rId131" tooltip="Property:P1017" display="https://www.wikidata.org/wiki/Property:P1017" xr:uid="{CB4A90CE-A86B-4A61-8100-F0338834A125}"/>
    <hyperlink ref="OB1" r:id="rId132" tooltip="Property:P12086" display="https://www.wikidata.org/wiki/Property:P12086" xr:uid="{E54E553C-88BD-4F7D-A0D8-C8D978CB64B8}"/>
    <hyperlink ref="OC1" r:id="rId133" tooltip="Property:P4839" display="https://www.wikidata.org/wiki/Property:P4839" xr:uid="{A90EC82F-AC65-4542-8C61-0AFEE6AA8B0D}"/>
    <hyperlink ref="OI1" r:id="rId134" tooltip="Property:P8814" display="https://www.wikidata.org/wiki/Property:P8814" xr:uid="{F39697F6-114A-4C8C-8611-84B4B163D6C7}"/>
    <hyperlink ref="ON1" r:id="rId135" tooltip="Property:P2397" display="https://www.wikidata.org/wiki/Property:P2397" xr:uid="{FFAAE07E-2ED9-41A5-9B87-3AD0B0223C3C}"/>
    <hyperlink ref="A2" r:id="rId136" display="https://ror.org/03vek6s52" xr:uid="{56955936-60B9-4BF4-8015-5F774E029D22}"/>
    <hyperlink ref="A3" r:id="rId137" display="https://ror.org/00f54p054" xr:uid="{7396188E-7B69-469D-8786-E4620C741FB3}"/>
    <hyperlink ref="A4" r:id="rId138" display="https://ror.org/042nb2s44" xr:uid="{3C8A313E-1ED9-4725-B29E-83C767186865}"/>
    <hyperlink ref="P1" r:id="rId139" tooltip="Property:P950" display="https://www.wikidata.org/wiki/Property:P950" xr:uid="{5A931CCB-4FB3-41F9-AFB8-9470401EEE43}"/>
    <hyperlink ref="M1" r:id="rId140" tooltip="Property:P4619" display="https://www.wikidata.org/wiki/Property:P4619" xr:uid="{6901030F-C950-419B-B4C4-923FD559FE44}"/>
    <hyperlink ref="S1" r:id="rId141" tooltip="Property:P1670" display="https://www.wikidata.org/wiki/Property:P1670" xr:uid="{F94421E5-B7A4-473B-82E8-23C6509DB6C1}"/>
    <hyperlink ref="X1" r:id="rId142" tooltip="Property:P2163" display="https://www.wikidata.org/wiki/Property:P2163" xr:uid="{5A76A763-74E3-4B52-81DB-82D04D89570E}"/>
    <hyperlink ref="AG1" r:id="rId143" tooltip="Property:P10227" display="https://www.wikidata.org/wiki/Property:P10227" xr:uid="{1206E72F-45E7-4437-B53D-8A1F9F8F73F0}"/>
    <hyperlink ref="AR1" r:id="rId144" tooltip="Property:P7700" display="https://www.wikidata.org/wiki/Property:P7700" xr:uid="{6FBEDD0E-2760-4820-874F-9C5874F80EBA}"/>
    <hyperlink ref="DJ1" r:id="rId145" tooltip="Property:P10206" display="https://www.wikidata.org/wiki/Property:P10206" xr:uid="{3448E3A1-A3CA-4228-9002-7032BC4BD171}"/>
    <hyperlink ref="ED1" r:id="rId146" tooltip="Property:P8313" display="https://www.wikidata.org/wiki/Property:P8313" xr:uid="{05CB5DBB-64AE-4CA3-BE48-CF9F674D8ED5}"/>
    <hyperlink ref="FC1" r:id="rId147" tooltip="Property:P6653" display="https://www.wikidata.org/wiki/Property:P6653" xr:uid="{5D51656E-229B-4D3D-A18A-989DA2417C16}"/>
    <hyperlink ref="GB1" r:id="rId148" tooltip="Property:P1667" display="https://www.wikidata.org/wiki/Property:P1667" xr:uid="{A7578E2D-D05E-4E7E-956E-8770C3563E50}"/>
    <hyperlink ref="IM1" r:id="rId149" tooltip="Property:P7400" display="https://www.wikidata.org/wiki/Property:P7400" xr:uid="{48F67F7B-B94A-49D4-92F3-F57AC1BD7B5B}"/>
    <hyperlink ref="IU1" r:id="rId150" tooltip="Property:P7886" display="https://www.wikidata.org/wiki/Property:P7886" xr:uid="{97BB0944-D92B-4A19-8EB2-A22896A5E3FE}"/>
    <hyperlink ref="JH1" r:id="rId151" tooltip="Property:P966" display="https://www.wikidata.org/wiki/Property:P966" xr:uid="{3F1896AB-EE6E-4E6A-BACB-D0E96653950C}"/>
    <hyperlink ref="JX1" r:id="rId152" tooltip="Property:P1695" display="https://www.wikidata.org/wiki/Property:P1695" xr:uid="{3D0A1D99-D811-4C71-B24F-969C6A959C52}"/>
    <hyperlink ref="KJ1" r:id="rId153" tooltip="Property:P1320" display="https://www.wikidata.org/wiki/Property:P1320" xr:uid="{111DA1A1-5B61-4886-AB4A-04EBEF06D430}"/>
    <hyperlink ref="KQ1" r:id="rId154" tooltip="Property:P3762" display="https://www.wikidata.org/wiki/Property:P3762" xr:uid="{3807D2EA-A9C5-4B8B-9E77-51B3D5910967}"/>
    <hyperlink ref="MB1" r:id="rId155" tooltip="Property:P4389" display="https://www.wikidata.org/wiki/Property:P4389" xr:uid="{ECCBA5E9-BD68-4D0D-A120-64A9670E9253}"/>
    <hyperlink ref="MX1" r:id="rId156" tooltip="Property:P3544" display="https://www.wikidata.org/wiki/Property:P3544" xr:uid="{1E8F2C10-978C-48CB-8987-76A667AC877E}"/>
    <hyperlink ref="NK1" r:id="rId157" tooltip="Property:P11806" display="https://www.wikidata.org/wiki/Property:P11806" xr:uid="{0F611A2D-E01B-4162-8947-150C62044736}"/>
    <hyperlink ref="OQ1" r:id="rId158" tooltip="Property:P3553" display="https://www.wikidata.org/wiki/Property:P3553" xr:uid="{01DF6FFB-60BA-4F75-BE5F-F89C36D78B89}"/>
    <hyperlink ref="OK1" r:id="rId159" tooltip="Property:P8672" display="https://www.wikidata.org/wiki/Property:P8672" xr:uid="{E065EA52-6505-466B-8224-8F643A7E7AB8}"/>
    <hyperlink ref="OF1" r:id="rId160" tooltip="Property:P1281" display="https://www.wikidata.org/wiki/Property:P1281" xr:uid="{444B727D-EC31-42C2-A460-3F1AF7C4082B}"/>
    <hyperlink ref="J1" r:id="rId161" tooltip="Property:P9984" display="https://www.wikidata.org/wiki/Property:P9984" xr:uid="{F2655034-3ECC-4639-B024-79CD76A01C2D}"/>
    <hyperlink ref="AH1" r:id="rId162" tooltip="Property:P349" display="https://www.wikidata.org/wiki/Property:P349" xr:uid="{1BCECDA1-CA2F-4597-B51D-5DD440092DA8}"/>
    <hyperlink ref="CJ1" r:id="rId163" tooltip="Property:P6200" display="https://www.wikidata.org/wiki/Property:P6200" xr:uid="{835E99C3-080E-4FA9-80E2-EEE71114FF20}"/>
    <hyperlink ref="CK1" r:id="rId164" tooltip="Property:P1617" display="https://www.wikidata.org/wiki/Property:P1617" xr:uid="{17B844B3-4442-4EA5-B4AA-F15FC7024BE8}"/>
    <hyperlink ref="CZ1" r:id="rId165" tooltip="Property:P4104" display="https://www.wikidata.org/wiki/Property:P4104" xr:uid="{47DB07F6-C4BA-499F-B6CC-C25950B26C6E}"/>
    <hyperlink ref="DX1" r:id="rId166" tooltip="Property:P3206" display="https://www.wikidata.org/wiki/Property:P3206" xr:uid="{E8F48773-633A-410C-8546-AA22B1904C75}"/>
    <hyperlink ref="EZ1" r:id="rId167" tooltip="Property:P9545" display="https://www.wikidata.org/wiki/Property:P9545" xr:uid="{AF7A7E27-180B-4844-A972-5A79D7320EB6}"/>
    <hyperlink ref="HN1" r:id="rId168" tooltip="Property:P12252" display="https://www.wikidata.org/wiki/Property:P12252" xr:uid="{D808A0F7-12F1-4741-AB5F-5DCD866AF96C}"/>
    <hyperlink ref="HP1" r:id="rId169" tooltip="Property:P11615" display="https://www.wikidata.org/wiki/Property:P11615" xr:uid="{CFB7B491-37CC-46C9-9DC5-E2E9AF1FDA7C}"/>
    <hyperlink ref="IP1" r:id="rId170" tooltip="Property:P4264" display="https://www.wikidata.org/wiki/Property:P4264" xr:uid="{9B39D911-A67C-4A0A-B949-569777F68F5F}"/>
    <hyperlink ref="IO1" r:id="rId171" tooltip="Property:P6058" display="https://www.wikidata.org/wiki/Property:P6058" xr:uid="{8F03D99B-2969-4221-B86E-796328F54B7D}"/>
    <hyperlink ref="IG1" r:id="rId172" tooltip="Property:P3874" display="https://www.wikidata.org/wiki/Property:P3874" xr:uid="{AA7D4789-9D9F-4211-A0F4-E139F0E89135}"/>
    <hyperlink ref="IE1" r:id="rId173" tooltip="Property:P6740" display="https://www.wikidata.org/wiki/Property:P6740" xr:uid="{8E7BE22A-C511-4EDD-9EA5-B38ED3C875C4}"/>
    <hyperlink ref="JJ1" r:id="rId174" tooltip="Property:P1870" display="https://www.wikidata.org/wiki/Property:P1870" xr:uid="{2D27F2AC-5BA0-41F5-90AE-ECAB9B3DCA11}"/>
    <hyperlink ref="KE1" r:id="rId175" tooltip="Property:P1245" display="https://www.wikidata.org/wiki/Property:P1245" xr:uid="{EA7403E1-4F40-461B-9B3C-C95D8BDDB5F6}"/>
    <hyperlink ref="LY1" r:id="rId176" tooltip="Property:P4012" display="https://www.wikidata.org/wiki/Property:P4012" xr:uid="{4000B89E-6C15-43F0-A37E-0D0F7F8E4FDA}"/>
    <hyperlink ref="NR1" r:id="rId177" tooltip="Property:P11686" display="https://www.wikidata.org/wiki/Property:P11686" xr:uid="{5A3632C9-5BD1-4C93-B88D-0E5AB216D63A}"/>
    <hyperlink ref="OL1" r:id="rId178" tooltip="Property:P2002" display="https://www.wikidata.org/wiki/Property:P2002" xr:uid="{FEFDA782-1239-4D33-B088-8DABE4DDC8BD}"/>
    <hyperlink ref="A5" r:id="rId179" display="https://ror.org/052gg0110" xr:uid="{EBA8244A-7263-49EA-A14D-0C8173F39C88}"/>
    <hyperlink ref="T1" r:id="rId180" tooltip="Property:P5504" display="https://www.wikidata.org/wiki/Property:P5504" xr:uid="{A314CB26-D376-4F8E-A36C-093490812DF3}"/>
    <hyperlink ref="AS1" r:id="rId181" tooltip="Property:P5587" display="https://www.wikidata.org/wiki/Property:P5587" xr:uid="{93E6C68F-3B9D-4010-9185-360C2F45CB6F}"/>
    <hyperlink ref="AT1" r:id="rId182" tooltip="Property:P906" display="https://www.wikidata.org/wiki/Property:P906" xr:uid="{1F43EAFF-474A-4918-8295-EE55C58A5150}"/>
    <hyperlink ref="CU1" r:id="rId183" tooltip="Property:P1711" display="https://www.wikidata.org/wiki/Property:P1711" xr:uid="{43A737A9-1FF2-4ED7-AFA3-B49245ED823E}"/>
    <hyperlink ref="DA1" r:id="rId184" tooltip="Property:P3241" display="https://www.wikidata.org/wiki/Property:P3241" xr:uid="{E9E31511-345B-4063-B0BC-7D35C9C4D171}"/>
    <hyperlink ref="EE1" r:id="rId185" tooltip="Property:P2253" display="https://www.wikidata.org/wiki/Property:P2253" xr:uid="{0CA031D5-689F-48A6-BE58-EF5B5330FBD3}"/>
    <hyperlink ref="EH1" r:id="rId186" tooltip="Property:P1607" display="https://www.wikidata.org/wiki/Property:P1607" xr:uid="{A1F39845-36BD-4BB3-9036-9FC4A988FCD5}"/>
    <hyperlink ref="EM1" r:id="rId187" tooltip="Property:P4672" display="https://www.wikidata.org/wiki/Property:P4672" xr:uid="{2EE026B4-23FE-472C-AD58-B165480D89A6}"/>
    <hyperlink ref="EO1" r:id="rId188" tooltip="Property:P8826" display="https://www.wikidata.org/wiki/Property:P8826" xr:uid="{8A03AFBE-E7C3-40CE-9B37-A2EDB77C2CD7}"/>
    <hyperlink ref="EW1" r:id="rId189" tooltip="Property:P3219" display="https://www.wikidata.org/wiki/Property:P3219" xr:uid="{06BCC29C-657B-4049-8F31-490AC16222A0}"/>
    <hyperlink ref="FF1" r:id="rId190" tooltip="Property:P2657" display="https://www.wikidata.org/wiki/Property:P2657" xr:uid="{597424E5-1BE9-4C9F-BE82-B7C1928594F6}"/>
    <hyperlink ref="GJ1" r:id="rId191" tooltip="Property:P2963" display="https://www.wikidata.org/wiki/Property:P2963" xr:uid="{866C12D2-F75C-41BA-8CD4-F7B1496EAFC6}"/>
    <hyperlink ref="GP1" r:id="rId192" tooltip="Property:P5337" display="https://www.wikidata.org/wiki/Property:P5337" xr:uid="{D96C46B3-EE00-4D25-B013-6F214BA3A634}"/>
    <hyperlink ref="GW1" r:id="rId193" tooltip="Property:P11514" display="https://www.wikidata.org/wiki/Property:P11514" xr:uid="{691E5115-B20C-4596-99DD-C08662A0F9B5}"/>
    <hyperlink ref="GZ1" r:id="rId194" tooltip="Property:P6773" display="https://www.wikidata.org/wiki/Property:P6773" xr:uid="{CF365462-B81A-4A78-8294-65B1DDE739BA}"/>
    <hyperlink ref="JN1" r:id="rId195" tooltip="Property:P9495" display="https://www.wikidata.org/wiki/Property:P9495" xr:uid="{6E8ADB87-F81C-451D-BC2D-D075FB007207}"/>
    <hyperlink ref="JP1" r:id="rId196" tooltip="Property:P2966" display="https://www.wikidata.org/wiki/Property:P2966" xr:uid="{6B3C6215-E747-4D0D-960A-713883362945}"/>
    <hyperlink ref="KF1" r:id="rId197" tooltip="Property:P6778" display="https://www.wikidata.org/wiki/Property:P6778" xr:uid="{36A5B6E3-8A13-44D0-838A-CB04061BA349}"/>
    <hyperlink ref="KL1" r:id="rId198" tooltip="Property:P3847" display="https://www.wikidata.org/wiki/Property:P3847" xr:uid="{E0B47496-6766-43D8-9788-0CAC4AC72ECD}"/>
    <hyperlink ref="KO1" r:id="rId199" tooltip="Property:P5256" display="https://www.wikidata.org/wiki/Property:P5256" xr:uid="{66E400A3-84A9-4A49-A13B-C98DF00ADBEC}"/>
    <hyperlink ref="LN1" r:id="rId200" tooltip="Property:P4553" display="https://www.wikidata.org/wiki/Property:P4553" xr:uid="{10C0A124-6A2E-4018-9A53-B3FFCEFCAD4A}"/>
    <hyperlink ref="LV1" r:id="rId201" tooltip="Property:P4808" display="https://www.wikidata.org/wiki/Property:P4808" xr:uid="{B6582709-997B-4E35-982A-28978477EF8D}"/>
    <hyperlink ref="MF1" r:id="rId202" tooltip="Property:P2886" display="https://www.wikidata.org/wiki/Property:P2886" xr:uid="{57B63019-7748-4DAC-9456-FBE09C98FAB1}"/>
    <hyperlink ref="NP1" r:id="rId203" tooltip="Property:P4971" display="https://www.wikidata.org/wiki/Property:P4971" xr:uid="{F49E6913-4844-4B51-AF90-68BCE76C7CC1}"/>
    <hyperlink ref="NZ1" r:id="rId204" tooltip="Property:P8167" display="https://www.wikidata.org/wiki/Property:P8167" xr:uid="{356D4E0F-1C11-4034-93DB-0C46CE1B7EB9}"/>
    <hyperlink ref="A7" r:id="rId205" display="https://ror.org/00jmfr291" xr:uid="{522B1A65-5D41-410B-8DBA-24558D4E9D19}"/>
    <hyperlink ref="A6" r:id="rId206" display="https://ror.org/01an7q238" xr:uid="{61E85DDF-2FC9-466A-8A04-2A666A9AC34E}"/>
    <hyperlink ref="C1" r:id="rId207" tooltip="Property:P3035" display="https://www.wikidata.org/wiki/Property:P3035" xr:uid="{FF752CDC-9174-425A-ACDB-1FF73CEA5877}"/>
    <hyperlink ref="N1" r:id="rId208" tooltip="Property:P9984" display="https://www.wikidata.org/wiki/Property:P9984" xr:uid="{917724F9-60DC-4A9B-A06C-FF714FAF4CCD}"/>
    <hyperlink ref="GM1" r:id="rId209" tooltip="Property:P2671" display="https://www.wikidata.org/wiki/Property:P2671" xr:uid="{082D31A1-23C7-48C7-86D9-DAFC01C413DA}"/>
    <hyperlink ref="LA1" r:id="rId210" tooltip="Property:P3836" display="https://www.wikidata.org/wiki/Property:P3836" xr:uid="{E3C06223-10F9-423B-BCF9-0EB31584B113}"/>
    <hyperlink ref="OG1" r:id="rId211" tooltip="Property:P3579" display="https://www.wikidata.org/wiki/Property:P3579" xr:uid="{5136DB9E-3395-4317-AC3D-F3767C95BB93}"/>
    <hyperlink ref="O1" r:id="rId212" tooltip="Property:P7369" display="https://www.wikidata.org/wiki/Property:P7369" xr:uid="{F14AAB43-F570-4291-BC33-29BB4F038B21}"/>
    <hyperlink ref="AV1" r:id="rId213" tooltip="Property:P7039" display="https://www.wikidata.org/wiki/Property:P7039" xr:uid="{53E79859-17D2-4228-B999-5F0FD0EBD0FC}"/>
    <hyperlink ref="BH1" r:id="rId214" tooltip="Property:P5260" display="https://www.wikidata.org/wiki/Property:P5260" xr:uid="{C4190FCE-C9A3-4AD5-8A52-3827C4AAD19A}"/>
    <hyperlink ref="DB1" r:id="rId215" tooltip="Property:P5574" display="https://www.wikidata.org/wiki/Property:P5574" xr:uid="{DDF802E0-404A-4F5E-A05B-BE443B4BA7E3}"/>
    <hyperlink ref="DC1" r:id="rId216" tooltip="Property:P1273" display="https://www.wikidata.org/wiki/Property:P1273" xr:uid="{5D92588A-0B75-4D17-ABD5-D01F189B2A47}"/>
    <hyperlink ref="DD1" r:id="rId217" tooltip="Property:P1890" display="https://www.wikidata.org/wiki/Property:P1890" xr:uid="{B6B2F2AF-32E7-4A25-BB61-81B1E94AD521}"/>
    <hyperlink ref="DI1" r:id="rId218" tooltip="Property:P5905" display="https://www.wikidata.org/wiki/Property:P5905" xr:uid="{5CB8F439-56AE-4BC9-9830-83215AC74B50}"/>
    <hyperlink ref="EG1" r:id="rId219" tooltip="Property:P2771" display="https://www.wikidata.org/wiki/Property:P2771" xr:uid="{B1D3662A-BCE7-4834-8515-45E29680348B}"/>
    <hyperlink ref="DU1" r:id="rId220" tooltip="Property:P998" display="https://www.wikidata.org/wiki/Property:P998" xr:uid="{9CAAE5A5-D99B-4606-90CB-17EB6497BED4}"/>
    <hyperlink ref="FJ1" r:id="rId221" tooltip="Property:P1968" display="https://www.wikidata.org/wiki/Property:P1968" xr:uid="{55335C78-BA86-49B8-B05D-9741D8C97125}"/>
    <hyperlink ref="HT1" r:id="rId222" tooltip="Property:P4173" display="https://www.wikidata.org/wiki/Property:P4173" xr:uid="{DD3BC32A-F010-47C2-80D9-D5F320E7560C}"/>
    <hyperlink ref="HZ1" r:id="rId223" tooltip="Property:P1297" display="https://www.wikidata.org/wiki/Property:P1297" xr:uid="{0217E14F-9676-4564-8AB5-4CAAF68813CC}"/>
    <hyperlink ref="OM1" r:id="rId224" tooltip="Property:P3108" display="https://www.wikidata.org/wiki/Property:P3108" xr:uid="{2AFD6022-910A-436D-B580-F1A5CAAA1D47}"/>
    <hyperlink ref="A8" r:id="rId225" display="https://ror.org/05bnh6r87" xr:uid="{1DBA7016-D4C4-4B32-B2F6-5F7EB0497A51}"/>
    <hyperlink ref="FK1" r:id="rId226" tooltip="Property:P11194" display="https://www.wikidata.org/wiki/Property:P11194" xr:uid="{0F773CC0-ABFC-4667-A90A-0D77450C52B8}"/>
    <hyperlink ref="A9" r:id="rId227" display="https://ror.org/00cvxb145" xr:uid="{C127F0FC-00A8-477B-B6C1-CB04FC82D9C5}"/>
    <hyperlink ref="Y1" r:id="rId228" tooltip="Property:P396" display="https://www.wikidata.org/wiki/Property:P396" xr:uid="{B95848D3-94FC-4912-BC96-EA09ACBA6DA2}"/>
    <hyperlink ref="AW1" r:id="rId229" tooltip="Property:P10832" display="https://www.wikidata.org/wiki/Property:P10832" xr:uid="{9265DA78-03D3-44A1-83BC-CCC1DB9604AC}"/>
    <hyperlink ref="NL1" r:id="rId230" tooltip="Property:P3943" display="https://www.wikidata.org/wiki/Property:P3943" xr:uid="{896E4031-AC5A-4B4F-966A-E94A627355E3}"/>
    <hyperlink ref="A10" r:id="rId231" display="https://ror.org/00hj8s172" xr:uid="{159C0AB6-211A-4C3F-9949-DE484AD75A99}"/>
    <hyperlink ref="DK1" r:id="rId232" tooltip="Property:P2011" display="https://www.wikidata.org/wiki/Property:P2011" xr:uid="{C64EFCE5-EC41-4D08-AAE4-38F9DE41C537}"/>
    <hyperlink ref="EK1" r:id="rId233" tooltip="Property:P6849" display="https://www.wikidata.org/wiki/Property:P6849" xr:uid="{8CFFA587-7EDC-4030-A006-A5DF7B089837}"/>
    <hyperlink ref="FE1" r:id="rId234" tooltip="Property:P5785" display="https://www.wikidata.org/wiki/Property:P5785" xr:uid="{DBF64313-744F-4631-864C-636268DF5B2D}"/>
    <hyperlink ref="HK1" r:id="rId235" tooltip="Property:P10578" display="https://www.wikidata.org/wiki/Property:P10578" xr:uid="{5B8F1DBA-C35E-4AAD-B058-8F69FFE55C42}"/>
    <hyperlink ref="MI1" r:id="rId236" tooltip="Property:P1795" display="https://www.wikidata.org/wiki/Property:P1795" xr:uid="{B0615492-2F71-4DCA-8B1C-878E7FEADCEF}"/>
    <hyperlink ref="A11" r:id="rId237" display="https://ror.org/00b30xv10" xr:uid="{4B25C20E-6737-49AE-949D-405BD9D92FE8}"/>
    <hyperlink ref="CP1" r:id="rId238" tooltip="Property:P9885" display="https://www.wikidata.org/wiki/Property:P9885" xr:uid="{24CCD6B6-7111-45ED-A5BA-9A5AABFC50C8}"/>
    <hyperlink ref="CQ1" r:id="rId239" tooltip="Property:P3377" display="https://www.wikidata.org/wiki/Property:P3377" xr:uid="{B2164460-BCAC-4E73-83F5-1C8A9C0C2826}"/>
    <hyperlink ref="EC1" r:id="rId240" tooltip="Property:P5232" display="https://www.wikidata.org/wiki/Property:P5232" xr:uid="{00D4DB6D-1B63-42D9-8F12-2A8537B506A7}"/>
    <hyperlink ref="FP1" r:id="rId241" tooltip="Property:P3267" display="https://www.wikidata.org/wiki/Property:P3267" xr:uid="{A259DA11-D2A9-4408-B74A-F8DF75D51475}"/>
    <hyperlink ref="GA1" r:id="rId242" tooltip="Property:P10018" display="https://www.wikidata.org/wiki/Property:P10018" xr:uid="{5A9975D6-DD97-4D7E-855A-657C3136EC02}"/>
    <hyperlink ref="GE1" r:id="rId243" tooltip="Property:P8060" display="https://www.wikidata.org/wiki/Property:P8060" xr:uid="{8B909E38-3214-4991-A6D5-631D4AB26FE2}"/>
    <hyperlink ref="HR1" r:id="rId244" tooltip="Property:P10285" display="https://www.wikidata.org/wiki/Property:P10285" xr:uid="{EBB7147F-26C6-4280-8211-726554E107B9}"/>
    <hyperlink ref="HO1" r:id="rId245" tooltip="Property:P7471" display="https://www.wikidata.org/wiki/Property:P7471" xr:uid="{B11A3620-CBCD-4353-B2BE-92AAA628F907}"/>
    <hyperlink ref="IH1" r:id="rId246" tooltip="Property:P9918" display="https://www.wikidata.org/wiki/Property:P9918" xr:uid="{949C3F1F-0AD6-44D6-965D-751EE842384C}"/>
    <hyperlink ref="JE1" r:id="rId247" tooltip="Property:P2268" display="https://www.wikidata.org/wiki/Property:P2268" xr:uid="{7DF5BF04-3E15-478B-A44F-0A3355B0E70F}"/>
    <hyperlink ref="KN1" r:id="rId248" tooltip="Property:P1320" display="https://www.wikidata.org/wiki/Property:P1320" xr:uid="{D78949B1-F17F-47D4-B69D-3E145CE3BDE3}"/>
    <hyperlink ref="MH1" r:id="rId249" tooltip="Property:P6329" display="https://www.wikidata.org/wiki/Property:P6329" xr:uid="{5A9A83C5-968E-4D52-B1E4-FC1CEF3ED02A}"/>
    <hyperlink ref="A13" r:id="rId250" display="https://ror.org/00za53h95" xr:uid="{07DF161E-734B-4C9A-9317-0B3007A78C6A}"/>
    <hyperlink ref="DZ1" r:id="rId251" tooltip="Property:P1953" display="https://www.wikidata.org/wiki/Property:P1953" xr:uid="{7F4FA930-DEA1-42FF-87F3-A06D0AEDE308}"/>
    <hyperlink ref="HJ1" r:id="rId252" tooltip="Property:P8217" display="https://www.wikidata.org/wiki/Property:P8217" xr:uid="{59EC6191-D5A4-4303-A644-6143B4CBCD73}"/>
    <hyperlink ref="KW1" r:id="rId253" tooltip="Property:P4813" display="https://www.wikidata.org/wiki/Property:P4813" xr:uid="{B10F2EB9-72B6-417C-A5D8-681E95D1B6AC}"/>
    <hyperlink ref="A12" r:id="rId254" display="https://ror.org/013meh722" xr:uid="{67E29258-CE54-49F1-834D-14CDBEF44CDB}"/>
    <hyperlink ref="BP1" r:id="rId255" tooltip="Property:P1602" display="https://www.wikidata.org/wiki/Property:P1602" xr:uid="{F96311C4-E1B3-405C-8207-001BBA27CC5B}"/>
    <hyperlink ref="CR1" r:id="rId256" tooltip="Property:P5361" display="https://www.wikidata.org/wiki/Property:P5361" xr:uid="{8187AE1A-B0C2-4FDE-9DCF-CB7917B61F5E}"/>
    <hyperlink ref="CW1" r:id="rId257" tooltip="Property:P10834" display="https://www.wikidata.org/wiki/Property:P10834" xr:uid="{EFF37714-DE57-4A5E-B1CC-C877F751B9BA}"/>
    <hyperlink ref="DS1" r:id="rId258" tooltip="Property:P9287" display="https://www.wikidata.org/wiki/Property:P9287" xr:uid="{1EEEB238-8403-43F4-89E7-8D9687BC1069}"/>
    <hyperlink ref="FG1" r:id="rId259" tooltip="Property:P3608" display="https://www.wikidata.org/wiki/Property:P3608" xr:uid="{1AE5666E-53D4-43B8-A943-465330FE27A4}"/>
    <hyperlink ref="FO1" r:id="rId260" tooltip="Property:P5164" display="https://www.wikidata.org/wiki/Property:P5164" xr:uid="{F9805C7A-BB9B-437D-9951-D557EDD34BA3}"/>
    <hyperlink ref="ID1" r:id="rId261" tooltip="Property:P6214" display="https://www.wikidata.org/wiki/Property:P6214" xr:uid="{579F48FD-8808-4C6B-89DD-CA827CDDF28A}"/>
    <hyperlink ref="IK1" r:id="rId262" tooltip="Property:P12674" display="https://www.wikidata.org/wiki/Property:P12674" xr:uid="{2D8BE338-E1DD-4601-B555-497447AC5239}"/>
    <hyperlink ref="IV1" r:id="rId263" tooltip="Property:P3899" display="https://www.wikidata.org/wiki/Property:P3899" xr:uid="{7440304D-D2D2-466B-95FD-900101A77563}"/>
    <hyperlink ref="JA1" r:id="rId264" tooltip="Property:P8801" display="https://www.wikidata.org/wiki/Property:P8801" xr:uid="{3966B23A-19FC-4AF8-80C3-0D6A94E8C807}"/>
    <hyperlink ref="NU1" r:id="rId265" tooltip="Property:P7560" display="https://www.wikidata.org/wiki/Property:P7560" xr:uid="{26D86468-4532-4B90-B597-96C289B0A449}"/>
    <hyperlink ref="A14" r:id="rId266" display="https://ror.org/03v76x132" xr:uid="{441290DF-E708-497C-8E77-183B4DB28619}"/>
    <hyperlink ref="HD1" r:id="rId267" tooltip="Property:P12126" display="https://www.wikidata.org/wiki/Property:P12126" xr:uid="{D4BCF86A-B840-4ABF-86D2-B454769278D2}"/>
    <hyperlink ref="IF1" r:id="rId268" tooltip="Property:P8562" display="https://www.wikidata.org/wiki/Property:P8562" xr:uid="{31FA0AAB-C36E-44ED-9445-90719397C002}"/>
    <hyperlink ref="LG1" r:id="rId269" tooltip="Property:P7403" display="https://www.wikidata.org/wiki/Property:P7403" xr:uid="{344F6B08-D9B3-4AB2-82CA-CA0EDD664789}"/>
    <hyperlink ref="LK1" r:id="rId270" tooltip="Property:P11137" display="https://www.wikidata.org/wiki/Property:P11137" xr:uid="{9DAF0B13-F111-42BF-9931-860A0ACB37F1}"/>
    <hyperlink ref="A15" r:id="rId271" display="https://ror.org/046rm7j60" xr:uid="{D447E9AA-4726-4E38-AE16-99208537737E}"/>
    <hyperlink ref="U1" r:id="rId272" tooltip="Property:P7028" display="https://www.wikidata.org/wiki/Property:P7028" xr:uid="{A372666F-96AE-4E71-8597-5FBA893F54EC}"/>
    <hyperlink ref="BA1" r:id="rId273" tooltip="Property:P1149" display="https://www.wikidata.org/wiki/Property:P1149" xr:uid="{57A40A10-003E-4485-B0B2-A1BF5CD6D500}"/>
    <hyperlink ref="BQ1" r:id="rId274" tooltip="Property:P6295" display="https://www.wikidata.org/wiki/Property:P6295" xr:uid="{B50EEEE1-ECAA-47ED-B1D3-6C177697F6C1}"/>
    <hyperlink ref="GO1" r:id="rId275" tooltip="Property:P8939" display="https://www.wikidata.org/wiki/Property:P8939" xr:uid="{91412994-056F-4C52-965E-3CDE61DEBAC9}"/>
    <hyperlink ref="HI1" r:id="rId276" tooltip="Property:P10327" display="https://www.wikidata.org/wiki/Property:P10327" xr:uid="{64EF4483-D313-4A35-A5FF-C83E11148696}"/>
    <hyperlink ref="MW1" r:id="rId277" tooltip="Property:P7085" display="https://www.wikidata.org/wiki/Property:P7085" xr:uid="{E0E32C97-54D7-4AF8-B166-142D29CFBFE8}"/>
    <hyperlink ref="A16" r:id="rId278" display="https://ror.org/02jx3x895" xr:uid="{BB187122-8B5B-4EA4-82DC-9F404A131474}"/>
    <hyperlink ref="DL1" r:id="rId279" tooltip="Property:P2622" display="https://www.wikidata.org/wiki/Property:P2622" xr:uid="{A1F0A616-AB84-4E62-9292-C5F497E90754}"/>
    <hyperlink ref="JQ1" r:id="rId280" tooltip="Property:P8885" display="https://www.wikidata.org/wiki/Property:P8885" xr:uid="{E11E4DDD-F33B-4E66-8DB8-F3AF066D601D}"/>
    <hyperlink ref="A17" r:id="rId281" display="https://ror.org/03dbr7087" xr:uid="{EDD59A5A-40EE-467C-B9BB-70D5E98E7EDF}"/>
    <hyperlink ref="DE1" r:id="rId282" tooltip="Property:P5395" display="https://www.wikidata.org/wiki/Property:P5395" xr:uid="{90310CD4-6679-40B8-8C61-B9324DB3473D}"/>
    <hyperlink ref="A18" r:id="rId283" display="https://ror.org/0168r3w48" xr:uid="{3F07D697-2C96-42CC-A44E-20C2F6B89F3D}"/>
    <hyperlink ref="BI1" r:id="rId284" tooltip="Property:P8783" display="https://www.wikidata.org/wiki/Property:P8783" xr:uid="{75A0C8B9-8F77-4E38-912D-B111673DBFCF}"/>
    <hyperlink ref="BJ1" r:id="rId285" tooltip="Property:P6848" display="https://www.wikidata.org/wiki/Property:P6848" xr:uid="{01E77885-4F00-4F60-B8A4-5C486F504C2C}"/>
    <hyperlink ref="CD1" r:id="rId286" tooltip="Property:P7446" display="https://www.wikidata.org/wiki/Property:P7446" xr:uid="{35CDA75E-55DC-4D62-B275-DAF6B14272DF}"/>
    <hyperlink ref="FQ1" r:id="rId287" tooltip="Property:P1968" display="https://www.wikidata.org/wiki/Property:P1968" xr:uid="{1F3FC91F-F2DA-4E45-BD0D-9BF6B1AD8000}"/>
    <hyperlink ref="FU1" r:id="rId288" tooltip="Property:P8501" display="https://www.wikidata.org/wiki/Property:P8501" xr:uid="{F4DD68BA-9DBC-43D1-89F1-6577C8952260}"/>
    <hyperlink ref="KR1" r:id="rId289" tooltip="Property:P10689" display="https://www.wikidata.org/wiki/Property:P10689" xr:uid="{F1381766-1AC5-46BF-A3A4-D4FC0F3CDA3F}"/>
    <hyperlink ref="NH1" r:id="rId290" tooltip="Property:P3134" display="https://www.wikidata.org/wiki/Property:P3134" xr:uid="{B26D7F32-07E3-4251-A36E-25FDD26766C9}"/>
    <hyperlink ref="A19" r:id="rId291" display="https://ror.org/04p491231" xr:uid="{041A4ABB-0D45-49C3-AACB-989B84C950A0}"/>
    <hyperlink ref="BB1" r:id="rId292" tooltip="Property:P7003" display="https://www.wikidata.org/wiki/Property:P7003" xr:uid="{C44990A9-8678-4AB5-A958-9D5BF2F7FFB1}"/>
    <hyperlink ref="A21" r:id="rId293" display="https://ror.org/01y2jtd41" xr:uid="{DE62DEB0-4A11-4588-A9E9-096D431D6F42}"/>
    <hyperlink ref="GQ1" r:id="rId294" tooltip="Property:P6157" display="https://www.wikidata.org/wiki/Property:P6157" xr:uid="{378E76E9-204D-4AEB-B136-91E236CBFA6D}"/>
    <hyperlink ref="LE1" r:id="rId295" tooltip="Property:P2267" display="https://www.wikidata.org/wiki/Property:P2267" xr:uid="{35CA259C-CF77-43AB-BF14-74D15AAB6431}"/>
    <hyperlink ref="A23" r:id="rId296" display="https://ror.org/03cve4549" xr:uid="{571C2D6D-2804-4FB3-8FDA-54063B454A7C}"/>
    <hyperlink ref="CS1" r:id="rId297" tooltip="Property:P6455" display="https://www.wikidata.org/wiki/Property:P6455" xr:uid="{B013945C-84C2-4F47-A133-08147C89CF7C}"/>
    <hyperlink ref="DF1" r:id="rId298" tooltip="Property:P10472" display="https://www.wikidata.org/wiki/Property:P10472" xr:uid="{0D21DE3E-8899-4F40-8403-A205AADBBA1E}"/>
    <hyperlink ref="GG1" r:id="rId299" tooltip="Property:P2326" display="https://www.wikidata.org/wiki/Property:P2326" xr:uid="{C0531865-3DBE-4C58-B3CA-C98F4844EF40}"/>
    <hyperlink ref="HE1" r:id="rId300" tooltip="Property:P5909" display="https://www.wikidata.org/wiki/Property:P5909" xr:uid="{73E7BBA0-DAEB-4F03-B585-68D1A8240054}"/>
    <hyperlink ref="NQ1" r:id="rId301" tooltip="Property:P6795" display="https://www.wikidata.org/wiki/Property:P6795" xr:uid="{7DBDE4EE-DBE2-49E5-8A16-C97722A5BC16}"/>
    <hyperlink ref="A22" r:id="rId302" display="https://ror.org/00py81415" xr:uid="{B8A13DC4-E07C-42B3-93FA-27189B138ED2}"/>
    <hyperlink ref="BZ1" r:id="rId303" tooltip="Property:P8293" display="https://www.wikidata.org/wiki/Property:P8293" xr:uid="{F0B739CE-FEF1-48C0-AFB3-9EEEAEF050B3}"/>
    <hyperlink ref="CE1" r:id="rId304" tooltip="Property:P8272" display="https://www.wikidata.org/wiki/Property:P8272" xr:uid="{6BD46456-7A75-4490-AE4F-94BBF6E7EA85}"/>
    <hyperlink ref="A25" r:id="rId305" display="https://ror.org/000e0be47" xr:uid="{0CA18830-7663-4EE8-B9A9-33D943D53C51}"/>
    <hyperlink ref="EX1" r:id="rId306" tooltip="Property:P7901" display="https://www.wikidata.org/wiki/Property:P7901" xr:uid="{F5C3594A-2F6E-4F28-9340-C7604CE914B7}"/>
    <hyperlink ref="HB1" r:id="rId307" tooltip="Property:P6264" display="https://www.wikidata.org/wiki/Property:P6264" xr:uid="{C3A104DA-3C7C-4BE9-899D-693F38FBE85B}"/>
    <hyperlink ref="A30" r:id="rId308" display="https://ror.org/02v51f717" xr:uid="{20E0EC96-6109-484C-BB30-95E1637F6FC5}"/>
    <hyperlink ref="LH1" r:id="rId309" tooltip="Property:P10439" display="https://www.wikidata.org/wiki/Property:P10439" xr:uid="{9EE85C52-A50E-40C5-92B4-066880DB8920}"/>
    <hyperlink ref="OE1" r:id="rId310" tooltip="Property:P7650" display="https://www.wikidata.org/wiki/Property:P7650" xr:uid="{8311D6BC-BE1B-4464-B303-43EE244D56A5}"/>
    <hyperlink ref="OO1" r:id="rId311" tooltip="Property:P12038" display="https://www.wikidata.org/wiki/Property:P12038" xr:uid="{0D33D70A-F218-4B16-815D-807639EB7FAE}"/>
    <hyperlink ref="A20" r:id="rId312" display="https://ror.org/0190ak572" xr:uid="{DC497D99-F73C-485D-B646-5AB6AEE0484B}"/>
    <hyperlink ref="BM1" r:id="rId313" tooltip="Property:P5508" display="https://www.wikidata.org/wiki/Property:P5508" xr:uid="{5DE2C441-280F-4EC4-9CDC-98B9590116C1}"/>
    <hyperlink ref="A26" r:id="rId314" display="https://ror.org/03rmrcq20" xr:uid="{F3545A06-ECDD-4B8E-8B78-0934533F633D}"/>
    <hyperlink ref="A24" r:id="rId315" display="https://ror.org/00hx57361" xr:uid="{BC40E4F4-D8EF-4DDC-B111-D73C99E193D0}"/>
    <hyperlink ref="DG1" r:id="rId316" tooltip="Property:P1871" display="https://www.wikidata.org/wiki/Property:P1871" xr:uid="{EF606707-8361-42A1-BF27-29BBB5AF778A}"/>
    <hyperlink ref="MM1" r:id="rId317" tooltip="Property:P2984" display="https://www.wikidata.org/wiki/Property:P2984" xr:uid="{F50412AC-7D7B-43C1-9241-F0B1B6D94BBE}"/>
    <hyperlink ref="MQ1" r:id="rId318" tooltip="Property:P9807" display="https://www.wikidata.org/wiki/Property:P9807" xr:uid="{3B55D0DD-720B-4F12-B562-64FA55FF07CD}"/>
    <hyperlink ref="A28" r:id="rId319" display="https://ror.org/0130frc33" xr:uid="{D29E5D31-F274-4B94-BE58-99C04A64E081}"/>
    <hyperlink ref="A29" r:id="rId320" display="https://ror.org/024mw5h28" xr:uid="{1E081CB7-1234-4E8B-AC10-49917AB95C23}"/>
    <hyperlink ref="CL1" r:id="rId321" tooltip="Property:P7846" display="https://www.wikidata.org/wiki/Property:P7846" xr:uid="{0BA55B17-0DFA-48E5-9D2E-EF11499A0D6A}"/>
    <hyperlink ref="EP1" r:id="rId322" tooltip="Property:P2463" display="https://www.wikidata.org/wiki/Property:P2463" xr:uid="{CDC727F3-EDB9-4405-B5C8-744913A46123}"/>
    <hyperlink ref="A27" r:id="rId323" display="https://ror.org/00hj54h04" xr:uid="{9C92DC9D-6AE6-4C67-9600-6EAB2C4A68BF}"/>
    <hyperlink ref="HA1" r:id="rId324" tooltip="Property:P6015" display="https://www.wikidata.org/wiki/Property:P6015" xr:uid="{24A2266B-4806-4282-A1DD-F6F3D3365670}"/>
    <hyperlink ref="A44" r:id="rId325" display="https://ror.org/03taz7m60" xr:uid="{80A0C020-BB33-43EA-8B81-F6A6DC9437F6}"/>
    <hyperlink ref="CT1" r:id="rId326" tooltip="Property:P9815" display="https://www.wikidata.org/wiki/Property:P9815" xr:uid="{6D6A0133-AA99-4ED5-9F23-5748AC2AA2EB}"/>
    <hyperlink ref="A33" r:id="rId327" display="https://ror.org/05a28rw58" xr:uid="{6C0C315C-B1F9-4FE0-A33D-66424D10A35A}"/>
    <hyperlink ref="W1" r:id="rId328" tooltip="Property:P6394" display="https://www.wikidata.org/wiki/Property:P6394" xr:uid="{04EC3A07-497B-4D52-A47F-25D46530F446}"/>
    <hyperlink ref="LW1" r:id="rId329" tooltip="Property:P8974" display="https://www.wikidata.org/wiki/Property:P8974" xr:uid="{D8973181-F8D8-4C62-B51D-62F7EEA7E015}"/>
    <hyperlink ref="MC1" r:id="rId330" tooltip="Property:P1155" display="https://www.wikidata.org/wiki/Property:P1155" xr:uid="{F843C283-FE5B-4587-A789-15195CDD7263}"/>
    <hyperlink ref="OJ1" r:id="rId331" tooltip="Property:P8750" display="https://www.wikidata.org/wiki/Property:P8750" xr:uid="{B59EC097-2A9F-46AB-95E6-81729514567D}"/>
    <hyperlink ref="A32" r:id="rId332" display="https://ror.org/02y3ad647" xr:uid="{1ECEF7C1-A8F0-49F1-B7C2-D485031D9A92}"/>
    <hyperlink ref="A34" r:id="rId333" display="https://ror.org/041kmwe10" xr:uid="{22A4BD5E-5EB1-4803-817B-640A5D235E73}"/>
    <hyperlink ref="A35" r:id="rId334" display="https://ror.org/00rs6vg23" xr:uid="{60ACA4B8-582E-43FD-AEF1-3B1D7F324C55}"/>
    <hyperlink ref="D1" r:id="rId335" tooltip="Property:P2627" display="https://www.wikidata.org/wiki/Property:P2627" xr:uid="{E5857FA8-BFB6-4C80-ADD5-116FF0249D5E}"/>
    <hyperlink ref="DM1" r:id="rId336" tooltip="Property:P4771" display="https://www.wikidata.org/wiki/Property:P4771" xr:uid="{30D863DF-4719-4993-ACC6-A84F14DDF3E4}"/>
    <hyperlink ref="ER1" r:id="rId337" tooltip="Property:P2270" display="https://www.wikidata.org/wiki/Property:P2270" xr:uid="{BB65F55C-F928-4C79-9C98-789AE9D50137}"/>
    <hyperlink ref="IL1" r:id="rId338" tooltip="Property:P4399" display="https://www.wikidata.org/wiki/Property:P4399" xr:uid="{FB484879-5158-4A70-86E0-41CFDBA3A5B6}"/>
    <hyperlink ref="A41" r:id="rId339" display="https://ror.org/047426m28" xr:uid="{7CA09B31-6C12-4EFC-80FC-20D3C8BC6ACD}"/>
    <hyperlink ref="A36" r:id="rId340" display="https://ror.org/05rrcem69" xr:uid="{10021BA5-AE44-49E6-871A-02ABDB6D1AD9}"/>
    <hyperlink ref="FN1" r:id="rId341" tooltip="Property:P774" display="https://www.wikidata.org/wiki/Property:P774" xr:uid="{7D3DB04C-9A75-4B43-A047-2721D9E92CF7}"/>
    <hyperlink ref="A31" r:id="rId342" display="https://ror.org/04gyf1771" xr:uid="{4535378B-153B-4910-BB47-BFAA6BB106B6}"/>
    <hyperlink ref="EA1" r:id="rId343" tooltip="Property:P1662" display="https://www.wikidata.org/wiki/Property:P1662" xr:uid="{7EFAAB73-9899-4362-B170-9D45429B90E7}"/>
    <hyperlink ref="A37" r:id="rId344" display="https://ror.org/01ej9dk98" xr:uid="{7A35BBA7-8DE7-4C18-8193-7CDA49BCF9BB}"/>
    <hyperlink ref="DQ1" r:id="rId345" tooltip="Property:P2651" display="https://www.wikidata.org/wiki/Property:P2651" xr:uid="{D6BC7C3A-183A-4110-8775-F0EFAB97B808}"/>
    <hyperlink ref="EY1" r:id="rId346" tooltip="Property:P4228" display="https://www.wikidata.org/wiki/Property:P4228" xr:uid="{45D28170-7356-441D-AD1D-DEF5C0612159}"/>
    <hyperlink ref="FB1" r:id="rId347" tooltip="Property:P9304" display="https://www.wikidata.org/wiki/Property:P9304" xr:uid="{14B8572C-8ADC-44F8-9B32-028974DC422D}"/>
    <hyperlink ref="LZ1" r:id="rId348" tooltip="Property:P10068" display="https://www.wikidata.org/wiki/Property:P10068" xr:uid="{14D67A9E-469C-4E44-9BE1-BA2D9154D1F5}"/>
    <hyperlink ref="NW1" r:id="rId349" tooltip="Property:P3472" display="https://www.wikidata.org/wiki/Property:P3472" xr:uid="{EC7182AC-15AB-436C-AFB2-A71FA47F8317}"/>
    <hyperlink ref="A38" r:id="rId350" display="https://ror.org/043mz5j54" xr:uid="{8E87F8BA-C4FB-4788-B69B-57B9672B936F}"/>
    <hyperlink ref="A40" r:id="rId351" display="https://ror.org/03r8z3t63" xr:uid="{5BCF3015-5C26-4404-9DE1-854651470696}"/>
    <hyperlink ref="BX1" r:id="rId352" tooltip="Property:P4146" display="https://www.wikidata.org/wiki/Property:P4146" xr:uid="{D537A1B8-A4B5-40C0-BEE4-6E6B64E8E98B}"/>
    <hyperlink ref="EJ1" r:id="rId353" tooltip="Property:P3794" display="https://www.wikidata.org/wiki/Property:P3794" xr:uid="{42F1BE9E-C84D-400A-ADAF-6E93D9255753}"/>
    <hyperlink ref="FY1" r:id="rId354" tooltip="Property:P10008" display="https://www.wikidata.org/wiki/Property:P10008" xr:uid="{89EB1789-98EA-476D-BDC5-B3D885E281B3}"/>
    <hyperlink ref="FZ1" r:id="rId355" tooltip="Property:P3517" display="https://www.wikidata.org/wiki/Property:P3517" xr:uid="{A7155CCB-F1C5-4D07-9BEC-67ADD3F1EAF9}"/>
    <hyperlink ref="JO1" r:id="rId356" tooltip="Property:P7030" display="https://www.wikidata.org/wiki/Property:P7030" xr:uid="{70B25BFB-FE32-425B-ABB7-A708D69BF8A3}"/>
    <hyperlink ref="OA1" r:id="rId357" tooltip="Property:P6766" display="https://www.wikidata.org/wiki/Property:P6766" xr:uid="{53350306-8178-4F95-BB64-189C2E3F9DA5}"/>
    <hyperlink ref="A42" r:id="rId358" display="https://ror.org/01yc7t268" xr:uid="{B3D7320E-2C93-463E-9603-943FA34D2B3C}"/>
    <hyperlink ref="A43" r:id="rId359" display="https://ror.org/047s2c258" xr:uid="{9F3ADFA3-8FF9-4960-AAA0-7CF609B68284}"/>
    <hyperlink ref="JF1" r:id="rId360" tooltip="Property:P10867" display="https://www.wikidata.org/wiki/Property:P10867" xr:uid="{F0DCB03B-4D66-4857-89FB-6AB693C85FB7}"/>
    <hyperlink ref="A39" r:id="rId361" display="https://ror.org/01nrxwf90" xr:uid="{F6AE1B10-ED87-4529-BED3-ACFDC7604F80}"/>
    <hyperlink ref="MD1" r:id="rId362" tooltip="Property:P3163" display="https://www.wikidata.org/wiki/Property:P3163" xr:uid="{CF7BCC38-C10D-485C-BD33-039CEBD059E2}"/>
    <hyperlink ref="A45" r:id="rId363" display="https://ror.org/01tgyzw49" xr:uid="{52C7F92D-0D4B-4B44-9B9F-8CE432C91C17}"/>
    <hyperlink ref="AL1" r:id="rId364" tooltip="Property:P3988" display="https://www.wikidata.org/wiki/Property:P3988" xr:uid="{E437DF6C-6959-4B87-AB01-A097240AC3EC}"/>
    <hyperlink ref="FL1" r:id="rId365" tooltip="Property:P6262" display="https://www.wikidata.org/wiki/Property:P6262" xr:uid="{3EE5E948-A084-46E1-BDEE-FAB03DFE816D}"/>
    <hyperlink ref="MK1" r:id="rId366" tooltip="Property:P8350" display="https://www.wikidata.org/wiki/Property:P8350" xr:uid="{3916D935-61FC-443B-856C-297A0542ED31}"/>
    <hyperlink ref="A47" r:id="rId367" display="https://ror.org/02dqehb95" xr:uid="{4AA3E7F3-499E-4B5E-B42B-F3976FE50BE3}"/>
    <hyperlink ref="A51" r:id="rId368" display="https://ror.org/01an3r305" xr:uid="{3242EDC2-83E4-4B77-AFB2-8C89753B71E3}"/>
    <hyperlink ref="LT1" r:id="rId369" tooltip="Property:P6617" display="https://www.wikidata.org/wiki/Property:P6617" xr:uid="{48E225CF-21AA-41B2-A951-844F8A7C7D9A}"/>
    <hyperlink ref="A49" r:id="rId370" display="https://ror.org/05x2bcf33" xr:uid="{61DDEA9E-3DD8-45A8-97B4-8EB9989F8C79}"/>
    <hyperlink ref="CX1" r:id="rId371" tooltip="Property:P11768" display="https://www.wikidata.org/wiki/Property:P11768" xr:uid="{2EA1C93C-AAD4-4697-9640-5A42CE3179FB}"/>
    <hyperlink ref="A48" r:id="rId372" display="https://ror.org/05hs6h993" xr:uid="{74EA05F0-3A97-4DD5-9F47-C8943FDFBE4A}"/>
    <hyperlink ref="A50" r:id="rId373" display="https://ror.org/00rqy9422" xr:uid="{49F32FC7-63CF-4DFF-8BBC-0C184F372C16}"/>
    <hyperlink ref="CO1" r:id="rId374" tooltip="Property:P4090" display="https://www.wikidata.org/wiki/Property:P4090" xr:uid="{682C4125-0176-43E7-8EB2-E92DEBACD932}"/>
    <hyperlink ref="A54" r:id="rId375" display="https://ror.org/05vt9qd57" xr:uid="{3D0511C7-C874-4BE4-AAB5-A0F02C97EB7F}"/>
    <hyperlink ref="A59" r:id="rId376" display="https://ror.org/03efmqc40" xr:uid="{1FC5906D-2C3F-4282-B609-3A5D15BDE99C}"/>
    <hyperlink ref="JG1" r:id="rId377" tooltip="Property:P8716" display="https://www.wikidata.org/wiki/Property:P8716" xr:uid="{9E8E89C8-4361-4882-BC4E-61729B0837A6}"/>
    <hyperlink ref="A53" r:id="rId378" display="https://ror.org/03m2x1q45" xr:uid="{C382C40F-6874-48B2-B840-027124E87138}"/>
    <hyperlink ref="A52" r:id="rId379" display="https://ror.org/05qwgg493" xr:uid="{6E8E0091-193D-4E21-94C8-C9BAAB189F8C}"/>
    <hyperlink ref="JC1" r:id="rId380" tooltip="Property:P12597" display="https://www.wikidata.org/wiki/Property:P12597" xr:uid="{124F29D9-A181-4CCF-8414-EF60793F9DBA}"/>
    <hyperlink ref="NA1" r:id="rId381" tooltip="Property:P11921" display="https://www.wikidata.org/wiki/Property:P11921" xr:uid="{95CBF0EA-F241-429D-B195-3FC2BB9EDD21}"/>
    <hyperlink ref="A57" r:id="rId382" display="https://ror.org/01f5ytq51" xr:uid="{CF1EA355-53D1-4F4E-9F89-EB792AF9140C}"/>
    <hyperlink ref="HS1" r:id="rId383" tooltip="Property:P5858" display="https://www.wikidata.org/wiki/Property:P5858" xr:uid="{B2899015-C870-44DE-9248-732C7D198E42}"/>
    <hyperlink ref="A63" r:id="rId384" display="https://ror.org/02bfwt286" xr:uid="{35361FB9-92CF-4DEA-AE8F-4374F3082F1C}"/>
    <hyperlink ref="BR1" r:id="rId385" tooltip="Property:P7869" display="https://www.wikidata.org/wiki/Property:P7869" xr:uid="{681B7ABF-9186-4DB1-9EF0-401537BC3834}"/>
    <hyperlink ref="A56" r:id="rId386" display="https://ror.org/0384j8v12" xr:uid="{93CA7FD6-8147-418F-A37E-B9F579B99181}"/>
    <hyperlink ref="BT1" r:id="rId387" tooltip="Property:P3548" display="https://www.wikidata.org/wiki/Property:P3548" xr:uid="{3DCCFAAB-9C8C-4475-BD7E-EB1D31240CA5}"/>
    <hyperlink ref="BV1" r:id="rId388" tooltip="Property:P9575" display="https://www.wikidata.org/wiki/Property:P9575" xr:uid="{A3DC47C8-CA16-44F3-8A64-6C01BCA58971}"/>
    <hyperlink ref="BW1" r:id="rId389" tooltip="Property:P10120" display="https://www.wikidata.org/wiki/Property:P10120" xr:uid="{E92A6F6B-5AC2-4A0B-A116-327F09288437}"/>
    <hyperlink ref="KC1" r:id="rId390" tooltip="Property:P8699" display="https://www.wikidata.org/wiki/Property:P8699" xr:uid="{2274014E-B6C5-4C9F-B64C-1CBA3EA8D962}"/>
    <hyperlink ref="LP1" r:id="rId391" tooltip="Property:P10026" display="https://www.wikidata.org/wiki/Property:P10026" xr:uid="{ABD536C5-D096-4DE0-AC49-718F46FA9CE0}"/>
    <hyperlink ref="A60" r:id="rId392" display="https://ror.org/00a2xv884" xr:uid="{E6884089-3279-46FF-9FA0-9E1785FD42B0}"/>
    <hyperlink ref="A55" r:id="rId393" display="https://ror.org/04dkp9463" xr:uid="{3767A83C-A6B9-4A8B-9185-3E1AB64B3E6E}"/>
    <hyperlink ref="BD1" r:id="rId394" tooltip="Property:P3273" display="https://www.wikidata.org/wiki/Property:P3273" xr:uid="{6D019019-6119-448C-BFA7-D14CD9D46A6E}"/>
    <hyperlink ref="EQ1" r:id="rId395" tooltip="Property:P12204" display="https://www.wikidata.org/wiki/Property:P12204" xr:uid="{93D9DDEC-B0AF-42B0-8FD1-64707A68E172}"/>
    <hyperlink ref="GF1" r:id="rId396" tooltip="Property:P1842" display="https://www.wikidata.org/wiki/Property:P1842" xr:uid="{74E26921-A249-46E7-B53A-80F4E4276C5E}"/>
    <hyperlink ref="IN1" r:id="rId397" tooltip="Property:P10419" display="https://www.wikidata.org/wiki/Property:P10419" xr:uid="{61C09178-9678-4A3C-94E2-0995D275B240}"/>
    <hyperlink ref="JZ1" r:id="rId398" tooltip="Property:P7831" display="https://www.wikidata.org/wiki/Property:P7831" xr:uid="{0B5A4078-1780-4B8C-983A-B0868CEC29C3}"/>
    <hyperlink ref="KS1" r:id="rId399" tooltip="Property:P11693" display="https://www.wikidata.org/wiki/Property:P11693" xr:uid="{639FCE63-744C-4B7D-9109-BEF50D58E558}"/>
    <hyperlink ref="LS1" r:id="rId400" tooltip="Property:P8519" display="https://www.wikidata.org/wiki/Property:P8519" xr:uid="{893089C4-9331-4336-A591-997ADF7CF44B}"/>
    <hyperlink ref="A62" r:id="rId401" display="https://ror.org/02ttsq026" xr:uid="{89DD2E76-338E-42B0-89BA-46922677E51D}"/>
    <hyperlink ref="KZ1" r:id="rId402" tooltip="Property:P8317" display="https://www.wikidata.org/wiki/Property:P8317" xr:uid="{3CCBCFC8-9BE0-4D63-B91F-33D675799761}"/>
    <hyperlink ref="A65" r:id="rId403" display="https://ror.org/0220qvk04" xr:uid="{6ADD8C73-BE22-459B-AC0D-A49BE9CA8B12}"/>
    <hyperlink ref="EN1" r:id="rId404" tooltip="Property:P5200" display="https://www.wikidata.org/wiki/Property:P5200" xr:uid="{49498872-7C99-404A-81D7-4047EF6E6F45}"/>
    <hyperlink ref="A46" r:id="rId405" display="https://ror.org/01pxwe438" xr:uid="{2E6F64A0-B26A-44D0-B0D0-1758938C2CE1}"/>
    <hyperlink ref="A66" r:id="rId406" display="https://ror.org/02vm5rt34" xr:uid="{DF3706A1-552D-4B09-A644-52166A50D272}"/>
    <hyperlink ref="NC1" r:id="rId407" tooltip="Property:P6016" display="https://www.wikidata.org/wiki/Property:P6016" xr:uid="{A96FA060-B31B-4A13-8059-EAC1449388F3}"/>
    <hyperlink ref="A68" r:id="rId408" display="https://ror.org/05dxps055" xr:uid="{35F38EB9-9E19-4805-A238-B9B7E059C8A5}"/>
    <hyperlink ref="KP1" r:id="rId409" tooltip="Property:P5332" display="https://www.wikidata.org/wiki/Property:P5332" xr:uid="{08C05572-0B25-43BF-840A-5EAAC77CC873}"/>
    <hyperlink ref="A64" r:id="rId410" display="https://ror.org/027m9bs27" xr:uid="{7FFFFBFB-27D5-4AFC-8FFF-CF0709A51FD7}"/>
    <hyperlink ref="A70" r:id="rId411" display="https://ror.org/01zkghx44" xr:uid="{03739CCF-B06F-463B-A3FD-F1D71BBFA188}"/>
    <hyperlink ref="JT1" r:id="rId412" tooltip="Property:P4903" display="https://www.wikidata.org/wiki/Property:P4903" xr:uid="{9CC9D7E1-4EFF-44CF-9F79-60FFE561E3B1}"/>
    <hyperlink ref="A58" r:id="rId413" display="https://ror.org/04pp8hn57" xr:uid="{5002E7FC-5656-47E1-8584-9FFD05A90272}"/>
    <hyperlink ref="A61" r:id="rId414" display="https://ror.org/0220mzb33" xr:uid="{F9F72D89-413F-41B4-8EB3-F713FC8972DC}"/>
    <hyperlink ref="A67" r:id="rId415" display="https://ror.org/03r0ha626" xr:uid="{6E301BD9-19A0-46BD-858D-5D894DD7BBAA}"/>
    <hyperlink ref="A69" r:id="rId416" display="https://ror.org/0153tk833" xr:uid="{A01D6CF1-C21F-454A-B5FC-0303FEA0E353}"/>
    <hyperlink ref="A71" r:id="rId417" display="https://ror.org/0160cpw27" xr:uid="{E9140F5D-9C05-478A-B326-BF8A09AF5FAA}"/>
    <hyperlink ref="AX1" r:id="rId418" tooltip="Property:P7024" display="https://www.wikidata.org/wiki/Property:P7024" xr:uid="{A47B72CA-A15A-482C-BEB6-7A0FBE5B14A0}"/>
    <hyperlink ref="MV1" r:id="rId419" tooltip="Property:P10480" display="https://www.wikidata.org/wiki/Property:P10480" xr:uid="{FB630733-715E-4130-A949-0227D7C0E802}"/>
    <hyperlink ref="ES1" r:id="rId420" tooltip="Property:P10712" display="https://www.wikidata.org/wiki/Property:P10712" xr:uid="{6711FA79-F607-4BCE-B223-36A15A88F6C7}"/>
    <hyperlink ref="NV1" r:id="rId421" tooltip="Property:P7692" display="https://www.wikidata.org/wiki/Property:P7692" xr:uid="{2D93F71B-D818-45E5-9383-7162AE047BD1}"/>
    <hyperlink ref="ND1" r:id="rId422" tooltip="Property:P8520" display="https://www.wikidata.org/wiki/Property:P8520" xr:uid="{6577D4D4-314E-40C6-BE32-F9E0799A9B85}"/>
    <hyperlink ref="OH1" r:id="rId423" tooltip="Property:P757" display="https://www.wikidata.org/wiki/Property:P757" xr:uid="{0AE0344B-4D6E-4AB0-A18D-62A4E44CBA89}"/>
    <hyperlink ref="A72" r:id="rId424" display="https://ror.org/03czfpz43" xr:uid="{37B01CFC-501F-4A84-849D-65FCCFE40327}"/>
    <hyperlink ref="HX1" r:id="rId425" tooltip="Property:P9921" display="https://www.wikidata.org/wiki/Property:P9921" xr:uid="{ACAF82ED-35D2-42DC-8FE1-AC2E362B711B}"/>
    <hyperlink ref="A73" r:id="rId426" display="https://ror.org/057zh3y96" xr:uid="{8B4B7E21-53E7-4DCD-B282-499FB483F8F1}"/>
    <hyperlink ref="DN1" r:id="rId427" tooltip="Property:P3225" display="https://www.wikidata.org/wiki/Property:P3225" xr:uid="{380CB748-511D-4233-A749-5340C01AA29E}"/>
    <hyperlink ref="DW1" r:id="rId428" tooltip="Property:P5184" display="https://www.wikidata.org/wiki/Property:P5184" xr:uid="{9B3CDA0D-44BE-46A4-8816-018D62F29E72}"/>
    <hyperlink ref="GL1" r:id="rId429" tooltip="Property:P4702" display="https://www.wikidata.org/wiki/Property:P4702" xr:uid="{12AA4949-D495-4E6C-AF10-C48280A9E401}"/>
    <hyperlink ref="IA1" r:id="rId430" tooltip="Property:P7251" display="https://www.wikidata.org/wiki/Property:P7251" xr:uid="{53A8D739-E5AC-4E84-A1A2-98714373574C}"/>
    <hyperlink ref="IB1" r:id="rId431" tooltip="Property:P7783" display="https://www.wikidata.org/wiki/Property:P7783" xr:uid="{9F1C3928-71BF-41DA-BADE-32C6B33F9AB0}"/>
    <hyperlink ref="IW1" r:id="rId432" tooltip="Property:P11127" display="https://www.wikidata.org/wiki/Property:P11127" xr:uid="{419727C7-0773-492D-AA66-01023C438DDE}"/>
    <hyperlink ref="JR1" r:id="rId433" tooltip="Property:P7506" display="https://www.wikidata.org/wiki/Property:P7506" xr:uid="{4771195A-F066-481A-A232-69951A85F476}"/>
    <hyperlink ref="A74" r:id="rId434" display="https://ror.org/036rp1748" xr:uid="{5A913EA0-C295-4AD2-A252-F5AD7870D5C5}"/>
    <hyperlink ref="K1" r:id="rId435" tooltip="Property:P3788" display="https://www.wikidata.org/wiki/Property:P3788" xr:uid="{E3F0C833-B2C7-4BC1-988E-72E567E90BDB}"/>
    <hyperlink ref="AZ1" r:id="rId436" tooltip="Property:P5505" display="https://www.wikidata.org/wiki/Property:P5505" xr:uid="{10F30119-DF0F-48C1-B4E5-CD862871F225}"/>
    <hyperlink ref="DP1" r:id="rId437" tooltip="Property:P6204" display="https://www.wikidata.org/wiki/Property:P6204" xr:uid="{0DE65001-715C-4616-A01F-42C99BDA92D6}"/>
    <hyperlink ref="ET1" r:id="rId438" tooltip="Property:P5148" display="https://www.wikidata.org/wiki/Property:P5148" xr:uid="{17AD4308-44E8-413C-9834-072B6D604520}"/>
    <hyperlink ref="FM1" r:id="rId439" tooltip="Property:P4597" display="https://www.wikidata.org/wiki/Property:P4597" xr:uid="{DD615BE6-AA6D-40FC-80BC-08333CD11670}"/>
    <hyperlink ref="A75" r:id="rId440" display="https://ror.org/035b05819" xr:uid="{B29A212A-C078-4CBB-92C3-99AB5A61D1BC}"/>
    <hyperlink ref="DT1" r:id="rId441" tooltip="Property:P1059" display="https://www.wikidata.org/wiki/Property:P1059" xr:uid="{734119BF-C0D6-4927-8725-E3839CDFAAB7}"/>
    <hyperlink ref="DV1" r:id="rId442" tooltip="Property:P8708" display="https://www.wikidata.org/wiki/Property:P8708" xr:uid="{EAA635AD-CFC1-4496-AE7C-04D871C75486}"/>
    <hyperlink ref="FD1" r:id="rId443" tooltip="Property:P11012" display="https://www.wikidata.org/wiki/Property:P11012" xr:uid="{B873C7E7-FEDE-48D9-9B7A-F204CE50746E}"/>
    <hyperlink ref="NI1" r:id="rId444" tooltip="Property:P9477" display="https://www.wikidata.org/wiki/Property:P9477" xr:uid="{21E3FFEC-32E8-4B28-B6BD-E5225AE4C3BB}"/>
    <hyperlink ref="A76" r:id="rId445" display="https://ror.org/05f950310" xr:uid="{D8F06121-4C31-44DF-9A49-EE16551BB5F5}"/>
    <hyperlink ref="BK1" r:id="rId446" tooltip="Property:P12046" display="https://www.wikidata.org/wiki/Property:P12046" xr:uid="{68C13383-6D33-42DA-B59B-C9B49D77E2FD}"/>
    <hyperlink ref="EU1" r:id="rId447" tooltip="Property:P3376" display="https://www.wikidata.org/wiki/Property:P3376" xr:uid="{6DB88F67-6054-47E1-82B8-B254361656CF}"/>
    <hyperlink ref="KG1" r:id="rId448" tooltip="Property:P2372" display="https://www.wikidata.org/wiki/Property:P2372" xr:uid="{8BD685CB-7192-4CAD-8EFB-5F13624F444D}"/>
    <hyperlink ref="A77" r:id="rId449" display="https://ror.org/00t33hh48" xr:uid="{8B9E1989-42BF-43ED-B70B-444805E178D9}"/>
    <hyperlink ref="LC1" r:id="rId450" tooltip="Property:P5739" display="https://www.wikidata.org/wiki/Property:P5739" xr:uid="{A001956E-ED45-4027-B2E7-BDA69B980973}"/>
    <hyperlink ref="NB1" r:id="rId451" tooltip="Property:P3789" display="https://www.wikidata.org/wiki/Property:P3789" xr:uid="{E1537B66-FB57-435E-AE71-AB39E2843BDD}"/>
    <hyperlink ref="OD1" r:id="rId452" tooltip="Property:P5300" display="https://www.wikidata.org/wiki/Property:P5300" xr:uid="{95CEC92E-4577-4D14-B6E3-923EADA9E0A1}"/>
    <hyperlink ref="A78" r:id="rId453" display="https://ror.org/021018s57" xr:uid="{3785736B-BCBD-4825-826F-2E9C3DB13D95}"/>
    <hyperlink ref="EL1" r:id="rId454" tooltip="Property:P6222" display="https://www.wikidata.org/wiki/Property:P6222" xr:uid="{F83919E7-22F7-4744-BBA1-825F45AA13C3}"/>
    <hyperlink ref="A79" r:id="rId455" display="https://ror.org/05gq02987" xr:uid="{E12FB680-CFE5-4201-93B7-9B9ED546DE00}"/>
    <hyperlink ref="A80" r:id="rId456" display="https://ror.org/012p63287" xr:uid="{7A61E8BF-3974-445C-8675-4C8A0CE6743F}"/>
    <hyperlink ref="MT1" r:id="rId457" tooltip="Property:P6645" display="https://www.wikidata.org/wiki/Property:P6645" xr:uid="{80769CF0-BC3A-496F-BD96-2261A63B8A15}"/>
    <hyperlink ref="A81" r:id="rId458" display="https://ror.org/02zhqgq86" xr:uid="{325376C8-D00B-4767-BCEC-DC272BB0043F}"/>
    <hyperlink ref="OP1" r:id="rId459" tooltip="Property:P8309" display="https://www.wikidata.org/wiki/Property:P8309" xr:uid="{339DDA91-51B2-4231-B457-EB00328ECCF5}"/>
    <hyperlink ref="A82" r:id="rId460" display="https://ror.org/008xxew50" xr:uid="{9D852EF5-F065-4457-9CB4-8F49D61A515C}"/>
    <hyperlink ref="A83" r:id="rId461" display="https://ror.org/04tj63d06" xr:uid="{33522A2D-6861-4991-9385-4C876F9626A2}"/>
    <hyperlink ref="A84" r:id="rId462" display="https://ror.org/02kkvpp62" xr:uid="{E3424E8E-B766-406D-850E-4D2FF8806EB8}"/>
    <hyperlink ref="CG1" r:id="rId463" tooltip="Property:P4244" display="https://www.wikidata.org/wiki/Property:P4244" xr:uid="{A514FC25-6BB0-4704-8304-FF0CA80BB4B8}"/>
    <hyperlink ref="CH1" r:id="rId464" tooltip="Property:P9339" display="https://www.wikidata.org/wiki/Property:P9339" xr:uid="{5E05FBD7-971B-4368-83F0-F32F74F282E7}"/>
    <hyperlink ref="FX1" r:id="rId465" tooltip="Property:P4871" display="https://www.wikidata.org/wiki/Property:P4871" xr:uid="{ADDEABE4-BBAA-4C84-A232-D049529C7B32}"/>
    <hyperlink ref="A85" r:id="rId466" display="https://ror.org/019wvm592" xr:uid="{39ECB580-CE3C-454D-B98A-91A65D7E55AA}"/>
    <hyperlink ref="BU1" r:id="rId467" tooltip="Property:P3534" display="https://www.wikidata.org/wiki/Property:P3534" xr:uid="{6CBDDD4D-6822-451A-BA2C-07282BF08043}"/>
    <hyperlink ref="JK1" r:id="rId468" tooltip="Property:P10856" display="https://www.wikidata.org/wiki/Property:P10856" xr:uid="{B23E682A-13F0-424E-9921-D061A303524B}"/>
    <hyperlink ref="A86" r:id="rId469" display="https://ror.org/02t274463" xr:uid="{88E9F8DA-7834-4952-B34A-2B25BE7D181A}"/>
    <hyperlink ref="A87" r:id="rId470" display="https://ror.org/01aff2v68" xr:uid="{7BF320A6-0D47-413F-BF41-6C51C7DBD8B7}"/>
    <hyperlink ref="A88" r:id="rId471" display="https://ror.org/040af2s02" xr:uid="{10BD5E51-B51F-40BD-BD6B-6A195920F60C}"/>
    <hyperlink ref="FR1" r:id="rId472" tooltip="Property:P5266" display="https://www.wikidata.org/wiki/Property:P5266" xr:uid="{2DB1EE6C-4B1D-4998-A2C6-E151FD86B1C9}"/>
    <hyperlink ref="GD1" r:id="rId473" tooltip="Property:P2037" display="https://www.wikidata.org/wiki/Property:P2037" xr:uid="{04D114EF-503C-4513-8721-0D942522312C}"/>
    <hyperlink ref="II1" r:id="rId474" tooltip="Property:P8980" display="https://www.wikidata.org/wiki/Property:P8980" xr:uid="{3FC0DDAD-9DD2-46D8-A196-B4AB2B222D2E}"/>
    <hyperlink ref="NS1" r:id="rId475" tooltip="Property:P4854" display="https://www.wikidata.org/wiki/Property:P4854" xr:uid="{32948C14-A039-4748-802C-440A144631BC}"/>
    <hyperlink ref="A89" r:id="rId476" display="https://ror.org/02smfhw86" xr:uid="{F607A1C0-868A-48A9-A40C-D605CB63235E}"/>
    <hyperlink ref="A90" r:id="rId477" display="https://ror.org/03yjb2x39" xr:uid="{65F0B229-3DC5-4F1B-996D-332B30FC0C84}"/>
    <hyperlink ref="A91" r:id="rId478" display="https://ror.org/04c4dkn09" xr:uid="{060FF368-DB51-4638-97E8-D8024AA04E6F}"/>
    <hyperlink ref="A92" r:id="rId479" display="https://ror.org/024mrxd33" xr:uid="{0840B868-7FCB-42AC-93CD-D5D9FFCEF2B6}"/>
    <hyperlink ref="HH1" r:id="rId480" tooltip="Property:P4117" display="https://www.wikidata.org/wiki/Property:P4117" xr:uid="{5A9D28D2-5541-45A3-9969-388023B04FBE}"/>
    <hyperlink ref="NJ1" r:id="rId481" tooltip="Property:P3120" display="https://www.wikidata.org/wiki/Property:P3120" xr:uid="{8640C92E-EEA0-48A9-B247-897A327F0A68}"/>
    <hyperlink ref="A93" r:id="rId482" display="https://ror.org/02e7b5302" xr:uid="{99A0223E-E74A-4750-BB51-5AF2C6665280}"/>
    <hyperlink ref="DO1" r:id="rId483" tooltip="Property:P9368" display="https://www.wikidata.org/wiki/Property:P9368" xr:uid="{FF06113D-5B34-4F81-B431-9DC37D4182E4}"/>
    <hyperlink ref="A94" r:id="rId484" display="https://ror.org/01xtthb56" xr:uid="{98643822-40B6-4B1E-BEB7-E497C25A7857}"/>
    <hyperlink ref="CA1" r:id="rId485" tooltip="Property:P9318" display="https://www.wikidata.org/wiki/Property:P9318" xr:uid="{E2ADE45E-C583-4F7E-B242-CCF4438890D2}"/>
    <hyperlink ref="IR1" r:id="rId486" tooltip="Property:P6520" display="https://www.wikidata.org/wiki/Property:P6520" xr:uid="{2F732401-146B-4029-8804-0CE834525E81}"/>
    <hyperlink ref="JM1" r:id="rId487" tooltip="Property:P8545" display="https://www.wikidata.org/wiki/Property:P8545" xr:uid="{E5DF84BA-0A4A-4D19-A0D8-B894C8162DB3}"/>
    <hyperlink ref="KA1" r:id="rId488" tooltip="Property:P2333" display="https://www.wikidata.org/wiki/Property:P2333" xr:uid="{35DF3725-6093-432D-9CB5-C1F22AEA2643}"/>
    <hyperlink ref="KB1" r:id="rId489" tooltip="Property:P9201" display="https://www.wikidata.org/wiki/Property:P9201" xr:uid="{8000FB49-ED4B-445B-AFCA-D65A9A43D791}"/>
    <hyperlink ref="KV1" r:id="rId490" tooltip="Property:P10217" display="https://www.wikidata.org/wiki/Property:P10217" xr:uid="{C70681AF-9F9B-4E75-9BEF-30A2B995C09A}"/>
    <hyperlink ref="A95" r:id="rId491" display="https://ror.org/036jqmy94" xr:uid="{E0B2302C-B682-4A08-9DD5-1B180B6B0EDD}"/>
    <hyperlink ref="A96" r:id="rId492" display="https://ror.org/02crff812" xr:uid="{8059D339-1F5C-46A8-A7EB-3C711AE2D377}"/>
    <hyperlink ref="HC1" r:id="rId493" tooltip="Property:P902" display="https://www.wikidata.org/wiki/Property:P902" xr:uid="{5E33F0BA-3DB1-4436-AD65-6218730DF7C4}"/>
    <hyperlink ref="KY1" r:id="rId494" tooltip="Property:P7771" display="https://www.wikidata.org/wiki/Property:P7771" xr:uid="{972E281D-ACEC-4871-838C-1C3F7C6D7455}"/>
    <hyperlink ref="A97" r:id="rId495" display="https://ror.org/013q1eq08" xr:uid="{E0984C98-BCD0-4C9D-8883-7560FBA18D7B}"/>
    <hyperlink ref="A98" r:id="rId496" display="https://ror.org/01111rn36" xr:uid="{040A2D99-0160-4322-B3C7-6E3DD89E3C96}"/>
    <hyperlink ref="EI1" r:id="rId497" tooltip="Property:P5492" display="https://www.wikidata.org/wiki/Property:P5492" xr:uid="{9D9749F6-1B78-4B78-90F7-F4AFDE16EA5B}"/>
    <hyperlink ref="LM1" r:id="rId498" tooltip="Property:P4339" display="https://www.wikidata.org/wiki/Property:P4339" xr:uid="{DC1B162E-EBFE-44F2-BC6D-0159403A25E9}"/>
    <hyperlink ref="NY1" r:id="rId499" tooltip="Property:P7666" display="https://www.wikidata.org/wiki/Property:P7666" xr:uid="{454F49D7-CFAA-4C32-B7D8-C41666AA5FB1}"/>
    <hyperlink ref="A99" r:id="rId500" display="https://ror.org/01aj84f44" xr:uid="{3DB33B54-6799-48C8-8694-99E9EE26C42A}"/>
    <hyperlink ref="A100" r:id="rId501" display="https://ror.org/02s376052" xr:uid="{A3BBDAE3-0CE3-49A1-91AB-E37C9DB7EB60}"/>
    <hyperlink ref="A101" r:id="rId502" display="https://ror.org/022kthw22" xr:uid="{DC4A696C-30C8-46A8-928C-D5A54A77E0A7}"/>
  </hyperlinks>
  <pageMargins left="0.7" right="0.7" top="0.75" bottom="0.75" header="0.3" footer="0.3"/>
  <pageSetup orientation="portrait" r:id="rId5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8D2A-CF4F-496B-93A8-EB417C67DE98}">
  <dimension ref="A1:HN1230"/>
  <sheetViews>
    <sheetView zoomScale="80" zoomScaleNormal="80" workbookViewId="0">
      <pane xSplit="1" ySplit="1" topLeftCell="GM67" activePane="bottomRight" state="frozen"/>
      <selection pane="topRight" activeCell="B1" sqref="B1"/>
      <selection pane="bottomLeft" activeCell="A2" sqref="A2"/>
      <selection pane="bottomRight" activeCell="GO1" sqref="GO1:GO101"/>
    </sheetView>
  </sheetViews>
  <sheetFormatPr defaultRowHeight="14.4" x14ac:dyDescent="0.3"/>
  <cols>
    <col min="1" max="1" width="32.6640625" style="9" customWidth="1"/>
    <col min="2" max="2" width="10" style="1" bestFit="1" customWidth="1"/>
    <col min="3" max="3" width="10" customWidth="1"/>
    <col min="4" max="4" width="8.88671875" style="1"/>
    <col min="5" max="5" width="9.88671875" bestFit="1" customWidth="1"/>
    <col min="7" max="7" width="11.109375" bestFit="1" customWidth="1"/>
    <col min="8" max="8" width="8.88671875" style="4"/>
    <col min="9" max="9" width="11.6640625" bestFit="1" customWidth="1"/>
    <col min="10" max="10" width="11.109375" bestFit="1" customWidth="1"/>
    <col min="11" max="11" width="11.33203125" bestFit="1" customWidth="1"/>
    <col min="12" max="12" width="15.33203125" bestFit="1" customWidth="1"/>
    <col min="14" max="14" width="8.88671875" style="4"/>
    <col min="15" max="15" width="10.21875" bestFit="1" customWidth="1"/>
    <col min="16" max="16" width="10.21875" style="4" customWidth="1"/>
    <col min="17" max="17" width="17.5546875" bestFit="1" customWidth="1"/>
    <col min="18" max="18" width="17.5546875" customWidth="1"/>
    <col min="21" max="21" width="18.33203125" bestFit="1" customWidth="1"/>
    <col min="22" max="22" width="11" bestFit="1" customWidth="1"/>
    <col min="23" max="23" width="11.6640625" bestFit="1" customWidth="1"/>
    <col min="24" max="24" width="11.6640625" customWidth="1"/>
    <col min="25" max="25" width="10.109375" bestFit="1" customWidth="1"/>
    <col min="26" max="26" width="32.88671875" bestFit="1" customWidth="1"/>
    <col min="27" max="27" width="10.5546875" bestFit="1" customWidth="1"/>
    <col min="28" max="28" width="11.6640625" bestFit="1" customWidth="1"/>
    <col min="29" max="29" width="15.109375" bestFit="1" customWidth="1"/>
    <col min="30" max="30" width="7.21875" bestFit="1" customWidth="1"/>
    <col min="31" max="31" width="13.109375" bestFit="1" customWidth="1"/>
    <col min="32" max="32" width="13.109375" customWidth="1"/>
    <col min="33" max="33" width="15.109375" customWidth="1"/>
    <col min="34" max="34" width="9.77734375" bestFit="1" customWidth="1"/>
    <col min="35" max="35" width="17.21875" bestFit="1" customWidth="1"/>
    <col min="36" max="36" width="17.21875" customWidth="1"/>
    <col min="37" max="38" width="17.21875" style="4" customWidth="1"/>
    <col min="39" max="39" width="8.88671875" style="1"/>
    <col min="40" max="40" width="41.109375" style="1" bestFit="1" customWidth="1"/>
    <col min="41" max="41" width="17.6640625" bestFit="1" customWidth="1"/>
    <col min="42" max="42" width="17.6640625" customWidth="1"/>
    <col min="43" max="43" width="13.109375" bestFit="1" customWidth="1"/>
    <col min="44" max="44" width="7.6640625" bestFit="1" customWidth="1"/>
    <col min="45" max="45" width="27.21875" style="4" bestFit="1" customWidth="1"/>
    <col min="46" max="46" width="17.21875" style="1" bestFit="1" customWidth="1"/>
    <col min="47" max="47" width="28.6640625" bestFit="1" customWidth="1"/>
    <col min="48" max="48" width="28.6640625" customWidth="1"/>
    <col min="49" max="49" width="29.88671875" bestFit="1" customWidth="1"/>
    <col min="50" max="50" width="29.88671875" customWidth="1"/>
    <col min="51" max="51" width="22.33203125" bestFit="1" customWidth="1"/>
    <col min="52" max="53" width="22.33203125" customWidth="1"/>
    <col min="54" max="54" width="22.33203125" style="1" bestFit="1" customWidth="1"/>
    <col min="55" max="55" width="22.33203125" customWidth="1"/>
    <col min="56" max="56" width="48.5546875" bestFit="1" customWidth="1"/>
    <col min="57" max="57" width="13.44140625" customWidth="1"/>
    <col min="58" max="58" width="10.33203125" bestFit="1" customWidth="1"/>
    <col min="59" max="59" width="10.33203125" customWidth="1"/>
    <col min="60" max="60" width="21.33203125" bestFit="1" customWidth="1"/>
    <col min="61" max="62" width="21.33203125" customWidth="1"/>
    <col min="63" max="63" width="17" bestFit="1" customWidth="1"/>
    <col min="64" max="64" width="21.77734375" bestFit="1" customWidth="1"/>
    <col min="65" max="65" width="21.77734375" style="4" customWidth="1"/>
    <col min="66" max="67" width="17" customWidth="1"/>
    <col min="68" max="68" width="12.21875" style="1" bestFit="1" customWidth="1"/>
    <col min="70" max="70" width="14.33203125" bestFit="1" customWidth="1"/>
    <col min="71" max="71" width="14.33203125" customWidth="1"/>
    <col min="72" max="73" width="19.109375" bestFit="1" customWidth="1"/>
    <col min="74" max="76" width="19.109375" customWidth="1"/>
    <col min="77" max="77" width="19.109375" style="4" customWidth="1"/>
    <col min="78" max="78" width="13.44140625" style="1" bestFit="1" customWidth="1"/>
    <col min="79" max="79" width="13.44140625" style="1" customWidth="1"/>
    <col min="80" max="80" width="15.44140625" bestFit="1" customWidth="1"/>
    <col min="81" max="81" width="12.44140625" customWidth="1"/>
    <col min="82" max="82" width="41.5546875" bestFit="1" customWidth="1"/>
    <col min="83" max="83" width="13.6640625" bestFit="1" customWidth="1"/>
    <col min="84" max="85" width="13.6640625" customWidth="1"/>
    <col min="86" max="87" width="15.88671875" bestFit="1" customWidth="1"/>
    <col min="90" max="90" width="16.5546875" style="4" bestFit="1" customWidth="1"/>
    <col min="92" max="92" width="11.33203125" bestFit="1" customWidth="1"/>
    <col min="93" max="93" width="11.33203125" customWidth="1"/>
    <col min="94" max="94" width="13.5546875" bestFit="1" customWidth="1"/>
    <col min="95" max="95" width="41.5546875" bestFit="1" customWidth="1"/>
    <col min="96" max="96" width="20.109375" bestFit="1" customWidth="1"/>
    <col min="97" max="97" width="4.6640625" customWidth="1"/>
    <col min="98" max="98" width="34.6640625" style="4" bestFit="1" customWidth="1"/>
    <col min="99" max="99" width="12.44140625" bestFit="1" customWidth="1"/>
    <col min="100" max="100" width="10.44140625" bestFit="1" customWidth="1"/>
    <col min="101" max="101" width="13.88671875" bestFit="1" customWidth="1"/>
    <col min="102" max="102" width="12.77734375" bestFit="1" customWidth="1"/>
    <col min="103" max="103" width="12.77734375" customWidth="1"/>
    <col min="104" max="104" width="17.6640625" bestFit="1" customWidth="1"/>
    <col min="105" max="105" width="13.5546875" bestFit="1" customWidth="1"/>
    <col min="106" max="106" width="13.5546875" style="4" customWidth="1"/>
    <col min="107" max="107" width="13.5546875" customWidth="1"/>
    <col min="108" max="108" width="17" bestFit="1" customWidth="1"/>
    <col min="109" max="111" width="17" customWidth="1"/>
    <col min="112" max="112" width="16.77734375" bestFit="1" customWidth="1"/>
    <col min="113" max="114" width="16.77734375" customWidth="1"/>
    <col min="115" max="115" width="22.6640625" bestFit="1" customWidth="1"/>
    <col min="116" max="116" width="22.6640625" customWidth="1"/>
    <col min="117" max="117" width="16.77734375" customWidth="1"/>
    <col min="118" max="118" width="18" bestFit="1" customWidth="1"/>
    <col min="119" max="122" width="18" customWidth="1"/>
    <col min="123" max="123" width="17.21875" bestFit="1" customWidth="1"/>
    <col min="124" max="126" width="17.21875" customWidth="1"/>
    <col min="127" max="127" width="17.21875" style="4" customWidth="1"/>
    <col min="128" max="132" width="17.21875" customWidth="1"/>
    <col min="133" max="133" width="17.21875" style="4" customWidth="1"/>
    <col min="134" max="134" width="28.6640625" bestFit="1" customWidth="1"/>
    <col min="135" max="135" width="28.6640625" customWidth="1"/>
    <col min="136" max="136" width="15.77734375" bestFit="1" customWidth="1"/>
    <col min="137" max="137" width="11.33203125" bestFit="1" customWidth="1"/>
    <col min="138" max="138" width="12.109375" bestFit="1" customWidth="1"/>
    <col min="139" max="139" width="11.33203125" customWidth="1"/>
    <col min="140" max="140" width="22.88671875" bestFit="1" customWidth="1"/>
    <col min="141" max="144" width="22.88671875" customWidth="1"/>
    <col min="145" max="145" width="11.88671875" bestFit="1" customWidth="1"/>
    <col min="146" max="146" width="20.44140625" bestFit="1" customWidth="1"/>
    <col min="147" max="147" width="9.77734375" bestFit="1" customWidth="1"/>
    <col min="148" max="148" width="15.33203125" bestFit="1" customWidth="1"/>
    <col min="149" max="149" width="15.33203125" customWidth="1"/>
    <col min="150" max="150" width="19.33203125" bestFit="1" customWidth="1"/>
    <col min="151" max="152" width="19.33203125" customWidth="1"/>
    <col min="153" max="153" width="12.88671875" bestFit="1" customWidth="1"/>
    <col min="154" max="154" width="10.77734375" bestFit="1" customWidth="1"/>
    <col min="155" max="156" width="10.77734375" customWidth="1"/>
    <col min="157" max="157" width="13.77734375" bestFit="1" customWidth="1"/>
    <col min="158" max="158" width="20.5546875" style="1" bestFit="1" customWidth="1"/>
    <col min="159" max="159" width="19.44140625" style="1" customWidth="1"/>
    <col min="160" max="160" width="18.5546875" bestFit="1" customWidth="1"/>
    <col min="161" max="161" width="37.33203125" bestFit="1" customWidth="1"/>
    <col min="162" max="162" width="37.33203125" customWidth="1"/>
    <col min="163" max="163" width="20.33203125" bestFit="1" customWidth="1"/>
    <col min="164" max="164" width="15.21875" bestFit="1" customWidth="1"/>
    <col min="165" max="167" width="15.21875" customWidth="1"/>
    <col min="168" max="168" width="15.6640625" bestFit="1" customWidth="1"/>
    <col min="169" max="169" width="19.33203125" bestFit="1" customWidth="1"/>
    <col min="170" max="170" width="19.33203125" customWidth="1"/>
    <col min="171" max="171" width="9.44140625" bestFit="1" customWidth="1"/>
    <col min="172" max="172" width="20.6640625" bestFit="1" customWidth="1"/>
    <col min="173" max="173" width="23.21875" bestFit="1" customWidth="1"/>
    <col min="174" max="174" width="12.5546875" customWidth="1"/>
    <col min="175" max="175" width="25.109375" bestFit="1" customWidth="1"/>
    <col min="176" max="176" width="14.5546875" bestFit="1" customWidth="1"/>
    <col min="177" max="177" width="20.5546875" bestFit="1" customWidth="1"/>
    <col min="178" max="178" width="13.44140625" bestFit="1" customWidth="1"/>
    <col min="179" max="179" width="23.21875" bestFit="1" customWidth="1"/>
    <col min="180" max="180" width="12.5546875" customWidth="1"/>
    <col min="181" max="181" width="19.21875" bestFit="1" customWidth="1"/>
    <col min="182" max="182" width="15.44140625" bestFit="1" customWidth="1"/>
    <col min="183" max="183" width="15.109375" bestFit="1" customWidth="1"/>
    <col min="184" max="184" width="22.6640625" bestFit="1" customWidth="1"/>
    <col min="185" max="185" width="16.88671875" style="1" bestFit="1" customWidth="1"/>
    <col min="186" max="186" width="25.5546875" bestFit="1" customWidth="1"/>
    <col min="187" max="187" width="18.77734375" bestFit="1" customWidth="1"/>
    <col min="188" max="188" width="18.5546875" bestFit="1" customWidth="1"/>
    <col min="189" max="189" width="25.88671875" bestFit="1" customWidth="1"/>
    <col min="190" max="190" width="41" style="1" bestFit="1" customWidth="1"/>
    <col min="191" max="191" width="38.88671875" style="1" bestFit="1" customWidth="1"/>
    <col min="192" max="192" width="38.88671875" style="1" customWidth="1"/>
    <col min="193" max="193" width="36.77734375" customWidth="1"/>
    <col min="194" max="194" width="29.5546875" bestFit="1" customWidth="1"/>
    <col min="195" max="195" width="24.88671875" bestFit="1" customWidth="1"/>
    <col min="196" max="196" width="24.88671875" style="4" customWidth="1"/>
    <col min="197" max="197" width="19.88671875" bestFit="1" customWidth="1"/>
    <col min="198" max="198" width="33.44140625" bestFit="1" customWidth="1"/>
    <col min="200" max="200" width="26.88671875" bestFit="1" customWidth="1"/>
  </cols>
  <sheetData>
    <row r="1" spans="1:211" s="5" customFormat="1" x14ac:dyDescent="0.3">
      <c r="A1" s="9" t="s">
        <v>613</v>
      </c>
      <c r="B1" s="6" t="s">
        <v>0</v>
      </c>
      <c r="C1" s="6" t="s">
        <v>246</v>
      </c>
      <c r="D1" s="6" t="s">
        <v>1</v>
      </c>
      <c r="E1" s="6" t="s">
        <v>2</v>
      </c>
      <c r="F1" s="6" t="s">
        <v>3</v>
      </c>
      <c r="G1" s="6" t="s">
        <v>516</v>
      </c>
      <c r="H1" s="6" t="s">
        <v>586</v>
      </c>
      <c r="I1" s="6" t="s">
        <v>4</v>
      </c>
      <c r="J1" s="6" t="s">
        <v>5</v>
      </c>
      <c r="K1" s="6" t="s">
        <v>6</v>
      </c>
      <c r="L1" s="6" t="s">
        <v>425</v>
      </c>
      <c r="M1" s="6" t="s">
        <v>7</v>
      </c>
      <c r="N1" s="6" t="s">
        <v>593</v>
      </c>
      <c r="O1" s="6" t="s">
        <v>220</v>
      </c>
      <c r="P1" s="6" t="s">
        <v>556</v>
      </c>
      <c r="Q1" s="6" t="s">
        <v>427</v>
      </c>
      <c r="R1" s="6" t="s">
        <v>428</v>
      </c>
      <c r="S1" s="6" t="s">
        <v>8</v>
      </c>
      <c r="T1" s="6" t="s">
        <v>404</v>
      </c>
      <c r="U1" s="6" t="s">
        <v>396</v>
      </c>
      <c r="V1" s="6" t="s">
        <v>9</v>
      </c>
      <c r="W1" s="6" t="s">
        <v>10</v>
      </c>
      <c r="X1" s="6" t="s">
        <v>414</v>
      </c>
      <c r="Y1" s="6" t="s">
        <v>11</v>
      </c>
      <c r="Z1" s="6" t="s">
        <v>12</v>
      </c>
      <c r="AA1" s="6" t="s">
        <v>13</v>
      </c>
      <c r="AB1" s="6" t="s">
        <v>284</v>
      </c>
      <c r="AC1" s="6" t="s">
        <v>14</v>
      </c>
      <c r="AD1" s="6" t="s">
        <v>389</v>
      </c>
      <c r="AE1" s="6" t="s">
        <v>409</v>
      </c>
      <c r="AF1" s="6" t="s">
        <v>429</v>
      </c>
      <c r="AG1" s="6" t="s">
        <v>352</v>
      </c>
      <c r="AH1" s="6" t="s">
        <v>15</v>
      </c>
      <c r="AI1" s="6" t="s">
        <v>474</v>
      </c>
      <c r="AJ1" s="6" t="s">
        <v>513</v>
      </c>
      <c r="AK1" s="6" t="s">
        <v>567</v>
      </c>
      <c r="AL1" s="6" t="s">
        <v>574</v>
      </c>
      <c r="AM1" s="6" t="s">
        <v>16</v>
      </c>
      <c r="AN1" s="6" t="s">
        <v>17</v>
      </c>
      <c r="AO1" s="6" t="s">
        <v>247</v>
      </c>
      <c r="AP1" s="6" t="s">
        <v>511</v>
      </c>
      <c r="AQ1" s="6" t="s">
        <v>248</v>
      </c>
      <c r="AR1" s="6" t="s">
        <v>221</v>
      </c>
      <c r="AS1" s="6" t="s">
        <v>552</v>
      </c>
      <c r="AT1" s="6" t="s">
        <v>18</v>
      </c>
      <c r="AU1" s="6" t="s">
        <v>441</v>
      </c>
      <c r="AV1" s="6" t="s">
        <v>442</v>
      </c>
      <c r="AW1" s="6" t="s">
        <v>443</v>
      </c>
      <c r="AX1" s="6" t="s">
        <v>444</v>
      </c>
      <c r="AY1" s="6" t="s">
        <v>19</v>
      </c>
      <c r="AZ1" s="6" t="s">
        <v>353</v>
      </c>
      <c r="BA1" s="6" t="s">
        <v>503</v>
      </c>
      <c r="BB1" s="6" t="s">
        <v>20</v>
      </c>
      <c r="BC1" s="6" t="s">
        <v>21</v>
      </c>
      <c r="BD1" s="6" t="s">
        <v>22</v>
      </c>
      <c r="BE1" s="6" t="s">
        <v>23</v>
      </c>
      <c r="BF1" s="6" t="s">
        <v>24</v>
      </c>
      <c r="BG1" s="6" t="s">
        <v>445</v>
      </c>
      <c r="BH1" s="6" t="s">
        <v>446</v>
      </c>
      <c r="BI1" s="6" t="s">
        <v>482</v>
      </c>
      <c r="BJ1" s="6" t="s">
        <v>512</v>
      </c>
      <c r="BK1" s="6" t="s">
        <v>25</v>
      </c>
      <c r="BL1" s="6" t="s">
        <v>430</v>
      </c>
      <c r="BM1" s="6" t="s">
        <v>568</v>
      </c>
      <c r="BN1" s="6" t="s">
        <v>24</v>
      </c>
      <c r="BO1" s="6" t="s">
        <v>222</v>
      </c>
      <c r="BP1" s="6" t="s">
        <v>26</v>
      </c>
      <c r="BQ1" s="6" t="s">
        <v>27</v>
      </c>
      <c r="BR1" s="6" t="s">
        <v>223</v>
      </c>
      <c r="BS1" s="6" t="s">
        <v>517</v>
      </c>
      <c r="BT1" s="6" t="s">
        <v>28</v>
      </c>
      <c r="BU1" s="6" t="s">
        <v>29</v>
      </c>
      <c r="BV1" s="6" t="s">
        <v>545</v>
      </c>
      <c r="BW1" s="6" t="s">
        <v>401</v>
      </c>
      <c r="BX1" s="6" t="s">
        <v>521</v>
      </c>
      <c r="BY1" s="6" t="s">
        <v>569</v>
      </c>
      <c r="BZ1" s="6" t="s">
        <v>30</v>
      </c>
      <c r="CA1" s="6" t="s">
        <v>546</v>
      </c>
      <c r="CB1" s="6" t="s">
        <v>31</v>
      </c>
      <c r="CC1" s="6" t="s">
        <v>32</v>
      </c>
      <c r="CD1" s="6" t="s">
        <v>382</v>
      </c>
      <c r="CE1" s="6" t="s">
        <v>33</v>
      </c>
      <c r="CF1" s="6" t="s">
        <v>34</v>
      </c>
      <c r="CG1" s="6" t="s">
        <v>249</v>
      </c>
      <c r="CH1" s="6" t="s">
        <v>224</v>
      </c>
      <c r="CI1" s="6" t="s">
        <v>35</v>
      </c>
      <c r="CJ1" s="6" t="s">
        <v>36</v>
      </c>
      <c r="CK1" s="6" t="s">
        <v>318</v>
      </c>
      <c r="CL1" s="6" t="s">
        <v>592</v>
      </c>
      <c r="CM1" s="6" t="s">
        <v>372</v>
      </c>
      <c r="CN1" s="6" t="s">
        <v>373</v>
      </c>
      <c r="CO1" s="6" t="s">
        <v>436</v>
      </c>
      <c r="CP1" s="6" t="s">
        <v>374</v>
      </c>
      <c r="CQ1" s="6" t="s">
        <v>382</v>
      </c>
      <c r="CR1" s="6" t="s">
        <v>419</v>
      </c>
      <c r="CS1" s="6" t="s">
        <v>447</v>
      </c>
      <c r="CT1" s="6" t="s">
        <v>560</v>
      </c>
      <c r="CU1" s="6" t="s">
        <v>37</v>
      </c>
      <c r="CV1" s="6" t="s">
        <v>38</v>
      </c>
      <c r="CW1" s="6" t="s">
        <v>494</v>
      </c>
      <c r="CX1" s="6" t="s">
        <v>225</v>
      </c>
      <c r="CY1" s="6" t="s">
        <v>366</v>
      </c>
      <c r="CZ1" s="6" t="s">
        <v>431</v>
      </c>
      <c r="DA1" s="6" t="s">
        <v>39</v>
      </c>
      <c r="DB1" s="6" t="s">
        <v>594</v>
      </c>
      <c r="DC1" s="6" t="s">
        <v>289</v>
      </c>
      <c r="DD1" s="6" t="s">
        <v>226</v>
      </c>
      <c r="DE1" s="6" t="s">
        <v>359</v>
      </c>
      <c r="DF1" s="6" t="s">
        <v>250</v>
      </c>
      <c r="DG1" s="6" t="s">
        <v>251</v>
      </c>
      <c r="DH1" s="6" t="s">
        <v>40</v>
      </c>
      <c r="DI1" s="6" t="s">
        <v>285</v>
      </c>
      <c r="DJ1" s="6" t="s">
        <v>535</v>
      </c>
      <c r="DK1" s="6" t="s">
        <v>339</v>
      </c>
      <c r="DL1" s="6" t="s">
        <v>518</v>
      </c>
      <c r="DM1" s="6" t="s">
        <v>41</v>
      </c>
      <c r="DN1" s="6" t="s">
        <v>412</v>
      </c>
      <c r="DO1" s="6" t="s">
        <v>468</v>
      </c>
      <c r="DP1" s="6" t="s">
        <v>467</v>
      </c>
      <c r="DQ1" s="6" t="s">
        <v>472</v>
      </c>
      <c r="DR1" s="6" t="s">
        <v>524</v>
      </c>
      <c r="DS1" s="6" t="s">
        <v>42</v>
      </c>
      <c r="DT1" s="6" t="s">
        <v>522</v>
      </c>
      <c r="DU1" s="6" t="s">
        <v>252</v>
      </c>
      <c r="DV1" s="6" t="s">
        <v>367</v>
      </c>
      <c r="DW1" s="6" t="s">
        <v>575</v>
      </c>
      <c r="DX1" s="6" t="s">
        <v>504</v>
      </c>
      <c r="DY1" s="6" t="s">
        <v>286</v>
      </c>
      <c r="DZ1" s="6" t="s">
        <v>420</v>
      </c>
      <c r="EA1" s="6" t="s">
        <v>385</v>
      </c>
      <c r="EB1" s="6" t="s">
        <v>525</v>
      </c>
      <c r="EC1" s="6" t="s">
        <v>566</v>
      </c>
      <c r="ED1" s="6" t="s">
        <v>43</v>
      </c>
      <c r="EE1" s="6" t="s">
        <v>405</v>
      </c>
      <c r="EF1" s="6" t="s">
        <v>44</v>
      </c>
      <c r="EG1" s="6" t="s">
        <v>45</v>
      </c>
      <c r="EH1" s="6" t="s">
        <v>486</v>
      </c>
      <c r="EI1" s="6" t="s">
        <v>312</v>
      </c>
      <c r="EJ1" s="6" t="s">
        <v>311</v>
      </c>
      <c r="EK1" s="6" t="s">
        <v>460</v>
      </c>
      <c r="EL1" s="6" t="s">
        <v>360</v>
      </c>
      <c r="EM1" s="6" t="s">
        <v>385</v>
      </c>
      <c r="EN1" s="6" t="s">
        <v>384</v>
      </c>
      <c r="EO1" s="6" t="s">
        <v>383</v>
      </c>
      <c r="EP1" s="6" t="s">
        <v>46</v>
      </c>
      <c r="EQ1" s="6" t="s">
        <v>397</v>
      </c>
      <c r="ER1" s="6" t="s">
        <v>47</v>
      </c>
      <c r="ES1" s="6" t="s">
        <v>253</v>
      </c>
      <c r="ET1" s="6" t="s">
        <v>448</v>
      </c>
      <c r="EU1" s="6" t="s">
        <v>469</v>
      </c>
      <c r="EV1" s="6" t="s">
        <v>526</v>
      </c>
      <c r="EW1" s="6" t="s">
        <v>48</v>
      </c>
      <c r="EX1" s="6" t="s">
        <v>49</v>
      </c>
      <c r="EY1" s="6" t="s">
        <v>254</v>
      </c>
      <c r="EZ1" s="6" t="s">
        <v>454</v>
      </c>
      <c r="FA1" s="6" t="s">
        <v>461</v>
      </c>
      <c r="FB1" s="6" t="s">
        <v>50</v>
      </c>
      <c r="FC1" s="6" t="s">
        <v>449</v>
      </c>
      <c r="FD1" s="6" t="s">
        <v>51</v>
      </c>
      <c r="FE1" s="6" t="s">
        <v>340</v>
      </c>
      <c r="FF1" s="6" t="s">
        <v>421</v>
      </c>
      <c r="FG1" s="6" t="s">
        <v>255</v>
      </c>
      <c r="FH1" s="6" t="s">
        <v>52</v>
      </c>
      <c r="FI1" s="6" t="s">
        <v>227</v>
      </c>
      <c r="FJ1" s="6" t="s">
        <v>53</v>
      </c>
      <c r="FK1" s="6" t="s">
        <v>368</v>
      </c>
      <c r="FL1" s="6" t="s">
        <v>450</v>
      </c>
      <c r="FM1" s="6" t="s">
        <v>413</v>
      </c>
      <c r="FN1" s="6" t="s">
        <v>527</v>
      </c>
      <c r="FO1" s="6" t="s">
        <v>54</v>
      </c>
      <c r="FP1" s="6" t="s">
        <v>390</v>
      </c>
      <c r="FQ1" s="6" t="s">
        <v>256</v>
      </c>
      <c r="FR1" s="6" t="s">
        <v>319</v>
      </c>
      <c r="FS1" s="6" t="s">
        <v>470</v>
      </c>
      <c r="FT1" s="6" t="s">
        <v>287</v>
      </c>
      <c r="FU1" s="6" t="s">
        <v>415</v>
      </c>
      <c r="FV1" s="6" t="s">
        <v>55</v>
      </c>
      <c r="FW1" s="6" t="s">
        <v>256</v>
      </c>
      <c r="FX1" s="6" t="s">
        <v>257</v>
      </c>
      <c r="FY1" s="6" t="s">
        <v>451</v>
      </c>
      <c r="FZ1" s="6" t="s">
        <v>410</v>
      </c>
      <c r="GA1" s="6" t="s">
        <v>56</v>
      </c>
      <c r="GB1" s="6" t="s">
        <v>57</v>
      </c>
      <c r="GC1" s="6" t="s">
        <v>58</v>
      </c>
      <c r="GD1" s="6" t="s">
        <v>320</v>
      </c>
      <c r="GE1" s="6" t="s">
        <v>59</v>
      </c>
      <c r="GF1" s="6" t="s">
        <v>60</v>
      </c>
      <c r="GG1" s="6" t="s">
        <v>334</v>
      </c>
      <c r="GH1" s="6" t="s">
        <v>61</v>
      </c>
      <c r="GI1" s="6" t="s">
        <v>62</v>
      </c>
      <c r="GJ1" s="6" t="s">
        <v>578</v>
      </c>
      <c r="GK1" s="6" t="s">
        <v>354</v>
      </c>
      <c r="GL1" s="6" t="s">
        <v>288</v>
      </c>
      <c r="GM1" s="6" t="s">
        <v>398</v>
      </c>
      <c r="GN1" s="17"/>
      <c r="GO1" s="5" t="s">
        <v>595</v>
      </c>
      <c r="GP1" s="5" t="s">
        <v>598</v>
      </c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</row>
    <row r="2" spans="1:211" x14ac:dyDescent="0.3">
      <c r="A2" s="10" t="s">
        <v>614</v>
      </c>
      <c r="B2" s="1">
        <v>4</v>
      </c>
      <c r="C2">
        <v>0</v>
      </c>
      <c r="D2" s="1">
        <v>1</v>
      </c>
      <c r="E2">
        <v>2</v>
      </c>
      <c r="F2">
        <v>1</v>
      </c>
      <c r="G2">
        <v>0</v>
      </c>
      <c r="H2" s="4">
        <v>0</v>
      </c>
      <c r="I2">
        <v>1</v>
      </c>
      <c r="J2">
        <v>1</v>
      </c>
      <c r="K2">
        <v>0</v>
      </c>
      <c r="L2">
        <v>0</v>
      </c>
      <c r="M2">
        <v>1</v>
      </c>
      <c r="N2" s="4">
        <v>0</v>
      </c>
      <c r="O2">
        <v>0</v>
      </c>
      <c r="P2" s="4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1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 s="4">
        <v>0</v>
      </c>
      <c r="AL2" s="4">
        <v>0</v>
      </c>
      <c r="AM2" s="1">
        <v>1</v>
      </c>
      <c r="AN2" s="1">
        <v>1</v>
      </c>
      <c r="AO2">
        <v>0</v>
      </c>
      <c r="AP2">
        <v>0</v>
      </c>
      <c r="AQ2">
        <v>0</v>
      </c>
      <c r="AR2">
        <v>0</v>
      </c>
      <c r="AS2" s="4">
        <v>0</v>
      </c>
      <c r="AT2" s="1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 s="1">
        <v>19</v>
      </c>
      <c r="BC2">
        <v>0</v>
      </c>
      <c r="BD2">
        <v>6</v>
      </c>
      <c r="BE2">
        <v>2</v>
      </c>
      <c r="BF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 s="4">
        <v>0</v>
      </c>
      <c r="BN2">
        <v>0</v>
      </c>
      <c r="BO2">
        <v>0</v>
      </c>
      <c r="BP2" s="1">
        <v>35</v>
      </c>
      <c r="BQ2">
        <v>16</v>
      </c>
      <c r="BR2">
        <v>0</v>
      </c>
      <c r="BS2">
        <v>0</v>
      </c>
      <c r="BT2">
        <v>1</v>
      </c>
      <c r="BU2">
        <v>1</v>
      </c>
      <c r="BV2">
        <v>0</v>
      </c>
      <c r="BW2">
        <v>0</v>
      </c>
      <c r="BX2">
        <v>0</v>
      </c>
      <c r="BY2" s="4">
        <v>0</v>
      </c>
      <c r="BZ2" s="1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2</v>
      </c>
      <c r="CK2">
        <v>0</v>
      </c>
      <c r="CL2" s="4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 s="4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1</v>
      </c>
      <c r="DB2" s="4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9</v>
      </c>
      <c r="DT2">
        <v>0</v>
      </c>
      <c r="DU2">
        <v>0</v>
      </c>
      <c r="DV2">
        <v>0</v>
      </c>
      <c r="DW2" s="4">
        <v>0</v>
      </c>
      <c r="DX2">
        <v>0</v>
      </c>
      <c r="DY2">
        <v>0</v>
      </c>
      <c r="DZ2">
        <v>0</v>
      </c>
      <c r="EA2">
        <v>0</v>
      </c>
      <c r="EB2">
        <v>0</v>
      </c>
      <c r="EC2" s="4">
        <v>0</v>
      </c>
      <c r="ED2">
        <v>1</v>
      </c>
      <c r="EE2">
        <v>0</v>
      </c>
      <c r="EF2">
        <v>1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1</v>
      </c>
      <c r="EX2">
        <v>3</v>
      </c>
      <c r="EY2">
        <v>0</v>
      </c>
      <c r="EZ2">
        <v>0</v>
      </c>
      <c r="FA2">
        <v>0</v>
      </c>
      <c r="FB2" s="1">
        <v>11</v>
      </c>
      <c r="FC2">
        <v>0</v>
      </c>
      <c r="FD2">
        <v>1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1</v>
      </c>
      <c r="GC2" s="1">
        <v>1</v>
      </c>
      <c r="GD2">
        <v>0</v>
      </c>
      <c r="GE2">
        <v>1</v>
      </c>
      <c r="GF2">
        <v>1</v>
      </c>
      <c r="GG2">
        <v>0</v>
      </c>
      <c r="GH2" s="1">
        <v>1</v>
      </c>
      <c r="GI2" s="1">
        <v>1</v>
      </c>
      <c r="GJ2" s="4">
        <v>0</v>
      </c>
      <c r="GK2">
        <v>0</v>
      </c>
      <c r="GL2">
        <v>0</v>
      </c>
      <c r="GM2">
        <v>0</v>
      </c>
      <c r="GO2">
        <f>195-COUNTIF(B2:GM2,0)</f>
        <v>53</v>
      </c>
      <c r="GP2">
        <f>SUM(B2:GM2)</f>
        <v>161</v>
      </c>
    </row>
    <row r="3" spans="1:211" x14ac:dyDescent="0.3">
      <c r="A3" s="10" t="s">
        <v>615</v>
      </c>
      <c r="B3" s="1">
        <v>5</v>
      </c>
      <c r="C3">
        <v>0</v>
      </c>
      <c r="D3" s="1">
        <v>2</v>
      </c>
      <c r="E3">
        <v>1</v>
      </c>
      <c r="F3">
        <v>1</v>
      </c>
      <c r="G3">
        <v>0</v>
      </c>
      <c r="H3" s="4">
        <v>0</v>
      </c>
      <c r="I3">
        <v>2</v>
      </c>
      <c r="J3">
        <v>1</v>
      </c>
      <c r="K3">
        <v>2</v>
      </c>
      <c r="L3">
        <v>0</v>
      </c>
      <c r="M3">
        <v>0</v>
      </c>
      <c r="N3" s="4">
        <v>0</v>
      </c>
      <c r="O3">
        <v>0</v>
      </c>
      <c r="P3" s="4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1</v>
      </c>
      <c r="W3">
        <v>1</v>
      </c>
      <c r="X3">
        <v>0</v>
      </c>
      <c r="Y3">
        <v>2</v>
      </c>
      <c r="Z3">
        <v>0</v>
      </c>
      <c r="AA3">
        <v>11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  <c r="AH3">
        <v>3</v>
      </c>
      <c r="AI3">
        <v>0</v>
      </c>
      <c r="AJ3">
        <v>0</v>
      </c>
      <c r="AK3" s="4">
        <v>0</v>
      </c>
      <c r="AL3" s="4">
        <v>0</v>
      </c>
      <c r="AM3" s="1">
        <v>1</v>
      </c>
      <c r="AN3" s="1">
        <v>1</v>
      </c>
      <c r="AO3">
        <v>0</v>
      </c>
      <c r="AP3">
        <v>0</v>
      </c>
      <c r="AQ3">
        <v>0</v>
      </c>
      <c r="AR3">
        <v>0</v>
      </c>
      <c r="AS3" s="4">
        <v>0</v>
      </c>
      <c r="AT3" s="1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s="1">
        <v>14</v>
      </c>
      <c r="BC3">
        <v>1</v>
      </c>
      <c r="BD3">
        <v>6</v>
      </c>
      <c r="BE3">
        <v>4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s="4">
        <v>0</v>
      </c>
      <c r="BN3">
        <v>0</v>
      </c>
      <c r="BO3">
        <v>0</v>
      </c>
      <c r="BP3" s="1">
        <v>22</v>
      </c>
      <c r="BQ3">
        <v>9</v>
      </c>
      <c r="BR3">
        <v>0</v>
      </c>
      <c r="BS3">
        <v>0</v>
      </c>
      <c r="BT3">
        <v>2</v>
      </c>
      <c r="BU3">
        <v>1</v>
      </c>
      <c r="BV3">
        <v>0</v>
      </c>
      <c r="BW3">
        <v>0</v>
      </c>
      <c r="BX3">
        <v>0</v>
      </c>
      <c r="BY3" s="4">
        <v>0</v>
      </c>
      <c r="BZ3" s="1">
        <v>1</v>
      </c>
      <c r="CA3">
        <v>0</v>
      </c>
      <c r="CB3">
        <v>1</v>
      </c>
      <c r="CC3">
        <v>1</v>
      </c>
      <c r="CD3">
        <v>0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 s="4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s="4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 s="4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4</v>
      </c>
      <c r="DT3">
        <v>0</v>
      </c>
      <c r="DU3">
        <v>0</v>
      </c>
      <c r="DV3">
        <v>0</v>
      </c>
      <c r="DW3" s="4">
        <v>0</v>
      </c>
      <c r="DX3">
        <v>0</v>
      </c>
      <c r="DY3">
        <v>0</v>
      </c>
      <c r="DZ3">
        <v>0</v>
      </c>
      <c r="EA3">
        <v>0</v>
      </c>
      <c r="EB3">
        <v>0</v>
      </c>
      <c r="EC3" s="4">
        <v>0</v>
      </c>
      <c r="ED3">
        <v>3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1</v>
      </c>
      <c r="EX3">
        <v>3</v>
      </c>
      <c r="EY3">
        <v>0</v>
      </c>
      <c r="EZ3">
        <v>0</v>
      </c>
      <c r="FA3">
        <v>0</v>
      </c>
      <c r="FB3" s="1">
        <v>4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2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 s="1">
        <v>1</v>
      </c>
      <c r="GD3">
        <v>0</v>
      </c>
      <c r="GE3">
        <v>0</v>
      </c>
      <c r="GF3">
        <v>1</v>
      </c>
      <c r="GG3">
        <v>0</v>
      </c>
      <c r="GH3" s="1">
        <v>1</v>
      </c>
      <c r="GI3" s="1">
        <v>1</v>
      </c>
      <c r="GJ3" s="4">
        <v>0</v>
      </c>
      <c r="GK3">
        <v>0</v>
      </c>
      <c r="GL3">
        <v>0</v>
      </c>
      <c r="GM3">
        <v>0</v>
      </c>
      <c r="GO3" s="4">
        <f t="shared" ref="GO3:GO66" si="0">195-COUNTIF(B3:GM3,0)</f>
        <v>52</v>
      </c>
      <c r="GP3" s="4">
        <f t="shared" ref="GP3:GP66" si="1">SUM(B3:GM3)</f>
        <v>136</v>
      </c>
    </row>
    <row r="4" spans="1:211" x14ac:dyDescent="0.3">
      <c r="A4" s="10" t="s">
        <v>616</v>
      </c>
      <c r="B4" s="1">
        <v>6</v>
      </c>
      <c r="C4">
        <v>0</v>
      </c>
      <c r="D4" s="1">
        <v>1</v>
      </c>
      <c r="E4">
        <v>1</v>
      </c>
      <c r="F4">
        <v>1</v>
      </c>
      <c r="G4">
        <v>0</v>
      </c>
      <c r="H4" s="4">
        <v>0</v>
      </c>
      <c r="I4">
        <v>1</v>
      </c>
      <c r="J4">
        <v>1</v>
      </c>
      <c r="K4">
        <v>0</v>
      </c>
      <c r="L4">
        <v>0</v>
      </c>
      <c r="M4">
        <v>0</v>
      </c>
      <c r="N4" s="4">
        <v>0</v>
      </c>
      <c r="O4">
        <v>1</v>
      </c>
      <c r="P4" s="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 s="4">
        <v>0</v>
      </c>
      <c r="AL4" s="4">
        <v>0</v>
      </c>
      <c r="AM4" s="1">
        <v>1</v>
      </c>
      <c r="AN4" s="1">
        <v>1</v>
      </c>
      <c r="AO4">
        <v>0</v>
      </c>
      <c r="AP4">
        <v>0</v>
      </c>
      <c r="AQ4">
        <v>0</v>
      </c>
      <c r="AR4">
        <v>1</v>
      </c>
      <c r="AS4" s="4">
        <v>0</v>
      </c>
      <c r="AT4" s="1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s="1">
        <v>17</v>
      </c>
      <c r="BC4">
        <v>0</v>
      </c>
      <c r="BD4">
        <v>6</v>
      </c>
      <c r="BE4">
        <v>2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s="4">
        <v>0</v>
      </c>
      <c r="BN4">
        <v>0</v>
      </c>
      <c r="BO4">
        <v>1</v>
      </c>
      <c r="BP4" s="1">
        <v>14</v>
      </c>
      <c r="BQ4">
        <v>2</v>
      </c>
      <c r="BR4">
        <v>1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 s="4">
        <v>0</v>
      </c>
      <c r="BZ4" s="1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 s="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s="4">
        <v>0</v>
      </c>
      <c r="CU4">
        <v>1</v>
      </c>
      <c r="CV4">
        <v>1</v>
      </c>
      <c r="CW4">
        <v>0</v>
      </c>
      <c r="CX4">
        <v>1</v>
      </c>
      <c r="CY4">
        <v>0</v>
      </c>
      <c r="CZ4">
        <v>0</v>
      </c>
      <c r="DA4">
        <v>1</v>
      </c>
      <c r="DB4" s="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5</v>
      </c>
      <c r="DT4">
        <v>0</v>
      </c>
      <c r="DU4">
        <v>0</v>
      </c>
      <c r="DV4">
        <v>0</v>
      </c>
      <c r="DW4" s="4">
        <v>0</v>
      </c>
      <c r="DX4">
        <v>0</v>
      </c>
      <c r="DY4">
        <v>0</v>
      </c>
      <c r="DZ4">
        <v>0</v>
      </c>
      <c r="EA4">
        <v>0</v>
      </c>
      <c r="EB4">
        <v>0</v>
      </c>
      <c r="EC4" s="4">
        <v>0</v>
      </c>
      <c r="ED4">
        <v>3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3</v>
      </c>
      <c r="EY4">
        <v>0</v>
      </c>
      <c r="EZ4">
        <v>0</v>
      </c>
      <c r="FA4">
        <v>0</v>
      </c>
      <c r="FB4" s="1">
        <v>6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 s="1">
        <v>1</v>
      </c>
      <c r="GD4">
        <v>0</v>
      </c>
      <c r="GE4">
        <v>1</v>
      </c>
      <c r="GF4">
        <v>1</v>
      </c>
      <c r="GG4">
        <v>0</v>
      </c>
      <c r="GH4" s="1">
        <v>1</v>
      </c>
      <c r="GI4" s="1">
        <v>1</v>
      </c>
      <c r="GJ4" s="4">
        <v>0</v>
      </c>
      <c r="GK4">
        <v>0</v>
      </c>
      <c r="GL4">
        <v>0</v>
      </c>
      <c r="GM4">
        <v>0</v>
      </c>
      <c r="GO4" s="4">
        <f t="shared" si="0"/>
        <v>46</v>
      </c>
      <c r="GP4" s="4">
        <f t="shared" si="1"/>
        <v>108</v>
      </c>
    </row>
    <row r="5" spans="1:211" x14ac:dyDescent="0.3">
      <c r="A5" s="10" t="s">
        <v>617</v>
      </c>
      <c r="B5" s="1">
        <v>5</v>
      </c>
      <c r="C5">
        <v>2</v>
      </c>
      <c r="D5" s="1">
        <v>1</v>
      </c>
      <c r="E5">
        <v>1</v>
      </c>
      <c r="F5">
        <v>1</v>
      </c>
      <c r="G5">
        <v>0</v>
      </c>
      <c r="H5" s="4">
        <v>0</v>
      </c>
      <c r="I5">
        <v>0</v>
      </c>
      <c r="J5">
        <v>1</v>
      </c>
      <c r="K5">
        <v>0</v>
      </c>
      <c r="L5">
        <v>0</v>
      </c>
      <c r="M5">
        <v>0</v>
      </c>
      <c r="N5" s="4">
        <v>0</v>
      </c>
      <c r="O5">
        <v>0</v>
      </c>
      <c r="P5" s="4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 s="4">
        <v>0</v>
      </c>
      <c r="AL5" s="4">
        <v>0</v>
      </c>
      <c r="AM5" s="1">
        <v>1</v>
      </c>
      <c r="AN5" s="1">
        <v>1</v>
      </c>
      <c r="AO5">
        <v>1</v>
      </c>
      <c r="AP5">
        <v>0</v>
      </c>
      <c r="AQ5">
        <v>1</v>
      </c>
      <c r="AR5">
        <v>2</v>
      </c>
      <c r="AS5" s="4">
        <v>0</v>
      </c>
      <c r="AT5" s="1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s="1">
        <v>11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s="4">
        <v>0</v>
      </c>
      <c r="BN5">
        <v>0</v>
      </c>
      <c r="BO5">
        <v>0</v>
      </c>
      <c r="BP5" s="1">
        <v>21</v>
      </c>
      <c r="BQ5">
        <v>10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 s="4">
        <v>0</v>
      </c>
      <c r="BZ5" s="1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6</v>
      </c>
      <c r="CI5">
        <v>1</v>
      </c>
      <c r="CJ5">
        <v>0</v>
      </c>
      <c r="CK5">
        <v>0</v>
      </c>
      <c r="CL5" s="4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s="4">
        <v>0</v>
      </c>
      <c r="CU5">
        <v>1</v>
      </c>
      <c r="CV5">
        <v>1</v>
      </c>
      <c r="CW5">
        <v>0</v>
      </c>
      <c r="CX5">
        <v>2</v>
      </c>
      <c r="CY5">
        <v>0</v>
      </c>
      <c r="CZ5">
        <v>0</v>
      </c>
      <c r="DA5">
        <v>1</v>
      </c>
      <c r="DB5" s="4">
        <v>0</v>
      </c>
      <c r="DC5">
        <v>0</v>
      </c>
      <c r="DD5">
        <v>0</v>
      </c>
      <c r="DE5">
        <v>0</v>
      </c>
      <c r="DF5">
        <v>1</v>
      </c>
      <c r="DG5">
        <v>1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1</v>
      </c>
      <c r="DV5">
        <v>0</v>
      </c>
      <c r="DW5" s="4">
        <v>0</v>
      </c>
      <c r="DX5">
        <v>0</v>
      </c>
      <c r="DY5">
        <v>0</v>
      </c>
      <c r="DZ5">
        <v>0</v>
      </c>
      <c r="EA5">
        <v>0</v>
      </c>
      <c r="EB5">
        <v>0</v>
      </c>
      <c r="EC5" s="4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0</v>
      </c>
      <c r="FB5" s="1">
        <v>4</v>
      </c>
      <c r="FC5">
        <v>0</v>
      </c>
      <c r="FD5">
        <v>0</v>
      </c>
      <c r="FE5">
        <v>0</v>
      </c>
      <c r="FF5">
        <v>0</v>
      </c>
      <c r="FG5">
        <v>1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48</v>
      </c>
      <c r="FP5">
        <v>0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0</v>
      </c>
      <c r="FZ5">
        <v>0</v>
      </c>
      <c r="GA5">
        <v>0</v>
      </c>
      <c r="GB5">
        <v>1</v>
      </c>
      <c r="GC5" s="1">
        <v>1</v>
      </c>
      <c r="GD5">
        <v>0</v>
      </c>
      <c r="GE5">
        <v>1</v>
      </c>
      <c r="GF5">
        <v>1</v>
      </c>
      <c r="GG5">
        <v>0</v>
      </c>
      <c r="GH5" s="1">
        <v>1</v>
      </c>
      <c r="GI5" s="1">
        <v>1</v>
      </c>
      <c r="GJ5" s="4">
        <v>0</v>
      </c>
      <c r="GK5">
        <v>0</v>
      </c>
      <c r="GL5">
        <v>0</v>
      </c>
      <c r="GM5">
        <v>0</v>
      </c>
      <c r="GO5" s="4">
        <f t="shared" si="0"/>
        <v>51</v>
      </c>
      <c r="GP5" s="4">
        <f t="shared" si="1"/>
        <v>151</v>
      </c>
    </row>
    <row r="6" spans="1:211" x14ac:dyDescent="0.3">
      <c r="A6" s="10" t="s">
        <v>618</v>
      </c>
      <c r="B6" s="1">
        <v>4</v>
      </c>
      <c r="C6">
        <v>1</v>
      </c>
      <c r="D6" s="1">
        <v>1</v>
      </c>
      <c r="E6">
        <v>3</v>
      </c>
      <c r="F6">
        <v>7</v>
      </c>
      <c r="G6">
        <v>0</v>
      </c>
      <c r="H6" s="4">
        <v>0</v>
      </c>
      <c r="I6">
        <v>1</v>
      </c>
      <c r="J6">
        <v>0</v>
      </c>
      <c r="K6">
        <v>0</v>
      </c>
      <c r="L6">
        <v>0</v>
      </c>
      <c r="M6">
        <v>0</v>
      </c>
      <c r="N6" s="4">
        <v>0</v>
      </c>
      <c r="O6">
        <v>6</v>
      </c>
      <c r="P6" s="4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 s="4">
        <v>0</v>
      </c>
      <c r="AL6" s="4">
        <v>0</v>
      </c>
      <c r="AM6" s="1">
        <v>1</v>
      </c>
      <c r="AN6" s="1">
        <v>1</v>
      </c>
      <c r="AO6">
        <v>0</v>
      </c>
      <c r="AP6">
        <v>0</v>
      </c>
      <c r="AQ6">
        <v>0</v>
      </c>
      <c r="AR6">
        <v>0</v>
      </c>
      <c r="AS6" s="4">
        <v>0</v>
      </c>
      <c r="AT6" s="1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s="1">
        <v>15</v>
      </c>
      <c r="BC6">
        <v>0</v>
      </c>
      <c r="BD6">
        <v>6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 s="4">
        <v>0</v>
      </c>
      <c r="BN6">
        <v>0</v>
      </c>
      <c r="BO6">
        <v>0</v>
      </c>
      <c r="BP6" s="1">
        <v>17</v>
      </c>
      <c r="BQ6">
        <v>6</v>
      </c>
      <c r="BR6">
        <v>1</v>
      </c>
      <c r="BS6">
        <v>0</v>
      </c>
      <c r="BT6">
        <v>1</v>
      </c>
      <c r="BU6">
        <v>1</v>
      </c>
      <c r="BV6">
        <v>0</v>
      </c>
      <c r="BW6">
        <v>0</v>
      </c>
      <c r="BX6">
        <v>0</v>
      </c>
      <c r="BY6" s="4">
        <v>0</v>
      </c>
      <c r="BZ6" s="1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1</v>
      </c>
      <c r="CG6">
        <v>0</v>
      </c>
      <c r="CH6">
        <v>1</v>
      </c>
      <c r="CI6">
        <v>0</v>
      </c>
      <c r="CJ6">
        <v>0</v>
      </c>
      <c r="CK6">
        <v>0</v>
      </c>
      <c r="CL6" s="4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s="4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 s="4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0</v>
      </c>
      <c r="DU6">
        <v>0</v>
      </c>
      <c r="DV6">
        <v>0</v>
      </c>
      <c r="DW6" s="4">
        <v>0</v>
      </c>
      <c r="DX6">
        <v>0</v>
      </c>
      <c r="DY6">
        <v>1</v>
      </c>
      <c r="DZ6">
        <v>0</v>
      </c>
      <c r="EA6">
        <v>0</v>
      </c>
      <c r="EB6">
        <v>0</v>
      </c>
      <c r="EC6" s="4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2</v>
      </c>
      <c r="EY6">
        <v>0</v>
      </c>
      <c r="EZ6">
        <v>0</v>
      </c>
      <c r="FA6">
        <v>0</v>
      </c>
      <c r="FB6" s="1">
        <v>3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1</v>
      </c>
      <c r="GC6" s="1">
        <v>1</v>
      </c>
      <c r="GD6">
        <v>0</v>
      </c>
      <c r="GE6">
        <v>1</v>
      </c>
      <c r="GF6">
        <v>1</v>
      </c>
      <c r="GG6">
        <v>0</v>
      </c>
      <c r="GH6" s="1">
        <v>1</v>
      </c>
      <c r="GI6" s="1">
        <v>1</v>
      </c>
      <c r="GJ6" s="4">
        <v>0</v>
      </c>
      <c r="GK6">
        <v>0</v>
      </c>
      <c r="GL6">
        <v>1</v>
      </c>
      <c r="GM6">
        <v>0</v>
      </c>
      <c r="GO6" s="4">
        <f t="shared" si="0"/>
        <v>49</v>
      </c>
      <c r="GP6" s="4">
        <f t="shared" si="1"/>
        <v>112</v>
      </c>
    </row>
    <row r="7" spans="1:211" x14ac:dyDescent="0.3">
      <c r="A7" s="10" t="s">
        <v>619</v>
      </c>
      <c r="B7" s="1">
        <v>2</v>
      </c>
      <c r="C7">
        <v>0</v>
      </c>
      <c r="D7" s="1">
        <v>1</v>
      </c>
      <c r="E7">
        <v>1</v>
      </c>
      <c r="F7">
        <v>1</v>
      </c>
      <c r="G7">
        <v>0</v>
      </c>
      <c r="H7" s="4">
        <v>0</v>
      </c>
      <c r="I7">
        <v>1</v>
      </c>
      <c r="J7">
        <v>1</v>
      </c>
      <c r="K7">
        <v>0</v>
      </c>
      <c r="L7">
        <v>0</v>
      </c>
      <c r="M7">
        <v>0</v>
      </c>
      <c r="N7" s="4">
        <v>0</v>
      </c>
      <c r="O7">
        <v>0</v>
      </c>
      <c r="P7" s="4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4">
        <v>0</v>
      </c>
      <c r="AL7" s="4">
        <v>0</v>
      </c>
      <c r="AM7" s="1">
        <v>1</v>
      </c>
      <c r="AN7" s="1">
        <v>1</v>
      </c>
      <c r="AO7">
        <v>1</v>
      </c>
      <c r="AP7">
        <v>0</v>
      </c>
      <c r="AQ7">
        <v>0</v>
      </c>
      <c r="AR7">
        <v>0</v>
      </c>
      <c r="AS7" s="4">
        <v>0</v>
      </c>
      <c r="AT7" s="1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s="1">
        <v>19</v>
      </c>
      <c r="BC7">
        <v>0</v>
      </c>
      <c r="BD7">
        <v>6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s="4">
        <v>0</v>
      </c>
      <c r="BN7">
        <v>0</v>
      </c>
      <c r="BO7">
        <v>0</v>
      </c>
      <c r="BP7" s="1">
        <v>21</v>
      </c>
      <c r="BQ7">
        <v>17</v>
      </c>
      <c r="BR7">
        <v>0</v>
      </c>
      <c r="BS7">
        <v>0</v>
      </c>
      <c r="BT7">
        <v>1</v>
      </c>
      <c r="BU7">
        <v>1</v>
      </c>
      <c r="BV7">
        <v>0</v>
      </c>
      <c r="BW7">
        <v>0</v>
      </c>
      <c r="BX7">
        <v>0</v>
      </c>
      <c r="BY7" s="4">
        <v>0</v>
      </c>
      <c r="BZ7" s="1">
        <v>1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 s="4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s="4">
        <v>0</v>
      </c>
      <c r="CU7">
        <v>1</v>
      </c>
      <c r="CV7">
        <v>1</v>
      </c>
      <c r="CW7">
        <v>0</v>
      </c>
      <c r="CX7">
        <v>0</v>
      </c>
      <c r="CY7">
        <v>0</v>
      </c>
      <c r="CZ7">
        <v>0</v>
      </c>
      <c r="DA7">
        <v>1</v>
      </c>
      <c r="DB7" s="4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6</v>
      </c>
      <c r="DT7">
        <v>0</v>
      </c>
      <c r="DU7">
        <v>0</v>
      </c>
      <c r="DV7">
        <v>0</v>
      </c>
      <c r="DW7" s="4">
        <v>0</v>
      </c>
      <c r="DX7">
        <v>0</v>
      </c>
      <c r="DY7">
        <v>0</v>
      </c>
      <c r="DZ7">
        <v>0</v>
      </c>
      <c r="EA7">
        <v>0</v>
      </c>
      <c r="EB7">
        <v>0</v>
      </c>
      <c r="EC7" s="4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1</v>
      </c>
      <c r="EX7">
        <v>2</v>
      </c>
      <c r="EY7">
        <v>0</v>
      </c>
      <c r="EZ7">
        <v>0</v>
      </c>
      <c r="FA7">
        <v>0</v>
      </c>
      <c r="FB7" s="1">
        <v>7</v>
      </c>
      <c r="FC7">
        <v>0</v>
      </c>
      <c r="FD7">
        <v>1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1</v>
      </c>
      <c r="GB7">
        <v>1</v>
      </c>
      <c r="GC7" s="1">
        <v>1</v>
      </c>
      <c r="GD7">
        <v>0</v>
      </c>
      <c r="GE7">
        <v>1</v>
      </c>
      <c r="GF7">
        <v>0</v>
      </c>
      <c r="GG7">
        <v>0</v>
      </c>
      <c r="GH7" s="1">
        <v>1</v>
      </c>
      <c r="GI7" s="1">
        <v>1</v>
      </c>
      <c r="GJ7" s="4">
        <v>0</v>
      </c>
      <c r="GK7">
        <v>0</v>
      </c>
      <c r="GL7">
        <v>0</v>
      </c>
      <c r="GM7">
        <v>0</v>
      </c>
      <c r="GO7" s="4">
        <f t="shared" si="0"/>
        <v>45</v>
      </c>
      <c r="GP7" s="4">
        <f t="shared" si="1"/>
        <v>117</v>
      </c>
    </row>
    <row r="8" spans="1:211" x14ac:dyDescent="0.3">
      <c r="A8" s="10" t="s">
        <v>620</v>
      </c>
      <c r="B8" s="1">
        <v>5</v>
      </c>
      <c r="C8">
        <v>0</v>
      </c>
      <c r="D8" s="1">
        <v>1</v>
      </c>
      <c r="E8">
        <v>1</v>
      </c>
      <c r="F8">
        <v>0</v>
      </c>
      <c r="G8">
        <v>0</v>
      </c>
      <c r="H8" s="4">
        <v>0</v>
      </c>
      <c r="I8">
        <v>1</v>
      </c>
      <c r="J8">
        <v>1</v>
      </c>
      <c r="K8">
        <v>0</v>
      </c>
      <c r="L8">
        <v>0</v>
      </c>
      <c r="M8">
        <v>0</v>
      </c>
      <c r="N8" s="4">
        <v>0</v>
      </c>
      <c r="O8">
        <v>0</v>
      </c>
      <c r="P8" s="4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4">
        <v>0</v>
      </c>
      <c r="AL8" s="4">
        <v>0</v>
      </c>
      <c r="AM8" s="1">
        <v>1</v>
      </c>
      <c r="AN8" s="1">
        <v>1</v>
      </c>
      <c r="AO8">
        <v>0</v>
      </c>
      <c r="AP8">
        <v>0</v>
      </c>
      <c r="AQ8">
        <v>0</v>
      </c>
      <c r="AR8">
        <v>0</v>
      </c>
      <c r="AS8" s="4">
        <v>0</v>
      </c>
      <c r="AT8" s="1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s="1">
        <v>17</v>
      </c>
      <c r="BC8">
        <v>0</v>
      </c>
      <c r="BD8">
        <v>6</v>
      </c>
      <c r="BE8">
        <v>2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s="4">
        <v>0</v>
      </c>
      <c r="BN8">
        <v>0</v>
      </c>
      <c r="BO8">
        <v>0</v>
      </c>
      <c r="BP8" s="1">
        <v>18</v>
      </c>
      <c r="BQ8">
        <v>4</v>
      </c>
      <c r="BR8">
        <v>0</v>
      </c>
      <c r="BS8">
        <v>0</v>
      </c>
      <c r="BT8">
        <v>1</v>
      </c>
      <c r="BU8">
        <v>1</v>
      </c>
      <c r="BV8">
        <v>0</v>
      </c>
      <c r="BW8">
        <v>0</v>
      </c>
      <c r="BX8">
        <v>0</v>
      </c>
      <c r="BY8" s="4">
        <v>0</v>
      </c>
      <c r="BZ8" s="1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 s="4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s="4">
        <v>0</v>
      </c>
      <c r="CU8">
        <v>1</v>
      </c>
      <c r="CV8">
        <v>1</v>
      </c>
      <c r="CW8">
        <v>0</v>
      </c>
      <c r="CX8">
        <v>0</v>
      </c>
      <c r="CY8">
        <v>0</v>
      </c>
      <c r="CZ8">
        <v>0</v>
      </c>
      <c r="DA8">
        <v>1</v>
      </c>
      <c r="DB8" s="4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4</v>
      </c>
      <c r="DT8">
        <v>0</v>
      </c>
      <c r="DU8">
        <v>0</v>
      </c>
      <c r="DV8">
        <v>0</v>
      </c>
      <c r="DW8" s="4">
        <v>0</v>
      </c>
      <c r="DX8">
        <v>0</v>
      </c>
      <c r="DY8">
        <v>0</v>
      </c>
      <c r="DZ8">
        <v>0</v>
      </c>
      <c r="EA8">
        <v>0</v>
      </c>
      <c r="EB8">
        <v>0</v>
      </c>
      <c r="EC8" s="4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1</v>
      </c>
      <c r="EX8">
        <v>3</v>
      </c>
      <c r="EY8">
        <v>0</v>
      </c>
      <c r="EZ8">
        <v>0</v>
      </c>
      <c r="FA8">
        <v>0</v>
      </c>
      <c r="FB8" s="1">
        <v>9</v>
      </c>
      <c r="FC8">
        <v>0</v>
      </c>
      <c r="FD8">
        <v>1</v>
      </c>
      <c r="FE8">
        <v>0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0</v>
      </c>
      <c r="FQ8">
        <v>0</v>
      </c>
      <c r="FR8">
        <v>0</v>
      </c>
      <c r="FS8">
        <v>0</v>
      </c>
      <c r="FT8">
        <v>2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 s="1">
        <v>1</v>
      </c>
      <c r="GD8">
        <v>0</v>
      </c>
      <c r="GE8">
        <v>1</v>
      </c>
      <c r="GF8">
        <v>0</v>
      </c>
      <c r="GG8">
        <v>0</v>
      </c>
      <c r="GH8" s="1">
        <v>1</v>
      </c>
      <c r="GI8" s="1">
        <v>1</v>
      </c>
      <c r="GJ8" s="4">
        <v>0</v>
      </c>
      <c r="GK8">
        <v>0</v>
      </c>
      <c r="GL8">
        <v>0</v>
      </c>
      <c r="GM8">
        <v>0</v>
      </c>
      <c r="GO8" s="4">
        <f t="shared" si="0"/>
        <v>41</v>
      </c>
      <c r="GP8" s="4">
        <f t="shared" si="1"/>
        <v>101</v>
      </c>
    </row>
    <row r="9" spans="1:211" x14ac:dyDescent="0.3">
      <c r="A9" s="10" t="s">
        <v>621</v>
      </c>
      <c r="B9" s="1">
        <v>4</v>
      </c>
      <c r="C9">
        <v>0</v>
      </c>
      <c r="D9" s="1">
        <v>1</v>
      </c>
      <c r="E9">
        <v>1</v>
      </c>
      <c r="F9">
        <v>1</v>
      </c>
      <c r="G9">
        <v>0</v>
      </c>
      <c r="H9" s="4">
        <v>0</v>
      </c>
      <c r="I9">
        <v>1</v>
      </c>
      <c r="J9">
        <v>1</v>
      </c>
      <c r="K9">
        <v>0</v>
      </c>
      <c r="L9">
        <v>0</v>
      </c>
      <c r="M9">
        <v>0</v>
      </c>
      <c r="N9" s="4">
        <v>0</v>
      </c>
      <c r="O9">
        <v>0</v>
      </c>
      <c r="P9" s="4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 s="4">
        <v>0</v>
      </c>
      <c r="AL9" s="4">
        <v>0</v>
      </c>
      <c r="AM9" s="1">
        <v>1</v>
      </c>
      <c r="AN9" s="1">
        <v>1</v>
      </c>
      <c r="AO9">
        <v>0</v>
      </c>
      <c r="AP9">
        <v>0</v>
      </c>
      <c r="AQ9">
        <v>0</v>
      </c>
      <c r="AR9">
        <v>0</v>
      </c>
      <c r="AS9" s="4">
        <v>0</v>
      </c>
      <c r="AT9" s="1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s="1">
        <v>15</v>
      </c>
      <c r="BC9">
        <v>0</v>
      </c>
      <c r="BD9">
        <v>6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s="4">
        <v>0</v>
      </c>
      <c r="BN9">
        <v>0</v>
      </c>
      <c r="BO9">
        <v>0</v>
      </c>
      <c r="BP9" s="1">
        <v>54</v>
      </c>
      <c r="BQ9">
        <v>19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 s="4">
        <v>0</v>
      </c>
      <c r="BZ9" s="1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 s="4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s="4">
        <v>0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 s="4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0</v>
      </c>
      <c r="DU9">
        <v>0</v>
      </c>
      <c r="DV9">
        <v>0</v>
      </c>
      <c r="DW9" s="4">
        <v>0</v>
      </c>
      <c r="DX9">
        <v>0</v>
      </c>
      <c r="DY9">
        <v>0</v>
      </c>
      <c r="DZ9">
        <v>0</v>
      </c>
      <c r="EA9">
        <v>0</v>
      </c>
      <c r="EB9">
        <v>0</v>
      </c>
      <c r="EC9" s="4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2</v>
      </c>
      <c r="EY9">
        <v>0</v>
      </c>
      <c r="EZ9">
        <v>0</v>
      </c>
      <c r="FA9">
        <v>0</v>
      </c>
      <c r="FB9" s="1">
        <v>8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44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3</v>
      </c>
      <c r="FW9">
        <v>0</v>
      </c>
      <c r="FX9">
        <v>0</v>
      </c>
      <c r="FY9">
        <v>0</v>
      </c>
      <c r="FZ9">
        <v>0</v>
      </c>
      <c r="GA9">
        <v>0</v>
      </c>
      <c r="GB9">
        <v>1</v>
      </c>
      <c r="GC9" s="1">
        <v>1</v>
      </c>
      <c r="GD9">
        <v>0</v>
      </c>
      <c r="GE9">
        <v>0</v>
      </c>
      <c r="GF9">
        <v>1</v>
      </c>
      <c r="GG9">
        <v>0</v>
      </c>
      <c r="GH9" s="1">
        <v>1</v>
      </c>
      <c r="GI9" s="1">
        <v>1</v>
      </c>
      <c r="GJ9" s="4">
        <v>0</v>
      </c>
      <c r="GK9">
        <v>0</v>
      </c>
      <c r="GL9">
        <v>0</v>
      </c>
      <c r="GM9">
        <v>0</v>
      </c>
      <c r="GO9" s="4">
        <f t="shared" si="0"/>
        <v>39</v>
      </c>
      <c r="GP9" s="4">
        <f t="shared" si="1"/>
        <v>185</v>
      </c>
    </row>
    <row r="10" spans="1:211" x14ac:dyDescent="0.3">
      <c r="A10" s="10" t="s">
        <v>622</v>
      </c>
      <c r="B10" s="1">
        <v>5</v>
      </c>
      <c r="C10">
        <v>0</v>
      </c>
      <c r="D10" s="1">
        <v>1</v>
      </c>
      <c r="E10">
        <v>0</v>
      </c>
      <c r="F10">
        <v>1</v>
      </c>
      <c r="G10">
        <v>0</v>
      </c>
      <c r="H10" s="4">
        <v>0</v>
      </c>
      <c r="I10">
        <v>1</v>
      </c>
      <c r="J10">
        <v>1</v>
      </c>
      <c r="K10">
        <v>0</v>
      </c>
      <c r="L10">
        <v>0</v>
      </c>
      <c r="M10">
        <v>0</v>
      </c>
      <c r="N10" s="4">
        <v>0</v>
      </c>
      <c r="O10">
        <v>0</v>
      </c>
      <c r="P10" s="4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s="4">
        <v>0</v>
      </c>
      <c r="AL10" s="4">
        <v>0</v>
      </c>
      <c r="AM10" s="1">
        <v>1</v>
      </c>
      <c r="AN10" s="1">
        <v>1</v>
      </c>
      <c r="AO10">
        <v>1</v>
      </c>
      <c r="AP10">
        <v>0</v>
      </c>
      <c r="AQ10">
        <v>0</v>
      </c>
      <c r="AR10">
        <v>0</v>
      </c>
      <c r="AS10" s="4">
        <v>0</v>
      </c>
      <c r="AT10" s="1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s="1">
        <v>18</v>
      </c>
      <c r="BC10">
        <v>2</v>
      </c>
      <c r="BD10">
        <v>6</v>
      </c>
      <c r="BE10">
        <v>3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s="4">
        <v>0</v>
      </c>
      <c r="BN10">
        <v>0</v>
      </c>
      <c r="BO10">
        <v>0</v>
      </c>
      <c r="BP10" s="1">
        <v>16</v>
      </c>
      <c r="BQ10">
        <v>7</v>
      </c>
      <c r="BR10">
        <v>0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 s="4">
        <v>0</v>
      </c>
      <c r="BZ10" s="1">
        <v>1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s="4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s="4">
        <v>0</v>
      </c>
      <c r="CU10">
        <v>1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3</v>
      </c>
      <c r="DB10" s="4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6</v>
      </c>
      <c r="DT10">
        <v>0</v>
      </c>
      <c r="DU10">
        <v>0</v>
      </c>
      <c r="DV10">
        <v>0</v>
      </c>
      <c r="DW10" s="4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s="4">
        <v>0</v>
      </c>
      <c r="ED10">
        <v>2</v>
      </c>
      <c r="EE10">
        <v>0</v>
      </c>
      <c r="EF10">
        <v>0</v>
      </c>
      <c r="EG10">
        <v>0</v>
      </c>
      <c r="EH10">
        <v>0</v>
      </c>
      <c r="EI10">
        <v>5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5</v>
      </c>
      <c r="EY10">
        <v>0</v>
      </c>
      <c r="EZ10">
        <v>0</v>
      </c>
      <c r="FA10">
        <v>0</v>
      </c>
      <c r="FB10" s="1">
        <v>6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3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1</v>
      </c>
      <c r="GC10" s="1">
        <v>1</v>
      </c>
      <c r="GD10">
        <v>0</v>
      </c>
      <c r="GE10">
        <v>0</v>
      </c>
      <c r="GF10">
        <v>1</v>
      </c>
      <c r="GG10">
        <v>0</v>
      </c>
      <c r="GH10" s="1">
        <v>1</v>
      </c>
      <c r="GI10" s="1">
        <v>1</v>
      </c>
      <c r="GJ10" s="4">
        <v>0</v>
      </c>
      <c r="GK10">
        <v>0</v>
      </c>
      <c r="GL10">
        <v>0</v>
      </c>
      <c r="GM10">
        <v>0</v>
      </c>
      <c r="GO10" s="4">
        <f t="shared" si="0"/>
        <v>41</v>
      </c>
      <c r="GP10" s="4">
        <f t="shared" si="1"/>
        <v>113</v>
      </c>
    </row>
    <row r="11" spans="1:211" x14ac:dyDescent="0.3">
      <c r="A11" s="10" t="s">
        <v>623</v>
      </c>
      <c r="B11" s="1">
        <v>4</v>
      </c>
      <c r="C11">
        <v>0</v>
      </c>
      <c r="D11" s="1">
        <v>1</v>
      </c>
      <c r="E11">
        <v>1</v>
      </c>
      <c r="F11">
        <v>1</v>
      </c>
      <c r="G11">
        <v>0</v>
      </c>
      <c r="H11" s="4">
        <v>0</v>
      </c>
      <c r="I11">
        <v>0</v>
      </c>
      <c r="J11">
        <v>1</v>
      </c>
      <c r="K11">
        <v>0</v>
      </c>
      <c r="L11">
        <v>0</v>
      </c>
      <c r="M11">
        <v>0</v>
      </c>
      <c r="N11" s="4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s="4">
        <v>0</v>
      </c>
      <c r="AL11" s="4">
        <v>0</v>
      </c>
      <c r="AM11" s="1">
        <v>1</v>
      </c>
      <c r="AN11" s="1">
        <v>1</v>
      </c>
      <c r="AO11">
        <v>0</v>
      </c>
      <c r="AP11">
        <v>0</v>
      </c>
      <c r="AQ11">
        <v>0</v>
      </c>
      <c r="AR11">
        <v>0</v>
      </c>
      <c r="AS11" s="4">
        <v>0</v>
      </c>
      <c r="AT11" s="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s="1">
        <v>16</v>
      </c>
      <c r="BC11">
        <v>0</v>
      </c>
      <c r="BD11">
        <v>6</v>
      </c>
      <c r="BE11">
        <v>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4">
        <v>0</v>
      </c>
      <c r="BN11">
        <v>1</v>
      </c>
      <c r="BO11">
        <v>0</v>
      </c>
      <c r="BP11" s="1">
        <v>15</v>
      </c>
      <c r="BQ11">
        <v>15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 s="4">
        <v>0</v>
      </c>
      <c r="BZ11" s="1">
        <v>1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4</v>
      </c>
      <c r="CL11" s="4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s="4">
        <v>0</v>
      </c>
      <c r="CU11">
        <v>1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2</v>
      </c>
      <c r="DB11" s="4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</v>
      </c>
      <c r="DT11">
        <v>0</v>
      </c>
      <c r="DU11">
        <v>0</v>
      </c>
      <c r="DV11">
        <v>0</v>
      </c>
      <c r="DW11" s="4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s="4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3</v>
      </c>
      <c r="EY11">
        <v>0</v>
      </c>
      <c r="EZ11">
        <v>0</v>
      </c>
      <c r="FA11">
        <v>0</v>
      </c>
      <c r="FB11" s="1">
        <v>6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1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 s="1">
        <v>1</v>
      </c>
      <c r="GD11">
        <v>1</v>
      </c>
      <c r="GE11">
        <v>1</v>
      </c>
      <c r="GF11">
        <v>1</v>
      </c>
      <c r="GG11">
        <v>0</v>
      </c>
      <c r="GH11" s="1">
        <v>1</v>
      </c>
      <c r="GI11" s="1">
        <v>1</v>
      </c>
      <c r="GJ11" s="4">
        <v>0</v>
      </c>
      <c r="GK11">
        <v>0</v>
      </c>
      <c r="GL11">
        <v>0</v>
      </c>
      <c r="GM11">
        <v>0</v>
      </c>
      <c r="GO11" s="4">
        <f t="shared" si="0"/>
        <v>44</v>
      </c>
      <c r="GP11" s="4">
        <f t="shared" si="1"/>
        <v>123</v>
      </c>
    </row>
    <row r="12" spans="1:211" x14ac:dyDescent="0.3">
      <c r="A12" s="10" t="s">
        <v>624</v>
      </c>
      <c r="B12" s="1">
        <v>3</v>
      </c>
      <c r="C12">
        <v>2</v>
      </c>
      <c r="D12" s="1">
        <v>1</v>
      </c>
      <c r="E12">
        <v>1</v>
      </c>
      <c r="F12">
        <v>1</v>
      </c>
      <c r="G12">
        <v>0</v>
      </c>
      <c r="H12" s="4">
        <v>0</v>
      </c>
      <c r="I12">
        <v>1</v>
      </c>
      <c r="J12">
        <v>1</v>
      </c>
      <c r="K12">
        <v>0</v>
      </c>
      <c r="L12">
        <v>0</v>
      </c>
      <c r="M12">
        <v>0</v>
      </c>
      <c r="N12" s="4">
        <v>0</v>
      </c>
      <c r="O12">
        <v>0</v>
      </c>
      <c r="P12" s="4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 s="4">
        <v>0</v>
      </c>
      <c r="AL12" s="4">
        <v>0</v>
      </c>
      <c r="AM12" s="1">
        <v>1</v>
      </c>
      <c r="AN12" s="1">
        <v>1</v>
      </c>
      <c r="AO12">
        <v>0</v>
      </c>
      <c r="AP12">
        <v>0</v>
      </c>
      <c r="AQ12">
        <v>1</v>
      </c>
      <c r="AR12">
        <v>1</v>
      </c>
      <c r="AS12" s="4">
        <v>0</v>
      </c>
      <c r="AT12" s="1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s="1">
        <v>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4">
        <v>0</v>
      </c>
      <c r="BN12">
        <v>0</v>
      </c>
      <c r="BO12">
        <v>0</v>
      </c>
      <c r="BP12" s="1">
        <v>27</v>
      </c>
      <c r="BQ12">
        <v>5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 s="4">
        <v>0</v>
      </c>
      <c r="BZ12" s="1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6</v>
      </c>
      <c r="CI12">
        <v>1</v>
      </c>
      <c r="CJ12">
        <v>0</v>
      </c>
      <c r="CK12">
        <v>0</v>
      </c>
      <c r="CL12" s="4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s="4">
        <v>0</v>
      </c>
      <c r="CU12">
        <v>1</v>
      </c>
      <c r="CV12">
        <v>1</v>
      </c>
      <c r="CW12">
        <v>0</v>
      </c>
      <c r="CX12">
        <v>2</v>
      </c>
      <c r="CY12">
        <v>0</v>
      </c>
      <c r="CZ12">
        <v>0</v>
      </c>
      <c r="DA12">
        <v>1</v>
      </c>
      <c r="DB12" s="4">
        <v>0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1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</v>
      </c>
      <c r="DT12">
        <v>0</v>
      </c>
      <c r="DU12">
        <v>0</v>
      </c>
      <c r="DV12">
        <v>0</v>
      </c>
      <c r="DW12" s="4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s="4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3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</v>
      </c>
      <c r="EZ12">
        <v>0</v>
      </c>
      <c r="FA12">
        <v>0</v>
      </c>
      <c r="FB12" s="1">
        <v>4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1</v>
      </c>
      <c r="FX12">
        <v>1</v>
      </c>
      <c r="FY12">
        <v>0</v>
      </c>
      <c r="FZ12">
        <v>0</v>
      </c>
      <c r="GA12">
        <v>1</v>
      </c>
      <c r="GB12">
        <v>1</v>
      </c>
      <c r="GC12" s="1">
        <v>1</v>
      </c>
      <c r="GD12">
        <v>0</v>
      </c>
      <c r="GE12">
        <v>0</v>
      </c>
      <c r="GF12">
        <v>1</v>
      </c>
      <c r="GG12">
        <v>0</v>
      </c>
      <c r="GH12" s="1">
        <v>1</v>
      </c>
      <c r="GI12" s="1">
        <v>1</v>
      </c>
      <c r="GJ12" s="4">
        <v>0</v>
      </c>
      <c r="GK12">
        <v>0</v>
      </c>
      <c r="GL12">
        <v>0</v>
      </c>
      <c r="GM12">
        <v>0</v>
      </c>
      <c r="GO12" s="4">
        <f t="shared" si="0"/>
        <v>47</v>
      </c>
      <c r="GP12" s="4">
        <f t="shared" si="1"/>
        <v>103</v>
      </c>
    </row>
    <row r="13" spans="1:211" x14ac:dyDescent="0.3">
      <c r="A13" s="10" t="s">
        <v>625</v>
      </c>
      <c r="B13" s="1">
        <v>4</v>
      </c>
      <c r="C13">
        <v>0</v>
      </c>
      <c r="D13" s="1">
        <v>1</v>
      </c>
      <c r="E13">
        <v>2</v>
      </c>
      <c r="F13">
        <v>1</v>
      </c>
      <c r="G13">
        <v>0</v>
      </c>
      <c r="H13" s="4">
        <v>0</v>
      </c>
      <c r="I13">
        <v>1</v>
      </c>
      <c r="J13">
        <v>1</v>
      </c>
      <c r="K13">
        <v>0</v>
      </c>
      <c r="L13">
        <v>0</v>
      </c>
      <c r="M13">
        <v>0</v>
      </c>
      <c r="N13" s="4">
        <v>0</v>
      </c>
      <c r="O13">
        <v>0</v>
      </c>
      <c r="P13" s="4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s="4">
        <v>0</v>
      </c>
      <c r="AL13" s="4">
        <v>0</v>
      </c>
      <c r="AM13" s="1">
        <v>1</v>
      </c>
      <c r="AN13" s="1">
        <v>2</v>
      </c>
      <c r="AO13">
        <v>0</v>
      </c>
      <c r="AP13">
        <v>0</v>
      </c>
      <c r="AQ13">
        <v>0</v>
      </c>
      <c r="AR13">
        <v>0</v>
      </c>
      <c r="AS13" s="4">
        <v>0</v>
      </c>
      <c r="AT13" s="1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s="1">
        <v>17</v>
      </c>
      <c r="BC13">
        <v>0</v>
      </c>
      <c r="BD13">
        <v>6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4">
        <v>0</v>
      </c>
      <c r="BN13">
        <v>1</v>
      </c>
      <c r="BO13">
        <v>0</v>
      </c>
      <c r="BP13" s="1">
        <v>14</v>
      </c>
      <c r="BQ13">
        <v>5</v>
      </c>
      <c r="BR13">
        <v>0</v>
      </c>
      <c r="BS13">
        <v>0</v>
      </c>
      <c r="BT13">
        <v>1</v>
      </c>
      <c r="BU13">
        <v>1</v>
      </c>
      <c r="BV13">
        <v>0</v>
      </c>
      <c r="BW13">
        <v>0</v>
      </c>
      <c r="BX13">
        <v>0</v>
      </c>
      <c r="BY13" s="4">
        <v>0</v>
      </c>
      <c r="BZ13" s="1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 s="4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s="4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 s="4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</v>
      </c>
      <c r="DT13">
        <v>0</v>
      </c>
      <c r="DU13">
        <v>0</v>
      </c>
      <c r="DV13">
        <v>0</v>
      </c>
      <c r="DW13" s="4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s="4">
        <v>0</v>
      </c>
      <c r="ED13">
        <v>2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3</v>
      </c>
      <c r="EY13">
        <v>0</v>
      </c>
      <c r="EZ13">
        <v>0</v>
      </c>
      <c r="FA13">
        <v>0</v>
      </c>
      <c r="FB13" s="1">
        <v>8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8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1</v>
      </c>
      <c r="GB13">
        <v>0</v>
      </c>
      <c r="GC13" s="1">
        <v>1</v>
      </c>
      <c r="GD13">
        <v>0</v>
      </c>
      <c r="GE13">
        <v>1</v>
      </c>
      <c r="GF13">
        <v>1</v>
      </c>
      <c r="GG13">
        <v>1</v>
      </c>
      <c r="GH13" s="1">
        <v>1</v>
      </c>
      <c r="GI13" s="1">
        <v>1</v>
      </c>
      <c r="GJ13" s="4">
        <v>0</v>
      </c>
      <c r="GK13">
        <v>0</v>
      </c>
      <c r="GL13">
        <v>0</v>
      </c>
      <c r="GM13">
        <v>0</v>
      </c>
      <c r="GO13" s="4">
        <f t="shared" si="0"/>
        <v>43</v>
      </c>
      <c r="GP13" s="4">
        <f t="shared" si="1"/>
        <v>119</v>
      </c>
    </row>
    <row r="14" spans="1:211" x14ac:dyDescent="0.3">
      <c r="A14" s="10" t="s">
        <v>626</v>
      </c>
      <c r="B14" s="1">
        <v>5</v>
      </c>
      <c r="C14">
        <v>0</v>
      </c>
      <c r="D14" s="1">
        <v>1</v>
      </c>
      <c r="E14">
        <v>1</v>
      </c>
      <c r="F14">
        <v>1</v>
      </c>
      <c r="G14">
        <v>0</v>
      </c>
      <c r="H14" s="4">
        <v>0</v>
      </c>
      <c r="I14">
        <v>1</v>
      </c>
      <c r="J14">
        <v>1</v>
      </c>
      <c r="K14">
        <v>0</v>
      </c>
      <c r="L14">
        <v>0</v>
      </c>
      <c r="M14">
        <v>0</v>
      </c>
      <c r="N14" s="4">
        <v>0</v>
      </c>
      <c r="O14">
        <v>0</v>
      </c>
      <c r="P14" s="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4</v>
      </c>
      <c r="AI14">
        <v>0</v>
      </c>
      <c r="AJ14">
        <v>0</v>
      </c>
      <c r="AK14" s="4">
        <v>0</v>
      </c>
      <c r="AL14" s="4">
        <v>0</v>
      </c>
      <c r="AM14" s="1">
        <v>1</v>
      </c>
      <c r="AN14" s="1">
        <v>1</v>
      </c>
      <c r="AO14">
        <v>0</v>
      </c>
      <c r="AP14">
        <v>0</v>
      </c>
      <c r="AQ14">
        <v>0</v>
      </c>
      <c r="AR14">
        <v>0</v>
      </c>
      <c r="AS14" s="4">
        <v>0</v>
      </c>
      <c r="AT14" s="1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 s="1">
        <v>18</v>
      </c>
      <c r="BC14">
        <v>0</v>
      </c>
      <c r="BD14">
        <v>6</v>
      </c>
      <c r="BE14">
        <v>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4">
        <v>0</v>
      </c>
      <c r="BN14">
        <v>1</v>
      </c>
      <c r="BO14">
        <v>0</v>
      </c>
      <c r="BP14" s="1">
        <v>7</v>
      </c>
      <c r="BQ14">
        <v>11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0</v>
      </c>
      <c r="BY14" s="4">
        <v>0</v>
      </c>
      <c r="BZ14" s="1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 s="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s="4">
        <v>0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 s="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</v>
      </c>
      <c r="DT14">
        <v>0</v>
      </c>
      <c r="DU14">
        <v>0</v>
      </c>
      <c r="DV14">
        <v>0</v>
      </c>
      <c r="DW14" s="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s="4">
        <v>0</v>
      </c>
      <c r="ED14">
        <v>2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3</v>
      </c>
      <c r="EY14">
        <v>0</v>
      </c>
      <c r="EZ14">
        <v>0</v>
      </c>
      <c r="FA14">
        <v>0</v>
      </c>
      <c r="FB14" s="1">
        <v>7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20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 s="1">
        <v>1</v>
      </c>
      <c r="GD14">
        <v>0</v>
      </c>
      <c r="GE14">
        <v>1</v>
      </c>
      <c r="GF14">
        <v>1</v>
      </c>
      <c r="GG14">
        <v>1</v>
      </c>
      <c r="GH14" s="1">
        <v>1</v>
      </c>
      <c r="GI14" s="1">
        <v>1</v>
      </c>
      <c r="GJ14" s="4">
        <v>0</v>
      </c>
      <c r="GK14">
        <v>1</v>
      </c>
      <c r="GL14">
        <v>0</v>
      </c>
      <c r="GM14">
        <v>0</v>
      </c>
      <c r="GO14" s="4">
        <f t="shared" si="0"/>
        <v>49</v>
      </c>
      <c r="GP14" s="4">
        <f t="shared" si="1"/>
        <v>132</v>
      </c>
    </row>
    <row r="15" spans="1:211" x14ac:dyDescent="0.3">
      <c r="A15" s="10" t="s">
        <v>627</v>
      </c>
      <c r="B15" s="1">
        <v>5</v>
      </c>
      <c r="C15">
        <v>1</v>
      </c>
      <c r="D15" s="1">
        <v>2</v>
      </c>
      <c r="E15">
        <v>1</v>
      </c>
      <c r="F15">
        <v>1</v>
      </c>
      <c r="G15">
        <v>0</v>
      </c>
      <c r="H15" s="4">
        <v>0</v>
      </c>
      <c r="I15">
        <v>1</v>
      </c>
      <c r="J15">
        <v>1</v>
      </c>
      <c r="K15">
        <v>0</v>
      </c>
      <c r="L15">
        <v>0</v>
      </c>
      <c r="M15">
        <v>0</v>
      </c>
      <c r="N15" s="4">
        <v>0</v>
      </c>
      <c r="O15">
        <v>1</v>
      </c>
      <c r="P15" s="4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3</v>
      </c>
      <c r="AI15">
        <v>0</v>
      </c>
      <c r="AJ15">
        <v>0</v>
      </c>
      <c r="AK15" s="4">
        <v>0</v>
      </c>
      <c r="AL15" s="4">
        <v>0</v>
      </c>
      <c r="AM15" s="1">
        <v>1</v>
      </c>
      <c r="AN15" s="1">
        <v>1</v>
      </c>
      <c r="AO15">
        <v>0</v>
      </c>
      <c r="AP15">
        <v>0</v>
      </c>
      <c r="AQ15">
        <v>0</v>
      </c>
      <c r="AR15">
        <v>1</v>
      </c>
      <c r="AS15" s="4">
        <v>0</v>
      </c>
      <c r="AT15" s="1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s="1">
        <v>21</v>
      </c>
      <c r="BC15">
        <v>0</v>
      </c>
      <c r="BD15">
        <v>6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 s="4">
        <v>0</v>
      </c>
      <c r="BN15">
        <v>0</v>
      </c>
      <c r="BO15">
        <v>0</v>
      </c>
      <c r="BP15" s="1">
        <v>42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0</v>
      </c>
      <c r="BW15">
        <v>0</v>
      </c>
      <c r="BX15">
        <v>0</v>
      </c>
      <c r="BY15" s="4">
        <v>0</v>
      </c>
      <c r="BZ15" s="1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s="4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s="4">
        <v>0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 s="4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 s="4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 s="4">
        <v>0</v>
      </c>
      <c r="ED15">
        <v>2</v>
      </c>
      <c r="EE15">
        <v>0</v>
      </c>
      <c r="EF15">
        <v>0</v>
      </c>
      <c r="EG15">
        <v>2</v>
      </c>
      <c r="EH15">
        <v>0</v>
      </c>
      <c r="EI15">
        <v>0</v>
      </c>
      <c r="EJ15">
        <v>2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3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2</v>
      </c>
      <c r="EY15">
        <v>0</v>
      </c>
      <c r="EZ15">
        <v>0</v>
      </c>
      <c r="FA15">
        <v>0</v>
      </c>
      <c r="FB15" s="1">
        <v>7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 s="1">
        <v>1</v>
      </c>
      <c r="GD15">
        <v>0</v>
      </c>
      <c r="GE15">
        <v>1</v>
      </c>
      <c r="GF15">
        <v>1</v>
      </c>
      <c r="GG15">
        <v>0</v>
      </c>
      <c r="GH15" s="1">
        <v>1</v>
      </c>
      <c r="GI15" s="1">
        <v>1</v>
      </c>
      <c r="GJ15" s="4">
        <v>0</v>
      </c>
      <c r="GK15">
        <v>0</v>
      </c>
      <c r="GL15">
        <v>0</v>
      </c>
      <c r="GM15">
        <v>0</v>
      </c>
      <c r="GO15" s="4">
        <f t="shared" si="0"/>
        <v>46</v>
      </c>
      <c r="GP15" s="4">
        <f t="shared" si="1"/>
        <v>131</v>
      </c>
    </row>
    <row r="16" spans="1:211" x14ac:dyDescent="0.3">
      <c r="A16" s="10" t="s">
        <v>628</v>
      </c>
      <c r="B16" s="1">
        <v>4</v>
      </c>
      <c r="C16">
        <v>2</v>
      </c>
      <c r="D16" s="1">
        <v>1</v>
      </c>
      <c r="E16">
        <v>1</v>
      </c>
      <c r="F16">
        <v>1</v>
      </c>
      <c r="G16">
        <v>0</v>
      </c>
      <c r="H16" s="4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4">
        <v>0</v>
      </c>
      <c r="O16">
        <v>1</v>
      </c>
      <c r="P16" s="4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 s="4">
        <v>0</v>
      </c>
      <c r="AL16" s="4">
        <v>0</v>
      </c>
      <c r="AM16" s="1">
        <v>1</v>
      </c>
      <c r="AN16" s="1">
        <v>1</v>
      </c>
      <c r="AO16">
        <v>0</v>
      </c>
      <c r="AP16">
        <v>0</v>
      </c>
      <c r="AQ16">
        <v>1</v>
      </c>
      <c r="AR16">
        <v>3</v>
      </c>
      <c r="AS16" s="4">
        <v>0</v>
      </c>
      <c r="AT16" s="1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s="1">
        <v>10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 s="4">
        <v>0</v>
      </c>
      <c r="BN16">
        <v>0</v>
      </c>
      <c r="BO16">
        <v>0</v>
      </c>
      <c r="BP16" s="1">
        <v>5</v>
      </c>
      <c r="BQ16">
        <v>2</v>
      </c>
      <c r="BR16">
        <v>0</v>
      </c>
      <c r="BS16">
        <v>0</v>
      </c>
      <c r="BT16">
        <v>1</v>
      </c>
      <c r="BU16">
        <v>1</v>
      </c>
      <c r="BV16">
        <v>0</v>
      </c>
      <c r="BW16">
        <v>0</v>
      </c>
      <c r="BX16">
        <v>0</v>
      </c>
      <c r="BY16" s="4">
        <v>0</v>
      </c>
      <c r="BZ16" s="1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9</v>
      </c>
      <c r="CI16">
        <v>0</v>
      </c>
      <c r="CJ16">
        <v>0</v>
      </c>
      <c r="CK16">
        <v>0</v>
      </c>
      <c r="CL16" s="4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s="4">
        <v>0</v>
      </c>
      <c r="CU16">
        <v>1</v>
      </c>
      <c r="CV16">
        <v>1</v>
      </c>
      <c r="CW16">
        <v>0</v>
      </c>
      <c r="CX16">
        <v>2</v>
      </c>
      <c r="CY16">
        <v>1</v>
      </c>
      <c r="CZ16">
        <v>0</v>
      </c>
      <c r="DA16">
        <v>1</v>
      </c>
      <c r="DB16" s="4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1</v>
      </c>
      <c r="DW16" s="4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 s="4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 s="1">
        <v>5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3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 s="1">
        <v>1</v>
      </c>
      <c r="GD16">
        <v>0</v>
      </c>
      <c r="GE16">
        <v>0</v>
      </c>
      <c r="GF16">
        <v>1</v>
      </c>
      <c r="GG16">
        <v>0</v>
      </c>
      <c r="GH16" s="1">
        <v>1</v>
      </c>
      <c r="GI16" s="1">
        <v>1</v>
      </c>
      <c r="GJ16" s="4">
        <v>0</v>
      </c>
      <c r="GK16">
        <v>0</v>
      </c>
      <c r="GL16">
        <v>0</v>
      </c>
      <c r="GM16">
        <v>0</v>
      </c>
      <c r="GO16" s="4">
        <f t="shared" si="0"/>
        <v>39</v>
      </c>
      <c r="GP16" s="4">
        <f t="shared" si="1"/>
        <v>73</v>
      </c>
    </row>
    <row r="17" spans="1:198" x14ac:dyDescent="0.3">
      <c r="A17" s="10" t="s">
        <v>629</v>
      </c>
      <c r="B17" s="1">
        <v>3</v>
      </c>
      <c r="C17">
        <v>0</v>
      </c>
      <c r="D17" s="1">
        <v>1</v>
      </c>
      <c r="E17">
        <v>0</v>
      </c>
      <c r="F17">
        <v>1</v>
      </c>
      <c r="G17">
        <v>0</v>
      </c>
      <c r="H17" s="4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4">
        <v>0</v>
      </c>
      <c r="O17">
        <v>1</v>
      </c>
      <c r="P17" s="4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 s="4">
        <v>0</v>
      </c>
      <c r="AL17" s="4">
        <v>0</v>
      </c>
      <c r="AM17" s="1">
        <v>1</v>
      </c>
      <c r="AN17" s="1">
        <v>1</v>
      </c>
      <c r="AO17">
        <v>0</v>
      </c>
      <c r="AP17">
        <v>0</v>
      </c>
      <c r="AQ17">
        <v>0</v>
      </c>
      <c r="AR17">
        <v>0</v>
      </c>
      <c r="AS17" s="4">
        <v>0</v>
      </c>
      <c r="AT17" s="1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s="1">
        <v>16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s="4">
        <v>0</v>
      </c>
      <c r="BN17">
        <v>0</v>
      </c>
      <c r="BO17">
        <v>0</v>
      </c>
      <c r="BP17" s="1">
        <v>15</v>
      </c>
      <c r="BQ17">
        <v>7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 s="4">
        <v>0</v>
      </c>
      <c r="BZ17" s="1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 s="4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s="4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 s="4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 s="4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s="4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 s="1">
        <v>5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12</v>
      </c>
      <c r="FP17">
        <v>0</v>
      </c>
      <c r="FQ17">
        <v>0</v>
      </c>
      <c r="FR17">
        <v>0</v>
      </c>
      <c r="FS17">
        <v>0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1</v>
      </c>
      <c r="GC17" s="1">
        <v>1</v>
      </c>
      <c r="GD17">
        <v>0</v>
      </c>
      <c r="GE17">
        <v>0</v>
      </c>
      <c r="GF17">
        <v>1</v>
      </c>
      <c r="GG17">
        <v>0</v>
      </c>
      <c r="GH17" s="1">
        <v>1</v>
      </c>
      <c r="GI17" s="1">
        <v>1</v>
      </c>
      <c r="GJ17" s="4">
        <v>0</v>
      </c>
      <c r="GK17">
        <v>0</v>
      </c>
      <c r="GL17">
        <v>0</v>
      </c>
      <c r="GM17">
        <v>0</v>
      </c>
      <c r="GO17" s="4">
        <f t="shared" si="0"/>
        <v>33</v>
      </c>
      <c r="GP17" s="4">
        <f t="shared" si="1"/>
        <v>85</v>
      </c>
    </row>
    <row r="18" spans="1:198" x14ac:dyDescent="0.3">
      <c r="A18" s="10" t="s">
        <v>630</v>
      </c>
      <c r="B18" s="1">
        <v>2</v>
      </c>
      <c r="C18">
        <v>1</v>
      </c>
      <c r="D18" s="1">
        <v>2</v>
      </c>
      <c r="E18">
        <v>1</v>
      </c>
      <c r="F18">
        <v>1</v>
      </c>
      <c r="G18">
        <v>0</v>
      </c>
      <c r="H18" s="4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4">
        <v>0</v>
      </c>
      <c r="O18">
        <v>0</v>
      </c>
      <c r="P18" s="4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4">
        <v>0</v>
      </c>
      <c r="AL18" s="4">
        <v>0</v>
      </c>
      <c r="AM18" s="1">
        <v>1</v>
      </c>
      <c r="AN18" s="1">
        <v>1</v>
      </c>
      <c r="AO18">
        <v>1</v>
      </c>
      <c r="AP18">
        <v>0</v>
      </c>
      <c r="AQ18">
        <v>0</v>
      </c>
      <c r="AR18">
        <v>1</v>
      </c>
      <c r="AS18" s="4">
        <v>0</v>
      </c>
      <c r="AT18" s="1">
        <v>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s="1">
        <v>16</v>
      </c>
      <c r="BC18">
        <v>0</v>
      </c>
      <c r="BD18">
        <v>6</v>
      </c>
      <c r="BE18">
        <v>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 s="4">
        <v>0</v>
      </c>
      <c r="BN18">
        <v>0</v>
      </c>
      <c r="BO18">
        <v>0</v>
      </c>
      <c r="BP18" s="1">
        <v>6</v>
      </c>
      <c r="BQ18">
        <v>4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 s="4">
        <v>0</v>
      </c>
      <c r="BZ18" s="1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 s="4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0</v>
      </c>
      <c r="CT18" s="4">
        <v>0</v>
      </c>
      <c r="CU18">
        <v>1</v>
      </c>
      <c r="CV18">
        <v>2</v>
      </c>
      <c r="CW18">
        <v>0</v>
      </c>
      <c r="CX18">
        <v>0</v>
      </c>
      <c r="CY18">
        <v>0</v>
      </c>
      <c r="CZ18">
        <v>0</v>
      </c>
      <c r="DA18">
        <v>1</v>
      </c>
      <c r="DB18" s="4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 s="4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s="4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2</v>
      </c>
      <c r="EY18">
        <v>0</v>
      </c>
      <c r="EZ18">
        <v>0</v>
      </c>
      <c r="FA18">
        <v>0</v>
      </c>
      <c r="FB18" s="1">
        <v>5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24</v>
      </c>
      <c r="FP18">
        <v>0</v>
      </c>
      <c r="FQ18">
        <v>0</v>
      </c>
      <c r="FR18">
        <v>0</v>
      </c>
      <c r="FS18">
        <v>0</v>
      </c>
      <c r="FT18">
        <v>4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 s="1">
        <v>1</v>
      </c>
      <c r="GD18">
        <v>0</v>
      </c>
      <c r="GE18">
        <v>1</v>
      </c>
      <c r="GF18">
        <v>1</v>
      </c>
      <c r="GG18">
        <v>0</v>
      </c>
      <c r="GH18" s="1">
        <v>1</v>
      </c>
      <c r="GI18" s="1">
        <v>1</v>
      </c>
      <c r="GJ18" s="4">
        <v>0</v>
      </c>
      <c r="GK18">
        <v>0</v>
      </c>
      <c r="GL18">
        <v>0</v>
      </c>
      <c r="GM18">
        <v>0</v>
      </c>
      <c r="GO18" s="4">
        <f t="shared" si="0"/>
        <v>41</v>
      </c>
      <c r="GP18" s="4">
        <f t="shared" si="1"/>
        <v>107</v>
      </c>
    </row>
    <row r="19" spans="1:198" x14ac:dyDescent="0.3">
      <c r="A19" s="10" t="s">
        <v>631</v>
      </c>
      <c r="B19" s="1">
        <v>3</v>
      </c>
      <c r="C19">
        <v>0</v>
      </c>
      <c r="D19" s="1">
        <v>1</v>
      </c>
      <c r="E19">
        <v>1</v>
      </c>
      <c r="F19">
        <v>1</v>
      </c>
      <c r="G19">
        <v>0</v>
      </c>
      <c r="H19" s="4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4">
        <v>0</v>
      </c>
      <c r="O19">
        <v>0</v>
      </c>
      <c r="P19" s="4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4">
        <v>0</v>
      </c>
      <c r="AL19" s="4">
        <v>0</v>
      </c>
      <c r="AM19" s="1">
        <v>1</v>
      </c>
      <c r="AN19" s="1">
        <v>1</v>
      </c>
      <c r="AO19">
        <v>0</v>
      </c>
      <c r="AP19">
        <v>0</v>
      </c>
      <c r="AQ19">
        <v>0</v>
      </c>
      <c r="AR19">
        <v>0</v>
      </c>
      <c r="AS19" s="4">
        <v>0</v>
      </c>
      <c r="AT19" s="1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1">
        <v>16</v>
      </c>
      <c r="BC19">
        <v>0</v>
      </c>
      <c r="BD19">
        <v>6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s="4">
        <v>0</v>
      </c>
      <c r="BN19">
        <v>1</v>
      </c>
      <c r="BO19">
        <v>0</v>
      </c>
      <c r="BP19" s="1">
        <v>30</v>
      </c>
      <c r="BQ19">
        <v>13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 s="4">
        <v>0</v>
      </c>
      <c r="BZ19" s="1">
        <v>1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 s="4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s="4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2</v>
      </c>
      <c r="DB19" s="4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 s="4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s="4">
        <v>0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3</v>
      </c>
      <c r="EY19">
        <v>0</v>
      </c>
      <c r="EZ19">
        <v>0</v>
      </c>
      <c r="FA19">
        <v>0</v>
      </c>
      <c r="FB19" s="1">
        <v>7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2</v>
      </c>
      <c r="FP19">
        <v>0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 s="1">
        <v>1</v>
      </c>
      <c r="GD19">
        <v>0</v>
      </c>
      <c r="GE19">
        <v>1</v>
      </c>
      <c r="GF19">
        <v>1</v>
      </c>
      <c r="GG19">
        <v>0</v>
      </c>
      <c r="GH19" s="1">
        <v>1</v>
      </c>
      <c r="GI19" s="1">
        <v>1</v>
      </c>
      <c r="GJ19" s="4">
        <v>0</v>
      </c>
      <c r="GK19">
        <v>0</v>
      </c>
      <c r="GL19">
        <v>0</v>
      </c>
      <c r="GM19">
        <v>0</v>
      </c>
      <c r="GO19" s="4">
        <f t="shared" si="0"/>
        <v>36</v>
      </c>
      <c r="GP19" s="4">
        <f t="shared" si="1"/>
        <v>131</v>
      </c>
    </row>
    <row r="20" spans="1:198" x14ac:dyDescent="0.3">
      <c r="A20" s="10" t="s">
        <v>632</v>
      </c>
      <c r="B20" s="1">
        <v>4</v>
      </c>
      <c r="C20">
        <v>0</v>
      </c>
      <c r="D20" s="1">
        <v>1</v>
      </c>
      <c r="E20">
        <v>1</v>
      </c>
      <c r="F20">
        <v>1</v>
      </c>
      <c r="G20">
        <v>0</v>
      </c>
      <c r="H20" s="4">
        <v>0</v>
      </c>
      <c r="I20">
        <v>1</v>
      </c>
      <c r="J20">
        <v>0</v>
      </c>
      <c r="K20">
        <v>0</v>
      </c>
      <c r="L20">
        <v>0</v>
      </c>
      <c r="M20">
        <v>0</v>
      </c>
      <c r="N20" s="4">
        <v>0</v>
      </c>
      <c r="O20">
        <v>0</v>
      </c>
      <c r="P20" s="4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 s="4">
        <v>0</v>
      </c>
      <c r="AL20" s="4">
        <v>0</v>
      </c>
      <c r="AM20" s="1">
        <v>1</v>
      </c>
      <c r="AN20" s="1">
        <v>2</v>
      </c>
      <c r="AO20">
        <v>0</v>
      </c>
      <c r="AP20">
        <v>0</v>
      </c>
      <c r="AQ20">
        <v>0</v>
      </c>
      <c r="AR20">
        <v>0</v>
      </c>
      <c r="AS20" s="4">
        <v>0</v>
      </c>
      <c r="AT20" s="1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1">
        <v>13</v>
      </c>
      <c r="BC20">
        <v>0</v>
      </c>
      <c r="BD20">
        <v>6</v>
      </c>
      <c r="BE20">
        <v>2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s="4">
        <v>0</v>
      </c>
      <c r="BN20">
        <v>0</v>
      </c>
      <c r="BO20">
        <v>0</v>
      </c>
      <c r="BP20" s="1">
        <v>12</v>
      </c>
      <c r="BQ20">
        <v>6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 s="4">
        <v>0</v>
      </c>
      <c r="BZ20" s="1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 s="4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s="4">
        <v>0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1</v>
      </c>
      <c r="DB20" s="4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3</v>
      </c>
      <c r="DT20">
        <v>0</v>
      </c>
      <c r="DU20">
        <v>0</v>
      </c>
      <c r="DV20">
        <v>0</v>
      </c>
      <c r="DW20" s="4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s="4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3</v>
      </c>
      <c r="EY20">
        <v>0</v>
      </c>
      <c r="EZ20">
        <v>0</v>
      </c>
      <c r="FA20">
        <v>0</v>
      </c>
      <c r="FB20" s="1">
        <v>7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1</v>
      </c>
      <c r="GB20">
        <v>0</v>
      </c>
      <c r="GC20" s="1">
        <v>1</v>
      </c>
      <c r="GD20">
        <v>0</v>
      </c>
      <c r="GE20">
        <v>0</v>
      </c>
      <c r="GF20">
        <v>1</v>
      </c>
      <c r="GG20">
        <v>1</v>
      </c>
      <c r="GH20" s="1">
        <v>1</v>
      </c>
      <c r="GI20" s="1">
        <v>1</v>
      </c>
      <c r="GJ20" s="4">
        <v>0</v>
      </c>
      <c r="GK20">
        <v>0</v>
      </c>
      <c r="GL20">
        <v>0</v>
      </c>
      <c r="GM20">
        <v>0</v>
      </c>
      <c r="GO20" s="4">
        <f t="shared" si="0"/>
        <v>37</v>
      </c>
      <c r="GP20" s="4">
        <f t="shared" si="1"/>
        <v>84</v>
      </c>
    </row>
    <row r="21" spans="1:198" x14ac:dyDescent="0.3">
      <c r="A21" s="10" t="s">
        <v>633</v>
      </c>
      <c r="B21" s="1">
        <v>3</v>
      </c>
      <c r="C21">
        <v>1</v>
      </c>
      <c r="D21" s="1">
        <v>1</v>
      </c>
      <c r="E21">
        <v>1</v>
      </c>
      <c r="F21">
        <v>1</v>
      </c>
      <c r="G21">
        <v>0</v>
      </c>
      <c r="H21" s="4">
        <v>0</v>
      </c>
      <c r="I21">
        <v>1</v>
      </c>
      <c r="J21">
        <v>1</v>
      </c>
      <c r="K21">
        <v>0</v>
      </c>
      <c r="L21">
        <v>0</v>
      </c>
      <c r="M21">
        <v>0</v>
      </c>
      <c r="N21" s="4">
        <v>0</v>
      </c>
      <c r="O21">
        <v>0</v>
      </c>
      <c r="P21" s="4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4">
        <v>0</v>
      </c>
      <c r="AL21" s="4">
        <v>0</v>
      </c>
      <c r="AM21" s="1">
        <v>1</v>
      </c>
      <c r="AN21" s="1">
        <v>1</v>
      </c>
      <c r="AO21">
        <v>0</v>
      </c>
      <c r="AP21">
        <v>0</v>
      </c>
      <c r="AQ21">
        <v>0</v>
      </c>
      <c r="AR21">
        <v>0</v>
      </c>
      <c r="AS21" s="4">
        <v>0</v>
      </c>
      <c r="AT21" s="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s="1">
        <v>18</v>
      </c>
      <c r="BC21">
        <v>0</v>
      </c>
      <c r="BD21">
        <v>6</v>
      </c>
      <c r="BE21">
        <v>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 s="4">
        <v>0</v>
      </c>
      <c r="BN21">
        <v>0</v>
      </c>
      <c r="BO21">
        <v>0</v>
      </c>
      <c r="BP21" s="1">
        <v>12</v>
      </c>
      <c r="BQ21">
        <v>3</v>
      </c>
      <c r="BR21">
        <v>0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0</v>
      </c>
      <c r="BY21" s="4">
        <v>0</v>
      </c>
      <c r="BZ21" s="1">
        <v>1</v>
      </c>
      <c r="CA21">
        <v>0</v>
      </c>
      <c r="CB21">
        <v>1</v>
      </c>
      <c r="CC21">
        <v>0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 s="4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 s="4">
        <v>0</v>
      </c>
      <c r="CU21">
        <v>1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3</v>
      </c>
      <c r="DB21" s="4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7</v>
      </c>
      <c r="DT21">
        <v>0</v>
      </c>
      <c r="DU21">
        <v>0</v>
      </c>
      <c r="DV21">
        <v>0</v>
      </c>
      <c r="DW21" s="4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 s="4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4</v>
      </c>
      <c r="EY21">
        <v>0</v>
      </c>
      <c r="EZ21">
        <v>0</v>
      </c>
      <c r="FA21">
        <v>0</v>
      </c>
      <c r="FB21" s="1">
        <v>7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 s="1">
        <v>1</v>
      </c>
      <c r="GD21">
        <v>0</v>
      </c>
      <c r="GE21">
        <v>1</v>
      </c>
      <c r="GF21">
        <v>1</v>
      </c>
      <c r="GG21">
        <v>0</v>
      </c>
      <c r="GH21" s="1">
        <v>1</v>
      </c>
      <c r="GI21" s="1">
        <v>1</v>
      </c>
      <c r="GJ21" s="4">
        <v>0</v>
      </c>
      <c r="GK21">
        <v>0</v>
      </c>
      <c r="GL21">
        <v>0</v>
      </c>
      <c r="GM21">
        <v>0</v>
      </c>
      <c r="GO21" s="4">
        <f t="shared" si="0"/>
        <v>43</v>
      </c>
      <c r="GP21" s="4">
        <f t="shared" si="1"/>
        <v>102</v>
      </c>
    </row>
    <row r="22" spans="1:198" x14ac:dyDescent="0.3">
      <c r="A22" s="10" t="s">
        <v>634</v>
      </c>
      <c r="B22" s="1">
        <v>3</v>
      </c>
      <c r="C22">
        <v>0</v>
      </c>
      <c r="D22" s="1">
        <v>1</v>
      </c>
      <c r="E22">
        <v>1</v>
      </c>
      <c r="F22">
        <v>1</v>
      </c>
      <c r="G22">
        <v>0</v>
      </c>
      <c r="H22" s="4">
        <v>0</v>
      </c>
      <c r="I22">
        <v>1</v>
      </c>
      <c r="J22">
        <v>0</v>
      </c>
      <c r="K22">
        <v>2</v>
      </c>
      <c r="L22">
        <v>0</v>
      </c>
      <c r="M22">
        <v>0</v>
      </c>
      <c r="N22" s="4">
        <v>0</v>
      </c>
      <c r="O22">
        <v>0</v>
      </c>
      <c r="P22" s="4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4">
        <v>0</v>
      </c>
      <c r="AL22" s="4">
        <v>0</v>
      </c>
      <c r="AM22" s="1">
        <v>1</v>
      </c>
      <c r="AN22" s="1">
        <v>1</v>
      </c>
      <c r="AO22">
        <v>0</v>
      </c>
      <c r="AP22">
        <v>0</v>
      </c>
      <c r="AQ22">
        <v>0</v>
      </c>
      <c r="AR22">
        <v>1</v>
      </c>
      <c r="AS22" s="4">
        <v>0</v>
      </c>
      <c r="AT22" s="1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s="1">
        <v>15</v>
      </c>
      <c r="BC22">
        <v>0</v>
      </c>
      <c r="BD22">
        <v>6</v>
      </c>
      <c r="BE22">
        <v>2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s="4">
        <v>0</v>
      </c>
      <c r="BN22">
        <v>0</v>
      </c>
      <c r="BO22">
        <v>0</v>
      </c>
      <c r="BP22" s="1">
        <v>9</v>
      </c>
      <c r="BQ22">
        <v>10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0</v>
      </c>
      <c r="BX22">
        <v>0</v>
      </c>
      <c r="BY22" s="4">
        <v>0</v>
      </c>
      <c r="BZ22" s="1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 s="4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s="4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 s="4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3</v>
      </c>
      <c r="DT22">
        <v>0</v>
      </c>
      <c r="DU22">
        <v>0</v>
      </c>
      <c r="DV22">
        <v>0</v>
      </c>
      <c r="DW22" s="4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s="4">
        <v>0</v>
      </c>
      <c r="ED22">
        <v>2</v>
      </c>
      <c r="EE22">
        <v>0</v>
      </c>
      <c r="EF22">
        <v>0</v>
      </c>
      <c r="EG22">
        <v>2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3</v>
      </c>
      <c r="EY22">
        <v>0</v>
      </c>
      <c r="EZ22">
        <v>0</v>
      </c>
      <c r="FA22">
        <v>0</v>
      </c>
      <c r="FB22" s="1">
        <v>5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 s="1">
        <v>1</v>
      </c>
      <c r="GD22">
        <v>0</v>
      </c>
      <c r="GE22">
        <v>0</v>
      </c>
      <c r="GF22">
        <v>1</v>
      </c>
      <c r="GG22">
        <v>1</v>
      </c>
      <c r="GH22" s="1">
        <v>1</v>
      </c>
      <c r="GI22" s="1">
        <v>1</v>
      </c>
      <c r="GJ22" s="4">
        <v>0</v>
      </c>
      <c r="GK22">
        <v>0</v>
      </c>
      <c r="GL22">
        <v>0</v>
      </c>
      <c r="GM22">
        <v>1</v>
      </c>
      <c r="GO22" s="4">
        <f t="shared" si="0"/>
        <v>41</v>
      </c>
      <c r="GP22" s="4">
        <f t="shared" si="1"/>
        <v>90</v>
      </c>
    </row>
    <row r="23" spans="1:198" x14ac:dyDescent="0.3">
      <c r="A23" s="10" t="s">
        <v>635</v>
      </c>
      <c r="B23" s="1">
        <v>4</v>
      </c>
      <c r="C23">
        <v>1</v>
      </c>
      <c r="D23" s="1">
        <v>1</v>
      </c>
      <c r="E23">
        <v>0</v>
      </c>
      <c r="F23">
        <v>1</v>
      </c>
      <c r="G23">
        <v>0</v>
      </c>
      <c r="H23" s="4">
        <v>0</v>
      </c>
      <c r="I23">
        <v>0</v>
      </c>
      <c r="J23">
        <v>1</v>
      </c>
      <c r="K23">
        <v>0</v>
      </c>
      <c r="L23">
        <v>0</v>
      </c>
      <c r="M23">
        <v>0</v>
      </c>
      <c r="N23" s="4">
        <v>0</v>
      </c>
      <c r="O23">
        <v>0</v>
      </c>
      <c r="P23" s="4">
        <v>0</v>
      </c>
      <c r="Q23">
        <v>0</v>
      </c>
      <c r="R23">
        <v>0</v>
      </c>
      <c r="S23">
        <v>4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 s="4">
        <v>0</v>
      </c>
      <c r="AL23" s="4">
        <v>0</v>
      </c>
      <c r="AM23" s="1">
        <v>1</v>
      </c>
      <c r="AN23" s="1">
        <v>1</v>
      </c>
      <c r="AO23">
        <v>0</v>
      </c>
      <c r="AP23">
        <v>0</v>
      </c>
      <c r="AQ23">
        <v>0</v>
      </c>
      <c r="AR23">
        <v>0</v>
      </c>
      <c r="AS23" s="4">
        <v>0</v>
      </c>
      <c r="AT23" s="1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s="1">
        <v>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s="4">
        <v>0</v>
      </c>
      <c r="BN23">
        <v>0</v>
      </c>
      <c r="BO23">
        <v>0</v>
      </c>
      <c r="BP23" s="1">
        <v>3</v>
      </c>
      <c r="BQ23">
        <v>2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 s="4">
        <v>0</v>
      </c>
      <c r="BZ23" s="1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 s="4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s="4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2</v>
      </c>
      <c r="DB23" s="4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 s="4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 s="4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 s="1">
        <v>10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1</v>
      </c>
      <c r="GC23" s="1">
        <v>1</v>
      </c>
      <c r="GD23">
        <v>0</v>
      </c>
      <c r="GE23">
        <v>0</v>
      </c>
      <c r="GF23">
        <v>1</v>
      </c>
      <c r="GG23">
        <v>0</v>
      </c>
      <c r="GH23" s="1">
        <v>1</v>
      </c>
      <c r="GI23" s="1">
        <v>1</v>
      </c>
      <c r="GJ23" s="4">
        <v>0</v>
      </c>
      <c r="GK23">
        <v>0</v>
      </c>
      <c r="GL23">
        <v>0</v>
      </c>
      <c r="GM23">
        <v>0</v>
      </c>
      <c r="GO23" s="4">
        <f t="shared" si="0"/>
        <v>32</v>
      </c>
      <c r="GP23" s="4">
        <f t="shared" si="1"/>
        <v>58</v>
      </c>
    </row>
    <row r="24" spans="1:198" x14ac:dyDescent="0.3">
      <c r="A24" s="10" t="s">
        <v>636</v>
      </c>
      <c r="B24" s="1">
        <v>5</v>
      </c>
      <c r="C24">
        <v>0</v>
      </c>
      <c r="D24" s="1">
        <v>1</v>
      </c>
      <c r="E24">
        <v>1</v>
      </c>
      <c r="F24">
        <v>1</v>
      </c>
      <c r="G24">
        <v>0</v>
      </c>
      <c r="H24" s="4">
        <v>0</v>
      </c>
      <c r="I24">
        <v>1</v>
      </c>
      <c r="J24">
        <v>1</v>
      </c>
      <c r="K24">
        <v>0</v>
      </c>
      <c r="L24">
        <v>0</v>
      </c>
      <c r="M24">
        <v>0</v>
      </c>
      <c r="N24" s="4">
        <v>0</v>
      </c>
      <c r="O24">
        <v>0</v>
      </c>
      <c r="P24" s="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 s="4">
        <v>0</v>
      </c>
      <c r="AL24" s="4">
        <v>0</v>
      </c>
      <c r="AM24" s="1">
        <v>1</v>
      </c>
      <c r="AN24" s="1">
        <v>1</v>
      </c>
      <c r="AO24">
        <v>0</v>
      </c>
      <c r="AP24">
        <v>0</v>
      </c>
      <c r="AQ24">
        <v>0</v>
      </c>
      <c r="AR24">
        <v>0</v>
      </c>
      <c r="AS24" s="4">
        <v>0</v>
      </c>
      <c r="AT24" s="1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s="1">
        <v>16</v>
      </c>
      <c r="BC24">
        <v>0</v>
      </c>
      <c r="BD24">
        <v>6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 s="4">
        <v>0</v>
      </c>
      <c r="BN24">
        <v>1</v>
      </c>
      <c r="BO24">
        <v>0</v>
      </c>
      <c r="BP24" s="1">
        <v>6</v>
      </c>
      <c r="BQ24">
        <v>9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0</v>
      </c>
      <c r="BY24" s="4">
        <v>0</v>
      </c>
      <c r="BZ24" s="1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 s="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 s="4">
        <v>0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1</v>
      </c>
      <c r="DB24" s="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6</v>
      </c>
      <c r="DT24">
        <v>0</v>
      </c>
      <c r="DU24">
        <v>0</v>
      </c>
      <c r="DV24">
        <v>0</v>
      </c>
      <c r="DW24" s="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s="4">
        <v>0</v>
      </c>
      <c r="ED24">
        <v>2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3</v>
      </c>
      <c r="EY24">
        <v>0</v>
      </c>
      <c r="EZ24">
        <v>0</v>
      </c>
      <c r="FA24">
        <v>0</v>
      </c>
      <c r="FB24" s="1">
        <v>7</v>
      </c>
      <c r="FC24">
        <v>0</v>
      </c>
      <c r="FD24">
        <v>2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3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 s="1">
        <v>1</v>
      </c>
      <c r="GD24">
        <v>0</v>
      </c>
      <c r="GE24">
        <v>1</v>
      </c>
      <c r="GF24">
        <v>1</v>
      </c>
      <c r="GG24">
        <v>0</v>
      </c>
      <c r="GH24" s="1">
        <v>1</v>
      </c>
      <c r="GI24" s="1">
        <v>1</v>
      </c>
      <c r="GJ24" s="4">
        <v>0</v>
      </c>
      <c r="GK24">
        <v>0</v>
      </c>
      <c r="GL24">
        <v>0</v>
      </c>
      <c r="GM24">
        <v>0</v>
      </c>
      <c r="GO24" s="4">
        <f t="shared" si="0"/>
        <v>46</v>
      </c>
      <c r="GP24" s="4">
        <f t="shared" si="1"/>
        <v>99</v>
      </c>
    </row>
    <row r="25" spans="1:198" x14ac:dyDescent="0.3">
      <c r="A25" s="10" t="s">
        <v>637</v>
      </c>
      <c r="B25" s="1">
        <v>3</v>
      </c>
      <c r="C25">
        <v>0</v>
      </c>
      <c r="D25" s="1">
        <v>1</v>
      </c>
      <c r="E25">
        <v>1</v>
      </c>
      <c r="F25">
        <v>1</v>
      </c>
      <c r="G25">
        <v>0</v>
      </c>
      <c r="H25" s="4">
        <v>0</v>
      </c>
      <c r="I25">
        <v>1</v>
      </c>
      <c r="J25">
        <v>1</v>
      </c>
      <c r="K25">
        <v>0</v>
      </c>
      <c r="L25">
        <v>0</v>
      </c>
      <c r="M25">
        <v>0</v>
      </c>
      <c r="N25" s="4">
        <v>0</v>
      </c>
      <c r="O25">
        <v>0</v>
      </c>
      <c r="P25" s="4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s="4">
        <v>0</v>
      </c>
      <c r="AL25" s="4">
        <v>0</v>
      </c>
      <c r="AM25" s="1">
        <v>1</v>
      </c>
      <c r="AN25" s="1">
        <v>1</v>
      </c>
      <c r="AO25">
        <v>0</v>
      </c>
      <c r="AP25">
        <v>0</v>
      </c>
      <c r="AQ25">
        <v>0</v>
      </c>
      <c r="AR25">
        <v>0</v>
      </c>
      <c r="AS25" s="4">
        <v>0</v>
      </c>
      <c r="AT25" s="1">
        <v>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s="1">
        <v>13</v>
      </c>
      <c r="BC25">
        <v>0</v>
      </c>
      <c r="BD25">
        <v>6</v>
      </c>
      <c r="BE25">
        <v>3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s="4">
        <v>0</v>
      </c>
      <c r="BN25">
        <v>0</v>
      </c>
      <c r="BO25">
        <v>0</v>
      </c>
      <c r="BP25" s="1">
        <v>15</v>
      </c>
      <c r="BQ25">
        <v>11</v>
      </c>
      <c r="BR25">
        <v>0</v>
      </c>
      <c r="BS25">
        <v>0</v>
      </c>
      <c r="BT25">
        <v>1</v>
      </c>
      <c r="BU25">
        <v>3</v>
      </c>
      <c r="BV25">
        <v>0</v>
      </c>
      <c r="BW25">
        <v>1</v>
      </c>
      <c r="BX25">
        <v>0</v>
      </c>
      <c r="BY25" s="4">
        <v>0</v>
      </c>
      <c r="BZ25" s="1">
        <v>1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 s="4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 s="4">
        <v>0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2</v>
      </c>
      <c r="DB25" s="4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 s="4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s="4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3</v>
      </c>
      <c r="EY25">
        <v>0</v>
      </c>
      <c r="EZ25">
        <v>0</v>
      </c>
      <c r="FA25">
        <v>0</v>
      </c>
      <c r="FB25" s="1">
        <v>9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3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>
        <v>0</v>
      </c>
      <c r="FX25">
        <v>1</v>
      </c>
      <c r="FY25">
        <v>0</v>
      </c>
      <c r="FZ25">
        <v>0</v>
      </c>
      <c r="GA25">
        <v>1</v>
      </c>
      <c r="GB25">
        <v>0</v>
      </c>
      <c r="GC25" s="1">
        <v>1</v>
      </c>
      <c r="GD25">
        <v>0</v>
      </c>
      <c r="GE25">
        <v>1</v>
      </c>
      <c r="GF25">
        <v>1</v>
      </c>
      <c r="GG25">
        <v>0</v>
      </c>
      <c r="GH25" s="1">
        <v>1</v>
      </c>
      <c r="GI25" s="1">
        <v>1</v>
      </c>
      <c r="GJ25" s="4">
        <v>0</v>
      </c>
      <c r="GK25">
        <v>0</v>
      </c>
      <c r="GL25">
        <v>0</v>
      </c>
      <c r="GM25">
        <v>0</v>
      </c>
      <c r="GO25" s="4">
        <f t="shared" si="0"/>
        <v>46</v>
      </c>
      <c r="GP25" s="4">
        <f t="shared" si="1"/>
        <v>106</v>
      </c>
    </row>
    <row r="26" spans="1:198" x14ac:dyDescent="0.3">
      <c r="A26" s="10" t="s">
        <v>638</v>
      </c>
      <c r="B26" s="1">
        <v>3</v>
      </c>
      <c r="C26">
        <v>0</v>
      </c>
      <c r="D26" s="1">
        <v>1</v>
      </c>
      <c r="E26">
        <v>0</v>
      </c>
      <c r="F26">
        <v>1</v>
      </c>
      <c r="G26">
        <v>0</v>
      </c>
      <c r="H26" s="4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4">
        <v>0</v>
      </c>
      <c r="O26">
        <v>1</v>
      </c>
      <c r="P26" s="4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s="4">
        <v>0</v>
      </c>
      <c r="AL26" s="4">
        <v>0</v>
      </c>
      <c r="AM26" s="1">
        <v>1</v>
      </c>
      <c r="AN26" s="1">
        <v>2</v>
      </c>
      <c r="AO26">
        <v>0</v>
      </c>
      <c r="AP26">
        <v>0</v>
      </c>
      <c r="AQ26">
        <v>0</v>
      </c>
      <c r="AR26">
        <v>0</v>
      </c>
      <c r="AS26" s="4">
        <v>0</v>
      </c>
      <c r="AT26" s="1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s="1">
        <v>18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 s="4">
        <v>0</v>
      </c>
      <c r="BN26">
        <v>0</v>
      </c>
      <c r="BO26">
        <v>0</v>
      </c>
      <c r="BP26" s="1">
        <v>8</v>
      </c>
      <c r="BQ26">
        <v>5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 s="4">
        <v>0</v>
      </c>
      <c r="BZ26" s="1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 s="4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 s="4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 s="4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2</v>
      </c>
      <c r="DT26">
        <v>0</v>
      </c>
      <c r="DU26">
        <v>0</v>
      </c>
      <c r="DV26">
        <v>0</v>
      </c>
      <c r="DW26" s="4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s="4">
        <v>0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2</v>
      </c>
      <c r="EY26">
        <v>0</v>
      </c>
      <c r="EZ26">
        <v>0</v>
      </c>
      <c r="FA26">
        <v>0</v>
      </c>
      <c r="FB26" s="1">
        <v>4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2</v>
      </c>
      <c r="FN26">
        <v>0</v>
      </c>
      <c r="FO26">
        <v>3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</v>
      </c>
      <c r="GC26" s="1">
        <v>1</v>
      </c>
      <c r="GD26">
        <v>0</v>
      </c>
      <c r="GE26">
        <v>0</v>
      </c>
      <c r="GF26">
        <v>1</v>
      </c>
      <c r="GG26">
        <v>0</v>
      </c>
      <c r="GH26" s="1">
        <v>1</v>
      </c>
      <c r="GI26" s="1">
        <v>1</v>
      </c>
      <c r="GJ26" s="4">
        <v>0</v>
      </c>
      <c r="GK26">
        <v>0</v>
      </c>
      <c r="GL26">
        <v>0</v>
      </c>
      <c r="GM26">
        <v>0</v>
      </c>
      <c r="GO26" s="4">
        <f t="shared" si="0"/>
        <v>34</v>
      </c>
      <c r="GP26" s="4">
        <f t="shared" si="1"/>
        <v>74</v>
      </c>
    </row>
    <row r="27" spans="1:198" x14ac:dyDescent="0.3">
      <c r="A27" s="10" t="s">
        <v>639</v>
      </c>
      <c r="B27" s="1">
        <v>2</v>
      </c>
      <c r="C27">
        <v>0</v>
      </c>
      <c r="D27" s="1">
        <v>1</v>
      </c>
      <c r="E27">
        <v>1</v>
      </c>
      <c r="F27">
        <v>1</v>
      </c>
      <c r="G27">
        <v>0</v>
      </c>
      <c r="H27" s="4">
        <v>0</v>
      </c>
      <c r="I27">
        <v>0</v>
      </c>
      <c r="J27">
        <v>1</v>
      </c>
      <c r="K27">
        <v>0</v>
      </c>
      <c r="L27">
        <v>0</v>
      </c>
      <c r="M27">
        <v>0</v>
      </c>
      <c r="N27" s="4">
        <v>0</v>
      </c>
      <c r="O27">
        <v>0</v>
      </c>
      <c r="P27" s="4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4">
        <v>0</v>
      </c>
      <c r="AL27" s="4">
        <v>0</v>
      </c>
      <c r="AM27" s="1">
        <v>1</v>
      </c>
      <c r="AN27" s="1">
        <v>1</v>
      </c>
      <c r="AO27">
        <v>0</v>
      </c>
      <c r="AP27">
        <v>0</v>
      </c>
      <c r="AQ27">
        <v>0</v>
      </c>
      <c r="AR27">
        <v>1</v>
      </c>
      <c r="AS27" s="4">
        <v>0</v>
      </c>
      <c r="AT27" s="1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s="1">
        <v>15</v>
      </c>
      <c r="BC27">
        <v>0</v>
      </c>
      <c r="BD27">
        <v>6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 s="4">
        <v>0</v>
      </c>
      <c r="BN27">
        <v>0</v>
      </c>
      <c r="BO27">
        <v>0</v>
      </c>
      <c r="BP27" s="1">
        <v>12</v>
      </c>
      <c r="BQ27">
        <v>18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0</v>
      </c>
      <c r="BY27" s="4">
        <v>0</v>
      </c>
      <c r="BZ27" s="1">
        <v>1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 s="4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 s="4">
        <v>0</v>
      </c>
      <c r="CU27">
        <v>1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1</v>
      </c>
      <c r="DB27" s="4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4</v>
      </c>
      <c r="DT27">
        <v>0</v>
      </c>
      <c r="DU27">
        <v>0</v>
      </c>
      <c r="DV27">
        <v>0</v>
      </c>
      <c r="DW27" s="4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s="4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 s="1">
        <v>3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2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 s="1">
        <v>1</v>
      </c>
      <c r="GD27">
        <v>0</v>
      </c>
      <c r="GE27">
        <v>0</v>
      </c>
      <c r="GF27">
        <v>1</v>
      </c>
      <c r="GG27">
        <v>1</v>
      </c>
      <c r="GH27" s="1">
        <v>1</v>
      </c>
      <c r="GI27" s="1">
        <v>2</v>
      </c>
      <c r="GJ27" s="4">
        <v>0</v>
      </c>
      <c r="GK27">
        <v>0</v>
      </c>
      <c r="GL27">
        <v>0</v>
      </c>
      <c r="GM27">
        <v>0</v>
      </c>
      <c r="GO27" s="4">
        <f t="shared" si="0"/>
        <v>40</v>
      </c>
      <c r="GP27" s="4">
        <f t="shared" si="1"/>
        <v>95</v>
      </c>
    </row>
    <row r="28" spans="1:198" x14ac:dyDescent="0.3">
      <c r="A28" s="10" t="s">
        <v>640</v>
      </c>
      <c r="B28" s="1">
        <v>2</v>
      </c>
      <c r="C28">
        <v>1</v>
      </c>
      <c r="D28" s="1">
        <v>1</v>
      </c>
      <c r="E28">
        <v>0</v>
      </c>
      <c r="F28">
        <v>1</v>
      </c>
      <c r="G28">
        <v>0</v>
      </c>
      <c r="H28" s="4">
        <v>0</v>
      </c>
      <c r="I28">
        <v>0</v>
      </c>
      <c r="J28">
        <v>1</v>
      </c>
      <c r="K28">
        <v>0</v>
      </c>
      <c r="L28">
        <v>0</v>
      </c>
      <c r="M28">
        <v>0</v>
      </c>
      <c r="N28" s="4">
        <v>0</v>
      </c>
      <c r="O28">
        <v>0</v>
      </c>
      <c r="P28" s="4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2</v>
      </c>
      <c r="AA28">
        <v>32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4">
        <v>0</v>
      </c>
      <c r="AL28" s="4">
        <v>0</v>
      </c>
      <c r="AM28" s="1">
        <v>1</v>
      </c>
      <c r="AN28" s="1">
        <v>1</v>
      </c>
      <c r="AO28">
        <v>0</v>
      </c>
      <c r="AP28">
        <v>0</v>
      </c>
      <c r="AQ28">
        <v>0</v>
      </c>
      <c r="AR28">
        <v>0</v>
      </c>
      <c r="AS28" s="4">
        <v>0</v>
      </c>
      <c r="AT28" s="1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s="1">
        <v>15</v>
      </c>
      <c r="BC28">
        <v>0</v>
      </c>
      <c r="BD28">
        <v>6</v>
      </c>
      <c r="BE28">
        <v>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 s="4">
        <v>0</v>
      </c>
      <c r="BN28">
        <v>0</v>
      </c>
      <c r="BO28">
        <v>0</v>
      </c>
      <c r="BP28" s="1">
        <v>14</v>
      </c>
      <c r="BQ28">
        <v>9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 s="4">
        <v>0</v>
      </c>
      <c r="BZ28" s="1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s="4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 s="4">
        <v>0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 s="4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3</v>
      </c>
      <c r="DT28">
        <v>0</v>
      </c>
      <c r="DU28">
        <v>0</v>
      </c>
      <c r="DV28">
        <v>0</v>
      </c>
      <c r="DW28" s="4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 s="4">
        <v>0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2</v>
      </c>
      <c r="EY28">
        <v>0</v>
      </c>
      <c r="EZ28">
        <v>0</v>
      </c>
      <c r="FA28">
        <v>0</v>
      </c>
      <c r="FB28" s="1">
        <v>4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 s="1">
        <v>1</v>
      </c>
      <c r="GD28">
        <v>0</v>
      </c>
      <c r="GE28">
        <v>0</v>
      </c>
      <c r="GF28">
        <v>1</v>
      </c>
      <c r="GG28">
        <v>0</v>
      </c>
      <c r="GH28" s="1">
        <v>1</v>
      </c>
      <c r="GI28" s="1">
        <v>1</v>
      </c>
      <c r="GJ28" s="4">
        <v>0</v>
      </c>
      <c r="GK28">
        <v>0</v>
      </c>
      <c r="GL28">
        <v>0</v>
      </c>
      <c r="GM28">
        <v>1</v>
      </c>
      <c r="GO28" s="4">
        <f t="shared" si="0"/>
        <v>40</v>
      </c>
      <c r="GP28" s="4">
        <f t="shared" si="1"/>
        <v>120</v>
      </c>
    </row>
    <row r="29" spans="1:198" x14ac:dyDescent="0.3">
      <c r="A29" s="10" t="s">
        <v>641</v>
      </c>
      <c r="B29" s="1">
        <v>3</v>
      </c>
      <c r="C29">
        <v>0</v>
      </c>
      <c r="D29" s="1">
        <v>1</v>
      </c>
      <c r="E29">
        <v>1</v>
      </c>
      <c r="F29">
        <v>1</v>
      </c>
      <c r="G29">
        <v>0</v>
      </c>
      <c r="H29" s="4">
        <v>0</v>
      </c>
      <c r="I29">
        <v>1</v>
      </c>
      <c r="J29">
        <v>1</v>
      </c>
      <c r="K29">
        <v>0</v>
      </c>
      <c r="L29">
        <v>0</v>
      </c>
      <c r="M29">
        <v>0</v>
      </c>
      <c r="N29" s="4">
        <v>0</v>
      </c>
      <c r="O29">
        <v>0</v>
      </c>
      <c r="P29" s="4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 s="4">
        <v>0</v>
      </c>
      <c r="AL29" s="4">
        <v>0</v>
      </c>
      <c r="AM29" s="1">
        <v>1</v>
      </c>
      <c r="AN29" s="1">
        <v>1</v>
      </c>
      <c r="AO29">
        <v>0</v>
      </c>
      <c r="AP29">
        <v>0</v>
      </c>
      <c r="AQ29">
        <v>0</v>
      </c>
      <c r="AR29">
        <v>1</v>
      </c>
      <c r="AS29" s="4">
        <v>0</v>
      </c>
      <c r="AT29" s="1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s="1">
        <v>9</v>
      </c>
      <c r="BC29">
        <v>0</v>
      </c>
      <c r="BD29">
        <v>6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s="4">
        <v>0</v>
      </c>
      <c r="BN29">
        <v>0</v>
      </c>
      <c r="BO29">
        <v>0</v>
      </c>
      <c r="BP29" s="1">
        <v>6</v>
      </c>
      <c r="BQ29">
        <v>4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0</v>
      </c>
      <c r="BY29" s="4">
        <v>0</v>
      </c>
      <c r="BZ29" s="1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 s="4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s="4">
        <v>0</v>
      </c>
      <c r="CU29">
        <v>1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1</v>
      </c>
      <c r="DB29" s="4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6</v>
      </c>
      <c r="DT29">
        <v>0</v>
      </c>
      <c r="DU29">
        <v>0</v>
      </c>
      <c r="DV29">
        <v>0</v>
      </c>
      <c r="DW29" s="4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s="4">
        <v>0</v>
      </c>
      <c r="ED29">
        <v>2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1</v>
      </c>
      <c r="EY29">
        <v>0</v>
      </c>
      <c r="EZ29">
        <v>0</v>
      </c>
      <c r="FA29">
        <v>0</v>
      </c>
      <c r="FB29" s="1">
        <v>7</v>
      </c>
      <c r="FC29">
        <v>0</v>
      </c>
      <c r="FD29">
        <v>1</v>
      </c>
      <c r="FE29">
        <v>0</v>
      </c>
      <c r="FF29">
        <v>1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10</v>
      </c>
      <c r="FP29">
        <v>0</v>
      </c>
      <c r="FQ29">
        <v>0</v>
      </c>
      <c r="FR29">
        <v>0</v>
      </c>
      <c r="FS29">
        <v>0</v>
      </c>
      <c r="FT29">
        <v>2</v>
      </c>
      <c r="FU29">
        <v>0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 s="1">
        <v>1</v>
      </c>
      <c r="GD29">
        <v>0</v>
      </c>
      <c r="GE29">
        <v>0</v>
      </c>
      <c r="GF29">
        <v>1</v>
      </c>
      <c r="GG29">
        <v>1</v>
      </c>
      <c r="GH29" s="1">
        <v>1</v>
      </c>
      <c r="GI29" s="1">
        <v>1</v>
      </c>
      <c r="GJ29" s="4">
        <v>0</v>
      </c>
      <c r="GK29">
        <v>0</v>
      </c>
      <c r="GL29">
        <v>0</v>
      </c>
      <c r="GM29">
        <v>0</v>
      </c>
      <c r="GO29" s="4">
        <f t="shared" si="0"/>
        <v>47</v>
      </c>
      <c r="GP29" s="4">
        <f t="shared" si="1"/>
        <v>96</v>
      </c>
    </row>
    <row r="30" spans="1:198" x14ac:dyDescent="0.3">
      <c r="A30" s="10" t="s">
        <v>642</v>
      </c>
      <c r="B30" s="1">
        <v>3</v>
      </c>
      <c r="C30">
        <v>0</v>
      </c>
      <c r="D30" s="1">
        <v>1</v>
      </c>
      <c r="E30">
        <v>1</v>
      </c>
      <c r="F30">
        <v>1</v>
      </c>
      <c r="G30">
        <v>0</v>
      </c>
      <c r="H30" s="4">
        <v>0</v>
      </c>
      <c r="I30">
        <v>2</v>
      </c>
      <c r="J30">
        <v>0</v>
      </c>
      <c r="K30">
        <v>0</v>
      </c>
      <c r="L30">
        <v>0</v>
      </c>
      <c r="M30">
        <v>0</v>
      </c>
      <c r="N30" s="4">
        <v>0</v>
      </c>
      <c r="O30">
        <v>0</v>
      </c>
      <c r="P30" s="4">
        <v>0</v>
      </c>
      <c r="Q30">
        <v>0</v>
      </c>
      <c r="R30">
        <v>0</v>
      </c>
      <c r="S30">
        <v>5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 s="4">
        <v>0</v>
      </c>
      <c r="AL30" s="4">
        <v>0</v>
      </c>
      <c r="AM30" s="1">
        <v>1</v>
      </c>
      <c r="AN30" s="1">
        <v>1</v>
      </c>
      <c r="AO30">
        <v>0</v>
      </c>
      <c r="AP30">
        <v>0</v>
      </c>
      <c r="AQ30">
        <v>0</v>
      </c>
      <c r="AR30">
        <v>0</v>
      </c>
      <c r="AS30" s="4">
        <v>0</v>
      </c>
      <c r="AT30" s="1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1">
        <v>6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s="4">
        <v>0</v>
      </c>
      <c r="BN30">
        <v>0</v>
      </c>
      <c r="BO30">
        <v>0</v>
      </c>
      <c r="BP30" s="1">
        <v>1</v>
      </c>
      <c r="BQ30">
        <v>0</v>
      </c>
      <c r="BR30">
        <v>0</v>
      </c>
      <c r="BS30">
        <v>0</v>
      </c>
      <c r="BT30">
        <v>0</v>
      </c>
      <c r="BU30">
        <v>2</v>
      </c>
      <c r="BV30">
        <v>0</v>
      </c>
      <c r="BW30">
        <v>1</v>
      </c>
      <c r="BX30">
        <v>0</v>
      </c>
      <c r="BY30" s="4">
        <v>0</v>
      </c>
      <c r="BZ30" s="1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4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s="4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2</v>
      </c>
      <c r="DB30" s="4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 s="4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s="4">
        <v>0</v>
      </c>
      <c r="ED30">
        <v>1</v>
      </c>
      <c r="EE30">
        <v>3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 s="1">
        <v>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28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</v>
      </c>
      <c r="GC30" s="1">
        <v>1</v>
      </c>
      <c r="GD30">
        <v>0</v>
      </c>
      <c r="GE30">
        <v>1</v>
      </c>
      <c r="GF30">
        <v>1</v>
      </c>
      <c r="GG30">
        <v>0</v>
      </c>
      <c r="GH30" s="1">
        <v>1</v>
      </c>
      <c r="GI30" s="1">
        <v>1</v>
      </c>
      <c r="GJ30" s="4">
        <v>0</v>
      </c>
      <c r="GK30">
        <v>0</v>
      </c>
      <c r="GL30">
        <v>0</v>
      </c>
      <c r="GM30">
        <v>0</v>
      </c>
      <c r="GO30" s="4">
        <f t="shared" si="0"/>
        <v>33</v>
      </c>
      <c r="GP30" s="4">
        <f t="shared" si="1"/>
        <v>78</v>
      </c>
    </row>
    <row r="31" spans="1:198" x14ac:dyDescent="0.3">
      <c r="A31" s="10" t="s">
        <v>643</v>
      </c>
      <c r="B31" s="1">
        <v>2</v>
      </c>
      <c r="C31">
        <v>1</v>
      </c>
      <c r="D31" s="1">
        <v>1</v>
      </c>
      <c r="E31">
        <v>1</v>
      </c>
      <c r="F31">
        <v>1</v>
      </c>
      <c r="G31">
        <v>0</v>
      </c>
      <c r="H31" s="4">
        <v>0</v>
      </c>
      <c r="I31">
        <v>0</v>
      </c>
      <c r="J31">
        <v>1</v>
      </c>
      <c r="K31">
        <v>0</v>
      </c>
      <c r="L31">
        <v>0</v>
      </c>
      <c r="M31">
        <v>0</v>
      </c>
      <c r="N31" s="4">
        <v>0</v>
      </c>
      <c r="O31">
        <v>0</v>
      </c>
      <c r="P31" s="4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4">
        <v>0</v>
      </c>
      <c r="AL31" s="4">
        <v>0</v>
      </c>
      <c r="AM31" s="1">
        <v>1</v>
      </c>
      <c r="AN31" s="1">
        <v>1</v>
      </c>
      <c r="AO31">
        <v>0</v>
      </c>
      <c r="AP31">
        <v>0</v>
      </c>
      <c r="AQ31">
        <v>0</v>
      </c>
      <c r="AR31">
        <v>0</v>
      </c>
      <c r="AS31" s="4">
        <v>0</v>
      </c>
      <c r="AT31" s="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1">
        <v>16</v>
      </c>
      <c r="BC31">
        <v>0</v>
      </c>
      <c r="BD31">
        <v>6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 s="4">
        <v>0</v>
      </c>
      <c r="BN31">
        <v>0</v>
      </c>
      <c r="BO31">
        <v>0</v>
      </c>
      <c r="BP31" s="1">
        <v>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 s="4">
        <v>0</v>
      </c>
      <c r="BZ31" s="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 s="4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 s="4">
        <v>0</v>
      </c>
      <c r="CU31">
        <v>1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1</v>
      </c>
      <c r="DB31" s="4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 s="4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s="4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2</v>
      </c>
      <c r="EY31">
        <v>0</v>
      </c>
      <c r="EZ31">
        <v>0</v>
      </c>
      <c r="FA31">
        <v>0</v>
      </c>
      <c r="FB31" s="1">
        <v>5</v>
      </c>
      <c r="FC31">
        <v>0</v>
      </c>
      <c r="FD31" s="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13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 s="1">
        <v>1</v>
      </c>
      <c r="GD31">
        <v>0</v>
      </c>
      <c r="GE31">
        <v>0</v>
      </c>
      <c r="GF31">
        <v>1</v>
      </c>
      <c r="GG31">
        <v>0</v>
      </c>
      <c r="GH31" s="1">
        <v>1</v>
      </c>
      <c r="GI31" s="1">
        <v>1</v>
      </c>
      <c r="GJ31" s="4">
        <v>0</v>
      </c>
      <c r="GK31">
        <v>0</v>
      </c>
      <c r="GL31">
        <v>0</v>
      </c>
      <c r="GM31">
        <v>0</v>
      </c>
      <c r="GO31" s="4">
        <f t="shared" si="0"/>
        <v>34</v>
      </c>
      <c r="GP31" s="4">
        <f t="shared" si="1"/>
        <v>71</v>
      </c>
    </row>
    <row r="32" spans="1:198" x14ac:dyDescent="0.3">
      <c r="A32" s="10" t="s">
        <v>644</v>
      </c>
      <c r="B32" s="1">
        <v>5</v>
      </c>
      <c r="C32">
        <v>1</v>
      </c>
      <c r="D32" s="1">
        <v>1</v>
      </c>
      <c r="E32">
        <v>1</v>
      </c>
      <c r="F32">
        <v>1</v>
      </c>
      <c r="G32">
        <v>0</v>
      </c>
      <c r="H32" s="4">
        <v>0</v>
      </c>
      <c r="I32">
        <v>0</v>
      </c>
      <c r="J32">
        <v>1</v>
      </c>
      <c r="K32">
        <v>0</v>
      </c>
      <c r="L32">
        <v>0</v>
      </c>
      <c r="M32">
        <v>0</v>
      </c>
      <c r="N32" s="4">
        <v>0</v>
      </c>
      <c r="O32">
        <v>0</v>
      </c>
      <c r="P32" s="4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s="4">
        <v>0</v>
      </c>
      <c r="AL32" s="4">
        <v>0</v>
      </c>
      <c r="AM32" s="1">
        <v>1</v>
      </c>
      <c r="AN32" s="1">
        <v>1</v>
      </c>
      <c r="AO32">
        <v>0</v>
      </c>
      <c r="AP32">
        <v>0</v>
      </c>
      <c r="AQ32">
        <v>0</v>
      </c>
      <c r="AR32">
        <v>0</v>
      </c>
      <c r="AS32" s="4">
        <v>0</v>
      </c>
      <c r="AT32" s="1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1">
        <v>14</v>
      </c>
      <c r="BC32">
        <v>0</v>
      </c>
      <c r="BD32">
        <v>6</v>
      </c>
      <c r="BE32">
        <v>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 s="4">
        <v>0</v>
      </c>
      <c r="BN32">
        <v>0</v>
      </c>
      <c r="BO32">
        <v>0</v>
      </c>
      <c r="BP32" s="1">
        <v>3</v>
      </c>
      <c r="BQ32">
        <v>10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0</v>
      </c>
      <c r="BX32">
        <v>0</v>
      </c>
      <c r="BY32" s="4">
        <v>0</v>
      </c>
      <c r="BZ32" s="1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 s="4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s="4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1</v>
      </c>
      <c r="DB32" s="4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0</v>
      </c>
      <c r="DW32" s="4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s="4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2</v>
      </c>
      <c r="EY32">
        <v>0</v>
      </c>
      <c r="EZ32">
        <v>0</v>
      </c>
      <c r="FA32">
        <v>0</v>
      </c>
      <c r="FB32" s="1">
        <v>3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 s="1">
        <v>1</v>
      </c>
      <c r="GD32">
        <v>0</v>
      </c>
      <c r="GE32">
        <v>0</v>
      </c>
      <c r="GF32">
        <v>1</v>
      </c>
      <c r="GG32">
        <v>0</v>
      </c>
      <c r="GH32" s="1">
        <v>1</v>
      </c>
      <c r="GI32" s="1">
        <v>1</v>
      </c>
      <c r="GJ32" s="4">
        <v>0</v>
      </c>
      <c r="GK32">
        <v>0</v>
      </c>
      <c r="GL32">
        <v>0</v>
      </c>
      <c r="GM32">
        <v>0</v>
      </c>
      <c r="GO32" s="4">
        <f t="shared" si="0"/>
        <v>38</v>
      </c>
      <c r="GP32" s="4">
        <f t="shared" si="1"/>
        <v>74</v>
      </c>
    </row>
    <row r="33" spans="1:198" x14ac:dyDescent="0.3">
      <c r="A33" s="10" t="s">
        <v>645</v>
      </c>
      <c r="B33" s="1">
        <v>4</v>
      </c>
      <c r="C33">
        <v>1</v>
      </c>
      <c r="D33" s="1">
        <v>1</v>
      </c>
      <c r="E33">
        <v>1</v>
      </c>
      <c r="F33">
        <v>1</v>
      </c>
      <c r="G33">
        <v>0</v>
      </c>
      <c r="H33" s="4">
        <v>0</v>
      </c>
      <c r="I33">
        <v>2</v>
      </c>
      <c r="J33">
        <v>1</v>
      </c>
      <c r="K33">
        <v>0</v>
      </c>
      <c r="L33">
        <v>0</v>
      </c>
      <c r="M33">
        <v>0</v>
      </c>
      <c r="N33" s="4">
        <v>0</v>
      </c>
      <c r="O33">
        <v>8</v>
      </c>
      <c r="P33" s="4">
        <v>0</v>
      </c>
      <c r="Q33">
        <v>1</v>
      </c>
      <c r="R33">
        <v>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 s="4">
        <v>0</v>
      </c>
      <c r="AL33" s="4">
        <v>0</v>
      </c>
      <c r="AM33" s="1">
        <v>1</v>
      </c>
      <c r="AN33" s="1">
        <v>1</v>
      </c>
      <c r="AO33">
        <v>0</v>
      </c>
      <c r="AP33">
        <v>0</v>
      </c>
      <c r="AQ33">
        <v>0</v>
      </c>
      <c r="AR33">
        <v>1</v>
      </c>
      <c r="AS33" s="4">
        <v>0</v>
      </c>
      <c r="AT33" s="1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1">
        <v>11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 s="4">
        <v>0</v>
      </c>
      <c r="BN33">
        <v>0</v>
      </c>
      <c r="BO33">
        <v>0</v>
      </c>
      <c r="BP33" s="1">
        <v>4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 s="4">
        <v>0</v>
      </c>
      <c r="BZ33" s="1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</v>
      </c>
      <c r="CJ33">
        <v>0</v>
      </c>
      <c r="CK33">
        <v>0</v>
      </c>
      <c r="CL33" s="4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s="4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1</v>
      </c>
      <c r="DB33" s="4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 s="4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 s="4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 s="1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7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0</v>
      </c>
      <c r="GB33">
        <v>0</v>
      </c>
      <c r="GC33" s="1">
        <v>1</v>
      </c>
      <c r="GD33">
        <v>0</v>
      </c>
      <c r="GE33">
        <v>0</v>
      </c>
      <c r="GF33">
        <v>1</v>
      </c>
      <c r="GG33">
        <v>0</v>
      </c>
      <c r="GH33" s="1">
        <v>1</v>
      </c>
      <c r="GI33" s="1">
        <v>1</v>
      </c>
      <c r="GJ33" s="4">
        <v>0</v>
      </c>
      <c r="GK33">
        <v>0</v>
      </c>
      <c r="GL33">
        <v>0</v>
      </c>
      <c r="GM33">
        <v>0</v>
      </c>
      <c r="GO33" s="4">
        <f t="shared" si="0"/>
        <v>35</v>
      </c>
      <c r="GP33" s="4">
        <f t="shared" si="1"/>
        <v>68</v>
      </c>
    </row>
    <row r="34" spans="1:198" x14ac:dyDescent="0.3">
      <c r="A34" s="10" t="s">
        <v>646</v>
      </c>
      <c r="B34" s="1">
        <v>3</v>
      </c>
      <c r="C34">
        <v>1</v>
      </c>
      <c r="D34" s="1">
        <v>1</v>
      </c>
      <c r="E34">
        <v>1</v>
      </c>
      <c r="F34">
        <v>1</v>
      </c>
      <c r="G34">
        <v>0</v>
      </c>
      <c r="H34" s="4">
        <v>0</v>
      </c>
      <c r="I34">
        <v>1</v>
      </c>
      <c r="J34">
        <v>1</v>
      </c>
      <c r="K34">
        <v>0</v>
      </c>
      <c r="L34">
        <v>0</v>
      </c>
      <c r="M34">
        <v>0</v>
      </c>
      <c r="N34" s="4">
        <v>0</v>
      </c>
      <c r="O34">
        <v>2</v>
      </c>
      <c r="P34" s="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 s="4">
        <v>0</v>
      </c>
      <c r="AL34" s="4">
        <v>0</v>
      </c>
      <c r="AM34" s="1">
        <v>1</v>
      </c>
      <c r="AN34" s="1">
        <v>1</v>
      </c>
      <c r="AO34">
        <v>0</v>
      </c>
      <c r="AP34">
        <v>0</v>
      </c>
      <c r="AQ34">
        <v>1</v>
      </c>
      <c r="AR34">
        <v>2</v>
      </c>
      <c r="AS34" s="4">
        <v>0</v>
      </c>
      <c r="AT34" s="1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1">
        <v>8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s="4">
        <v>0</v>
      </c>
      <c r="BN34">
        <v>0</v>
      </c>
      <c r="BO34">
        <v>0</v>
      </c>
      <c r="BP34" s="1">
        <v>6</v>
      </c>
      <c r="BQ34">
        <v>0</v>
      </c>
      <c r="BR34">
        <v>0</v>
      </c>
      <c r="BS34">
        <v>0</v>
      </c>
      <c r="BT34">
        <v>1</v>
      </c>
      <c r="BU34">
        <v>1</v>
      </c>
      <c r="BV34">
        <v>0</v>
      </c>
      <c r="BW34">
        <v>0</v>
      </c>
      <c r="BX34">
        <v>0</v>
      </c>
      <c r="BY34" s="4">
        <v>0</v>
      </c>
      <c r="BZ34" s="1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4</v>
      </c>
      <c r="CI34">
        <v>1</v>
      </c>
      <c r="CJ34">
        <v>0</v>
      </c>
      <c r="CK34">
        <v>0</v>
      </c>
      <c r="CL34" s="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s="4">
        <v>0</v>
      </c>
      <c r="CU34">
        <v>1</v>
      </c>
      <c r="CV34">
        <v>1</v>
      </c>
      <c r="CW34">
        <v>0</v>
      </c>
      <c r="CX34">
        <v>2</v>
      </c>
      <c r="CY34">
        <v>0</v>
      </c>
      <c r="CZ34">
        <v>0</v>
      </c>
      <c r="DA34">
        <v>1</v>
      </c>
      <c r="DB34" s="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 s="4">
        <v>0</v>
      </c>
      <c r="DX34">
        <v>0</v>
      </c>
      <c r="DY34">
        <v>1</v>
      </c>
      <c r="DZ34">
        <v>0</v>
      </c>
      <c r="EA34">
        <v>0</v>
      </c>
      <c r="EB34">
        <v>0</v>
      </c>
      <c r="EC34" s="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 s="1">
        <v>7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1</v>
      </c>
      <c r="GC34" s="1">
        <v>1</v>
      </c>
      <c r="GD34">
        <v>0</v>
      </c>
      <c r="GE34">
        <v>0</v>
      </c>
      <c r="GF34">
        <v>1</v>
      </c>
      <c r="GG34">
        <v>0</v>
      </c>
      <c r="GH34" s="1">
        <v>1</v>
      </c>
      <c r="GI34" s="1">
        <v>1</v>
      </c>
      <c r="GJ34" s="4">
        <v>0</v>
      </c>
      <c r="GK34">
        <v>0</v>
      </c>
      <c r="GL34">
        <v>0</v>
      </c>
      <c r="GM34">
        <v>0</v>
      </c>
      <c r="GO34" s="4">
        <f t="shared" si="0"/>
        <v>44</v>
      </c>
      <c r="GP34" s="4">
        <f t="shared" si="1"/>
        <v>70</v>
      </c>
    </row>
    <row r="35" spans="1:198" x14ac:dyDescent="0.3">
      <c r="A35" s="10" t="s">
        <v>649</v>
      </c>
      <c r="B35" s="1">
        <v>4</v>
      </c>
      <c r="C35">
        <v>0</v>
      </c>
      <c r="D35" s="1">
        <v>1</v>
      </c>
      <c r="E35">
        <v>1</v>
      </c>
      <c r="F35">
        <v>1</v>
      </c>
      <c r="G35">
        <v>0</v>
      </c>
      <c r="H35" s="4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4">
        <v>0</v>
      </c>
      <c r="O35">
        <v>0</v>
      </c>
      <c r="P35" s="4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4">
        <v>0</v>
      </c>
      <c r="AL35" s="4">
        <v>0</v>
      </c>
      <c r="AM35" s="1">
        <v>1</v>
      </c>
      <c r="AN35" s="1">
        <v>1</v>
      </c>
      <c r="AO35">
        <v>0</v>
      </c>
      <c r="AP35">
        <v>0</v>
      </c>
      <c r="AQ35">
        <v>0</v>
      </c>
      <c r="AR35">
        <v>0</v>
      </c>
      <c r="AS35" s="4">
        <v>0</v>
      </c>
      <c r="AT35" s="1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1">
        <v>17</v>
      </c>
      <c r="BC35">
        <v>0</v>
      </c>
      <c r="BD35">
        <v>6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 s="4">
        <v>0</v>
      </c>
      <c r="BN35">
        <v>0</v>
      </c>
      <c r="BO35">
        <v>0</v>
      </c>
      <c r="BP35" s="1">
        <v>13</v>
      </c>
      <c r="BQ35">
        <v>11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 s="4">
        <v>0</v>
      </c>
      <c r="BZ35" s="1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 s="4">
        <v>0</v>
      </c>
      <c r="CM35">
        <v>0</v>
      </c>
      <c r="CN35">
        <v>0</v>
      </c>
      <c r="CO35">
        <v>1</v>
      </c>
      <c r="CP35">
        <v>1</v>
      </c>
      <c r="CQ35">
        <v>0</v>
      </c>
      <c r="CR35">
        <v>0</v>
      </c>
      <c r="CS35">
        <v>0</v>
      </c>
      <c r="CT35" s="4">
        <v>0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1</v>
      </c>
      <c r="DB35" s="4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3</v>
      </c>
      <c r="DT35">
        <v>0</v>
      </c>
      <c r="DU35">
        <v>0</v>
      </c>
      <c r="DV35">
        <v>0</v>
      </c>
      <c r="DW35" s="4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s="4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2</v>
      </c>
      <c r="EY35">
        <v>0</v>
      </c>
      <c r="EZ35">
        <v>0</v>
      </c>
      <c r="FA35">
        <v>0</v>
      </c>
      <c r="FB35" s="1">
        <v>5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 s="1">
        <v>1</v>
      </c>
      <c r="GD35">
        <v>0</v>
      </c>
      <c r="GE35">
        <v>0</v>
      </c>
      <c r="GF35">
        <v>1</v>
      </c>
      <c r="GG35">
        <v>1</v>
      </c>
      <c r="GH35" s="1">
        <v>1</v>
      </c>
      <c r="GI35" s="1">
        <v>1</v>
      </c>
      <c r="GJ35" s="4">
        <v>0</v>
      </c>
      <c r="GK35">
        <v>0</v>
      </c>
      <c r="GL35">
        <v>0</v>
      </c>
      <c r="GM35">
        <v>0</v>
      </c>
      <c r="GO35" s="4">
        <f t="shared" si="0"/>
        <v>36</v>
      </c>
      <c r="GP35" s="4">
        <f t="shared" si="1"/>
        <v>89</v>
      </c>
    </row>
    <row r="36" spans="1:198" x14ac:dyDescent="0.3">
      <c r="A36" s="10" t="s">
        <v>650</v>
      </c>
      <c r="B36" s="1">
        <v>5</v>
      </c>
      <c r="C36">
        <v>1</v>
      </c>
      <c r="D36" s="1">
        <v>1</v>
      </c>
      <c r="E36">
        <v>1</v>
      </c>
      <c r="F36">
        <v>1</v>
      </c>
      <c r="G36">
        <v>0</v>
      </c>
      <c r="H36" s="4">
        <v>0</v>
      </c>
      <c r="I36">
        <v>1</v>
      </c>
      <c r="J36">
        <v>0</v>
      </c>
      <c r="K36">
        <v>0</v>
      </c>
      <c r="L36">
        <v>0</v>
      </c>
      <c r="M36">
        <v>0</v>
      </c>
      <c r="N36" s="4">
        <v>0</v>
      </c>
      <c r="O36">
        <v>0</v>
      </c>
      <c r="P36" s="4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4">
        <v>0</v>
      </c>
      <c r="AL36" s="4">
        <v>0</v>
      </c>
      <c r="AM36" s="1">
        <v>1</v>
      </c>
      <c r="AN36" s="1">
        <v>1</v>
      </c>
      <c r="AO36">
        <v>0</v>
      </c>
      <c r="AP36">
        <v>0</v>
      </c>
      <c r="AQ36">
        <v>0</v>
      </c>
      <c r="AR36">
        <v>0</v>
      </c>
      <c r="AS36" s="4">
        <v>0</v>
      </c>
      <c r="AT36" s="1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1">
        <v>11</v>
      </c>
      <c r="BC36">
        <v>0</v>
      </c>
      <c r="BD36">
        <v>6</v>
      </c>
      <c r="BE36">
        <v>2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0</v>
      </c>
      <c r="BM36" s="4">
        <v>0</v>
      </c>
      <c r="BN36">
        <v>0</v>
      </c>
      <c r="BO36">
        <v>0</v>
      </c>
      <c r="BP36" s="1">
        <v>16</v>
      </c>
      <c r="BQ36">
        <v>4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 s="4">
        <v>0</v>
      </c>
      <c r="BZ36" s="1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 s="4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 s="4">
        <v>0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1</v>
      </c>
      <c r="DB36" s="4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 s="4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s="4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1</v>
      </c>
      <c r="EX36">
        <v>2</v>
      </c>
      <c r="EY36">
        <v>0</v>
      </c>
      <c r="EZ36">
        <v>0</v>
      </c>
      <c r="FA36">
        <v>0</v>
      </c>
      <c r="FB36" s="1">
        <v>4</v>
      </c>
      <c r="FC36" s="1">
        <v>1</v>
      </c>
      <c r="FD36" s="1">
        <v>1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10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0</v>
      </c>
      <c r="GA36">
        <v>0</v>
      </c>
      <c r="GB36">
        <v>0</v>
      </c>
      <c r="GC36" s="1">
        <v>1</v>
      </c>
      <c r="GD36">
        <v>0</v>
      </c>
      <c r="GE36">
        <v>0</v>
      </c>
      <c r="GF36">
        <v>1</v>
      </c>
      <c r="GG36">
        <v>0</v>
      </c>
      <c r="GH36" s="1">
        <v>1</v>
      </c>
      <c r="GI36" s="1">
        <v>1</v>
      </c>
      <c r="GJ36" s="4">
        <v>0</v>
      </c>
      <c r="GK36">
        <v>0</v>
      </c>
      <c r="GL36">
        <v>0</v>
      </c>
      <c r="GM36">
        <v>0</v>
      </c>
      <c r="GO36" s="4">
        <f t="shared" si="0"/>
        <v>42</v>
      </c>
      <c r="GP36" s="4">
        <f t="shared" si="1"/>
        <v>92</v>
      </c>
    </row>
    <row r="37" spans="1:198" x14ac:dyDescent="0.3">
      <c r="A37" s="10" t="s">
        <v>647</v>
      </c>
      <c r="B37" s="1">
        <v>2</v>
      </c>
      <c r="C37">
        <v>0</v>
      </c>
      <c r="D37" s="1">
        <v>1</v>
      </c>
      <c r="E37">
        <v>0</v>
      </c>
      <c r="F37">
        <v>1</v>
      </c>
      <c r="G37">
        <v>0</v>
      </c>
      <c r="H37" s="4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4">
        <v>0</v>
      </c>
      <c r="O37">
        <v>2</v>
      </c>
      <c r="P37" s="4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 s="4">
        <v>0</v>
      </c>
      <c r="AL37" s="4">
        <v>0</v>
      </c>
      <c r="AM37" s="1">
        <v>1</v>
      </c>
      <c r="AN37" s="1">
        <v>1</v>
      </c>
      <c r="AO37">
        <v>0</v>
      </c>
      <c r="AP37">
        <v>0</v>
      </c>
      <c r="AQ37">
        <v>0</v>
      </c>
      <c r="AR37">
        <v>0</v>
      </c>
      <c r="AS37" s="4">
        <v>0</v>
      </c>
      <c r="AT37" s="1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s="1">
        <v>10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s="4">
        <v>0</v>
      </c>
      <c r="BN37">
        <v>0</v>
      </c>
      <c r="BO37">
        <v>0</v>
      </c>
      <c r="BP37" s="1">
        <v>7</v>
      </c>
      <c r="BQ37">
        <v>7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s="4">
        <v>0</v>
      </c>
      <c r="BZ37" s="1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 s="4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s="4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 s="4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 s="4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 s="4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1</v>
      </c>
      <c r="FA37">
        <v>0</v>
      </c>
      <c r="FB37" s="1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 s="1">
        <v>1</v>
      </c>
      <c r="GD37">
        <v>0</v>
      </c>
      <c r="GE37">
        <v>0</v>
      </c>
      <c r="GF37">
        <v>1</v>
      </c>
      <c r="GG37">
        <v>0</v>
      </c>
      <c r="GH37" s="1">
        <v>1</v>
      </c>
      <c r="GI37" s="1">
        <v>1</v>
      </c>
      <c r="GJ37" s="4">
        <v>0</v>
      </c>
      <c r="GK37">
        <v>0</v>
      </c>
      <c r="GL37">
        <v>0</v>
      </c>
      <c r="GM37">
        <v>0</v>
      </c>
      <c r="GO37" s="4">
        <f t="shared" si="0"/>
        <v>28</v>
      </c>
      <c r="GP37" s="4">
        <f t="shared" si="1"/>
        <v>50</v>
      </c>
    </row>
    <row r="38" spans="1:198" x14ac:dyDescent="0.3">
      <c r="A38" s="10" t="s">
        <v>648</v>
      </c>
      <c r="B38" s="1">
        <v>2</v>
      </c>
      <c r="C38">
        <v>1</v>
      </c>
      <c r="D38" s="1">
        <v>1</v>
      </c>
      <c r="E38">
        <v>1</v>
      </c>
      <c r="F38">
        <v>1</v>
      </c>
      <c r="G38">
        <v>0</v>
      </c>
      <c r="H38" s="4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4">
        <v>0</v>
      </c>
      <c r="O38">
        <v>0</v>
      </c>
      <c r="P38" s="4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4">
        <v>0</v>
      </c>
      <c r="AL38" s="4">
        <v>0</v>
      </c>
      <c r="AM38" s="1">
        <v>1</v>
      </c>
      <c r="AN38" s="1">
        <v>1</v>
      </c>
      <c r="AO38">
        <v>0</v>
      </c>
      <c r="AP38">
        <v>0</v>
      </c>
      <c r="AQ38">
        <v>0</v>
      </c>
      <c r="AR38">
        <v>0</v>
      </c>
      <c r="AS38" s="4">
        <v>0</v>
      </c>
      <c r="AT38" s="1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1">
        <v>6</v>
      </c>
      <c r="BC38">
        <v>0</v>
      </c>
      <c r="BD38">
        <v>4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 s="4">
        <v>0</v>
      </c>
      <c r="BN38">
        <v>0</v>
      </c>
      <c r="BO38">
        <v>0</v>
      </c>
      <c r="BP38" s="1">
        <v>7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0</v>
      </c>
      <c r="BX38">
        <v>0</v>
      </c>
      <c r="BY38" s="4">
        <v>0</v>
      </c>
      <c r="BZ38" s="1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 s="4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 s="4">
        <v>0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2</v>
      </c>
      <c r="DB38" s="4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 s="4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 s="4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 s="1">
        <v>4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2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 s="1">
        <v>1</v>
      </c>
      <c r="GD38">
        <v>0</v>
      </c>
      <c r="GE38">
        <v>0</v>
      </c>
      <c r="GF38">
        <v>1</v>
      </c>
      <c r="GG38">
        <v>0</v>
      </c>
      <c r="GH38" s="1">
        <v>1</v>
      </c>
      <c r="GI38" s="1">
        <v>1</v>
      </c>
      <c r="GJ38" s="4">
        <v>0</v>
      </c>
      <c r="GK38">
        <v>0</v>
      </c>
      <c r="GL38">
        <v>0</v>
      </c>
      <c r="GM38">
        <v>0</v>
      </c>
      <c r="GO38" s="4">
        <f t="shared" si="0"/>
        <v>33</v>
      </c>
      <c r="GP38" s="4">
        <f t="shared" si="1"/>
        <v>52</v>
      </c>
    </row>
    <row r="39" spans="1:198" x14ac:dyDescent="0.3">
      <c r="A39" s="10" t="s">
        <v>651</v>
      </c>
      <c r="B39" s="1">
        <v>3</v>
      </c>
      <c r="C39">
        <v>0</v>
      </c>
      <c r="D39" s="1">
        <v>1</v>
      </c>
      <c r="E39">
        <v>0</v>
      </c>
      <c r="F39">
        <v>1</v>
      </c>
      <c r="G39">
        <v>0</v>
      </c>
      <c r="H39" s="4">
        <v>0</v>
      </c>
      <c r="I39">
        <v>0</v>
      </c>
      <c r="J39">
        <v>3</v>
      </c>
      <c r="K39">
        <v>0</v>
      </c>
      <c r="L39">
        <v>0</v>
      </c>
      <c r="M39">
        <v>0</v>
      </c>
      <c r="N39" s="4">
        <v>0</v>
      </c>
      <c r="O39">
        <v>0</v>
      </c>
      <c r="P39" s="4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4">
        <v>0</v>
      </c>
      <c r="AL39" s="4">
        <v>0</v>
      </c>
      <c r="AM39" s="1">
        <v>1</v>
      </c>
      <c r="AN39" s="1">
        <v>1</v>
      </c>
      <c r="AO39">
        <v>0</v>
      </c>
      <c r="AP39">
        <v>0</v>
      </c>
      <c r="AQ39">
        <v>1</v>
      </c>
      <c r="AR39">
        <v>1</v>
      </c>
      <c r="AS39" s="4">
        <v>0</v>
      </c>
      <c r="AT39" s="1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s="1">
        <v>12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s="4">
        <v>0</v>
      </c>
      <c r="BN39">
        <v>0</v>
      </c>
      <c r="BO39">
        <v>0</v>
      </c>
      <c r="BP39" s="1">
        <v>7</v>
      </c>
      <c r="BQ39">
        <v>4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 s="4">
        <v>0</v>
      </c>
      <c r="BZ39" s="1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 s="4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s="4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1</v>
      </c>
      <c r="DB39" s="4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1</v>
      </c>
      <c r="DR39">
        <v>0</v>
      </c>
      <c r="DS39">
        <v>3</v>
      </c>
      <c r="DT39">
        <v>0</v>
      </c>
      <c r="DU39">
        <v>0</v>
      </c>
      <c r="DV39">
        <v>0</v>
      </c>
      <c r="DW39" s="4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s="4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 s="1">
        <v>8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8</v>
      </c>
      <c r="FP39">
        <v>0</v>
      </c>
      <c r="FQ39">
        <v>0</v>
      </c>
      <c r="FR39">
        <v>0</v>
      </c>
      <c r="FS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1</v>
      </c>
      <c r="GB39">
        <v>1</v>
      </c>
      <c r="GC39" s="1">
        <v>1</v>
      </c>
      <c r="GD39">
        <v>0</v>
      </c>
      <c r="GE39">
        <v>0</v>
      </c>
      <c r="GF39">
        <v>1</v>
      </c>
      <c r="GG39">
        <v>0</v>
      </c>
      <c r="GH39" s="1">
        <v>1</v>
      </c>
      <c r="GI39" s="1">
        <v>1</v>
      </c>
      <c r="GJ39" s="4">
        <v>0</v>
      </c>
      <c r="GK39">
        <v>0</v>
      </c>
      <c r="GL39">
        <v>0</v>
      </c>
      <c r="GM39">
        <v>1</v>
      </c>
      <c r="GO39" s="4">
        <f t="shared" si="0"/>
        <v>40</v>
      </c>
      <c r="GP39" s="4">
        <f t="shared" si="1"/>
        <v>79</v>
      </c>
    </row>
    <row r="40" spans="1:198" x14ac:dyDescent="0.3">
      <c r="A40" s="10" t="s">
        <v>652</v>
      </c>
      <c r="B40" s="1">
        <v>2</v>
      </c>
      <c r="C40">
        <v>0</v>
      </c>
      <c r="D40" s="1">
        <v>1</v>
      </c>
      <c r="E40">
        <v>1</v>
      </c>
      <c r="F40">
        <v>1</v>
      </c>
      <c r="G40">
        <v>0</v>
      </c>
      <c r="H40" s="4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4">
        <v>0</v>
      </c>
      <c r="O40">
        <v>0</v>
      </c>
      <c r="P40" s="4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s="4">
        <v>0</v>
      </c>
      <c r="AL40" s="4">
        <v>0</v>
      </c>
      <c r="AM40" s="1">
        <v>1</v>
      </c>
      <c r="AN40" s="1">
        <v>1</v>
      </c>
      <c r="AO40">
        <v>0</v>
      </c>
      <c r="AP40">
        <v>0</v>
      </c>
      <c r="AQ40">
        <v>0</v>
      </c>
      <c r="AR40">
        <v>0</v>
      </c>
      <c r="AS40" s="4">
        <v>0</v>
      </c>
      <c r="AT40" s="1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s="1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 s="4">
        <v>0</v>
      </c>
      <c r="BN40">
        <v>0</v>
      </c>
      <c r="BO40">
        <v>0</v>
      </c>
      <c r="BP40" s="1">
        <v>4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 s="4">
        <v>0</v>
      </c>
      <c r="BZ40" s="1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 s="4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 s="4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 s="4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 s="4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s="4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 s="1">
        <v>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6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 s="1">
        <v>1</v>
      </c>
      <c r="GD40">
        <v>0</v>
      </c>
      <c r="GE40">
        <v>0</v>
      </c>
      <c r="GF40">
        <v>1</v>
      </c>
      <c r="GG40">
        <v>0</v>
      </c>
      <c r="GH40" s="1">
        <v>1</v>
      </c>
      <c r="GI40" s="1">
        <v>0</v>
      </c>
      <c r="GJ40" s="4">
        <v>0</v>
      </c>
      <c r="GK40">
        <v>0</v>
      </c>
      <c r="GL40">
        <v>0</v>
      </c>
      <c r="GM40">
        <v>0</v>
      </c>
      <c r="GO40" s="4">
        <f t="shared" si="0"/>
        <v>23</v>
      </c>
      <c r="GP40" s="4">
        <f t="shared" si="1"/>
        <v>35</v>
      </c>
    </row>
    <row r="41" spans="1:198" x14ac:dyDescent="0.3">
      <c r="A41" s="10" t="s">
        <v>653</v>
      </c>
      <c r="B41" s="1">
        <v>3</v>
      </c>
      <c r="C41">
        <v>0</v>
      </c>
      <c r="D41" s="1">
        <v>1</v>
      </c>
      <c r="E41">
        <v>1</v>
      </c>
      <c r="F41">
        <v>1</v>
      </c>
      <c r="G41">
        <v>0</v>
      </c>
      <c r="H41" s="4">
        <v>0</v>
      </c>
      <c r="I41">
        <v>1</v>
      </c>
      <c r="J41">
        <v>1</v>
      </c>
      <c r="K41">
        <v>0</v>
      </c>
      <c r="L41">
        <v>0</v>
      </c>
      <c r="M41">
        <v>0</v>
      </c>
      <c r="N41" s="4">
        <v>0</v>
      </c>
      <c r="O41">
        <v>0</v>
      </c>
      <c r="P41" s="4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 s="4">
        <v>0</v>
      </c>
      <c r="AL41" s="4">
        <v>0</v>
      </c>
      <c r="AM41" s="1">
        <v>1</v>
      </c>
      <c r="AN41" s="1">
        <v>2</v>
      </c>
      <c r="AO41">
        <v>0</v>
      </c>
      <c r="AP41">
        <v>0</v>
      </c>
      <c r="AQ41">
        <v>0</v>
      </c>
      <c r="AR41">
        <v>0</v>
      </c>
      <c r="AS41" s="4">
        <v>0</v>
      </c>
      <c r="AT41" s="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 s="1">
        <v>18</v>
      </c>
      <c r="BC41">
        <v>0</v>
      </c>
      <c r="BD41">
        <v>6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 s="4">
        <v>0</v>
      </c>
      <c r="BN41">
        <v>0</v>
      </c>
      <c r="BO41">
        <v>0</v>
      </c>
      <c r="BP41" s="1">
        <v>23</v>
      </c>
      <c r="BQ41">
        <v>10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 s="4">
        <v>0</v>
      </c>
      <c r="BZ41" s="1">
        <v>1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 s="4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s="4">
        <v>0</v>
      </c>
      <c r="CU41">
        <v>1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1</v>
      </c>
      <c r="DB41" s="4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3</v>
      </c>
      <c r="DT41">
        <v>0</v>
      </c>
      <c r="DU41">
        <v>0</v>
      </c>
      <c r="DV41">
        <v>0</v>
      </c>
      <c r="DW41" s="4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 s="4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2</v>
      </c>
      <c r="EY41">
        <v>0</v>
      </c>
      <c r="EZ41">
        <v>0</v>
      </c>
      <c r="FA41">
        <v>0</v>
      </c>
      <c r="FB41" s="1">
        <v>4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2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  <c r="GC41" s="1">
        <v>1</v>
      </c>
      <c r="GD41">
        <v>0</v>
      </c>
      <c r="GE41">
        <v>0</v>
      </c>
      <c r="GF41">
        <v>1</v>
      </c>
      <c r="GG41">
        <v>0</v>
      </c>
      <c r="GH41" s="1">
        <v>1</v>
      </c>
      <c r="GI41" s="1">
        <v>1</v>
      </c>
      <c r="GJ41" s="4">
        <v>0</v>
      </c>
      <c r="GK41">
        <v>0</v>
      </c>
      <c r="GL41">
        <v>0</v>
      </c>
      <c r="GM41">
        <v>0</v>
      </c>
      <c r="GO41" s="4">
        <f t="shared" si="0"/>
        <v>42</v>
      </c>
      <c r="GP41" s="4">
        <f t="shared" si="1"/>
        <v>106</v>
      </c>
    </row>
    <row r="42" spans="1:198" x14ac:dyDescent="0.3">
      <c r="A42" s="10" t="s">
        <v>654</v>
      </c>
      <c r="B42" s="1">
        <v>2</v>
      </c>
      <c r="C42">
        <v>0</v>
      </c>
      <c r="D42" s="1">
        <v>1</v>
      </c>
      <c r="E42">
        <v>0</v>
      </c>
      <c r="F42">
        <v>1</v>
      </c>
      <c r="G42">
        <v>0</v>
      </c>
      <c r="H42" s="4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4">
        <v>0</v>
      </c>
      <c r="O42">
        <v>0</v>
      </c>
      <c r="P42" s="4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4">
        <v>0</v>
      </c>
      <c r="AL42" s="4">
        <v>0</v>
      </c>
      <c r="AM42" s="1">
        <v>1</v>
      </c>
      <c r="AN42" s="1">
        <v>1</v>
      </c>
      <c r="AO42">
        <v>0</v>
      </c>
      <c r="AP42">
        <v>0</v>
      </c>
      <c r="AQ42">
        <v>0</v>
      </c>
      <c r="AR42">
        <v>0</v>
      </c>
      <c r="AS42" s="4">
        <v>0</v>
      </c>
      <c r="AT42" s="1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s="1">
        <v>9</v>
      </c>
      <c r="BC42">
        <v>0</v>
      </c>
      <c r="BD42">
        <v>6</v>
      </c>
      <c r="BE42">
        <v>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4">
        <v>0</v>
      </c>
      <c r="BN42">
        <v>1</v>
      </c>
      <c r="BO42">
        <v>0</v>
      </c>
      <c r="BP42" s="1">
        <v>4</v>
      </c>
      <c r="BQ42">
        <v>2</v>
      </c>
      <c r="BR42">
        <v>0</v>
      </c>
      <c r="BS42">
        <v>0</v>
      </c>
      <c r="BT42">
        <v>1</v>
      </c>
      <c r="BU42">
        <v>1</v>
      </c>
      <c r="BV42">
        <v>0</v>
      </c>
      <c r="BW42">
        <v>0</v>
      </c>
      <c r="BX42">
        <v>0</v>
      </c>
      <c r="BY42" s="4">
        <v>0</v>
      </c>
      <c r="BZ42" s="1">
        <v>1</v>
      </c>
      <c r="CA42">
        <v>0</v>
      </c>
      <c r="CB42" s="1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 s="4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 s="4">
        <v>0</v>
      </c>
      <c r="CU42">
        <v>1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1</v>
      </c>
      <c r="DB42" s="4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 s="4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 s="4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3</v>
      </c>
      <c r="EY42">
        <v>0</v>
      </c>
      <c r="EZ42">
        <v>0</v>
      </c>
      <c r="FA42">
        <v>0</v>
      </c>
      <c r="FB42" s="1">
        <v>6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0</v>
      </c>
      <c r="GC42" s="1">
        <v>1</v>
      </c>
      <c r="GD42">
        <v>0</v>
      </c>
      <c r="GE42">
        <v>0</v>
      </c>
      <c r="GF42">
        <v>1</v>
      </c>
      <c r="GG42">
        <v>0</v>
      </c>
      <c r="GH42" s="1">
        <v>1</v>
      </c>
      <c r="GI42" s="1">
        <v>1</v>
      </c>
      <c r="GJ42" s="4">
        <v>0</v>
      </c>
      <c r="GK42">
        <v>0</v>
      </c>
      <c r="GL42">
        <v>0</v>
      </c>
      <c r="GM42">
        <v>0</v>
      </c>
      <c r="GO42" s="4">
        <f t="shared" si="0"/>
        <v>33</v>
      </c>
      <c r="GP42" s="4">
        <f t="shared" si="1"/>
        <v>58</v>
      </c>
    </row>
    <row r="43" spans="1:198" x14ac:dyDescent="0.3">
      <c r="A43" s="10" t="s">
        <v>655</v>
      </c>
      <c r="B43" s="1">
        <v>4</v>
      </c>
      <c r="C43">
        <v>0</v>
      </c>
      <c r="D43" s="1">
        <v>2</v>
      </c>
      <c r="E43">
        <v>1</v>
      </c>
      <c r="F43">
        <v>1</v>
      </c>
      <c r="G43">
        <v>0</v>
      </c>
      <c r="H43" s="4">
        <v>0</v>
      </c>
      <c r="I43">
        <v>3</v>
      </c>
      <c r="J43">
        <v>1</v>
      </c>
      <c r="K43">
        <v>0</v>
      </c>
      <c r="L43">
        <v>0</v>
      </c>
      <c r="M43">
        <v>0</v>
      </c>
      <c r="N43" s="4">
        <v>0</v>
      </c>
      <c r="O43">
        <v>3</v>
      </c>
      <c r="P43" s="4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4">
        <v>0</v>
      </c>
      <c r="AL43" s="4">
        <v>0</v>
      </c>
      <c r="AM43" s="1">
        <v>1</v>
      </c>
      <c r="AN43" s="1">
        <v>1</v>
      </c>
      <c r="AO43">
        <v>0</v>
      </c>
      <c r="AP43">
        <v>0</v>
      </c>
      <c r="AQ43">
        <v>0</v>
      </c>
      <c r="AR43">
        <v>0</v>
      </c>
      <c r="AS43" s="4">
        <v>0</v>
      </c>
      <c r="AT43" s="1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s="1">
        <v>18</v>
      </c>
      <c r="BC43">
        <v>0</v>
      </c>
      <c r="BD43">
        <v>6</v>
      </c>
      <c r="BE43">
        <v>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 s="4">
        <v>0</v>
      </c>
      <c r="BN43">
        <v>0</v>
      </c>
      <c r="BO43">
        <v>0</v>
      </c>
      <c r="BP43" s="1">
        <v>44</v>
      </c>
      <c r="BQ43">
        <v>14</v>
      </c>
      <c r="BR43">
        <v>0</v>
      </c>
      <c r="BS43">
        <v>0</v>
      </c>
      <c r="BT43">
        <v>1</v>
      </c>
      <c r="BU43">
        <v>1</v>
      </c>
      <c r="BV43">
        <v>0</v>
      </c>
      <c r="BW43">
        <v>1</v>
      </c>
      <c r="BX43">
        <v>0</v>
      </c>
      <c r="BY43" s="4">
        <v>0</v>
      </c>
      <c r="BZ43" s="1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 s="4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 s="4">
        <v>0</v>
      </c>
      <c r="CU43">
        <v>1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1</v>
      </c>
      <c r="DB43" s="4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1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 s="4">
        <v>0</v>
      </c>
      <c r="DX43">
        <v>0</v>
      </c>
      <c r="DY43">
        <v>1</v>
      </c>
      <c r="DZ43">
        <v>0</v>
      </c>
      <c r="EA43">
        <v>1</v>
      </c>
      <c r="EB43">
        <v>0</v>
      </c>
      <c r="EC43" s="4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 s="1">
        <v>7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1</v>
      </c>
      <c r="FU43">
        <v>0</v>
      </c>
      <c r="FV43">
        <v>0</v>
      </c>
      <c r="FW43">
        <v>0</v>
      </c>
      <c r="FX43">
        <v>2</v>
      </c>
      <c r="FY43">
        <v>0</v>
      </c>
      <c r="FZ43">
        <v>0</v>
      </c>
      <c r="GA43">
        <v>1</v>
      </c>
      <c r="GB43">
        <v>0</v>
      </c>
      <c r="GC43" s="1">
        <v>1</v>
      </c>
      <c r="GD43">
        <v>0</v>
      </c>
      <c r="GE43">
        <v>1</v>
      </c>
      <c r="GF43">
        <v>1</v>
      </c>
      <c r="GG43">
        <v>0</v>
      </c>
      <c r="GH43" s="1">
        <v>1</v>
      </c>
      <c r="GI43" s="1">
        <v>1</v>
      </c>
      <c r="GJ43" s="4">
        <v>0</v>
      </c>
      <c r="GK43">
        <v>0</v>
      </c>
      <c r="GL43">
        <v>0</v>
      </c>
      <c r="GM43">
        <v>0</v>
      </c>
      <c r="GO43" s="4">
        <f t="shared" si="0"/>
        <v>51</v>
      </c>
      <c r="GP43" s="4">
        <f t="shared" si="1"/>
        <v>146</v>
      </c>
    </row>
    <row r="44" spans="1:198" x14ac:dyDescent="0.3">
      <c r="A44" s="10" t="s">
        <v>656</v>
      </c>
      <c r="B44" s="1">
        <v>4</v>
      </c>
      <c r="C44">
        <v>0</v>
      </c>
      <c r="D44" s="1">
        <v>1</v>
      </c>
      <c r="E44">
        <v>1</v>
      </c>
      <c r="F44">
        <v>1</v>
      </c>
      <c r="G44">
        <v>0</v>
      </c>
      <c r="H44" s="4">
        <v>0</v>
      </c>
      <c r="I44">
        <v>1</v>
      </c>
      <c r="J44">
        <v>1</v>
      </c>
      <c r="K44">
        <v>0</v>
      </c>
      <c r="L44">
        <v>1</v>
      </c>
      <c r="M44">
        <v>0</v>
      </c>
      <c r="N44" s="4">
        <v>0</v>
      </c>
      <c r="O44">
        <v>0</v>
      </c>
      <c r="P44" s="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 s="4">
        <v>0</v>
      </c>
      <c r="AL44" s="4">
        <v>0</v>
      </c>
      <c r="AM44" s="1">
        <v>1</v>
      </c>
      <c r="AN44" s="1">
        <v>1</v>
      </c>
      <c r="AO44">
        <v>0</v>
      </c>
      <c r="AP44">
        <v>0</v>
      </c>
      <c r="AQ44">
        <v>0</v>
      </c>
      <c r="AR44">
        <v>0</v>
      </c>
      <c r="AS44" s="4">
        <v>0</v>
      </c>
      <c r="AT44" s="1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s="1">
        <v>13</v>
      </c>
      <c r="BC44">
        <v>0</v>
      </c>
      <c r="BD44">
        <v>6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s="4">
        <v>0</v>
      </c>
      <c r="BN44">
        <v>1</v>
      </c>
      <c r="BO44">
        <v>0</v>
      </c>
      <c r="BP44" s="1">
        <v>12</v>
      </c>
      <c r="BQ44">
        <v>12</v>
      </c>
      <c r="BR44">
        <v>0</v>
      </c>
      <c r="BS44">
        <v>0</v>
      </c>
      <c r="BT44">
        <v>1</v>
      </c>
      <c r="BU44">
        <v>3</v>
      </c>
      <c r="BV44">
        <v>0</v>
      </c>
      <c r="BW44">
        <v>0</v>
      </c>
      <c r="BX44">
        <v>0</v>
      </c>
      <c r="BY44" s="4">
        <v>0</v>
      </c>
      <c r="BZ44" s="1">
        <v>1</v>
      </c>
      <c r="CA44">
        <v>0</v>
      </c>
      <c r="CB44">
        <v>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 s="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s="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</v>
      </c>
      <c r="DB44" s="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3</v>
      </c>
      <c r="DT44">
        <v>0</v>
      </c>
      <c r="DU44">
        <v>0</v>
      </c>
      <c r="DV44">
        <v>0</v>
      </c>
      <c r="DW44" s="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s="4">
        <v>0</v>
      </c>
      <c r="ED44">
        <v>1</v>
      </c>
      <c r="EE44">
        <v>0</v>
      </c>
      <c r="EF44">
        <v>0</v>
      </c>
      <c r="EG44">
        <v>2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3</v>
      </c>
      <c r="EY44">
        <v>0</v>
      </c>
      <c r="EZ44">
        <v>0</v>
      </c>
      <c r="FA44">
        <v>0</v>
      </c>
      <c r="FB44" s="1">
        <v>4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s="1">
        <v>1</v>
      </c>
      <c r="GD44">
        <v>0</v>
      </c>
      <c r="GE44">
        <v>0</v>
      </c>
      <c r="GF44">
        <v>1</v>
      </c>
      <c r="GG44">
        <v>0</v>
      </c>
      <c r="GH44" s="1">
        <v>1</v>
      </c>
      <c r="GI44" s="1">
        <v>1</v>
      </c>
      <c r="GJ44" s="4">
        <v>0</v>
      </c>
      <c r="GK44">
        <v>0</v>
      </c>
      <c r="GL44">
        <v>0</v>
      </c>
      <c r="GM44">
        <v>0</v>
      </c>
      <c r="GO44" s="4">
        <f t="shared" si="0"/>
        <v>40</v>
      </c>
      <c r="GP44" s="4">
        <f t="shared" si="1"/>
        <v>93</v>
      </c>
    </row>
    <row r="45" spans="1:198" x14ac:dyDescent="0.3">
      <c r="A45" s="10" t="s">
        <v>657</v>
      </c>
      <c r="B45" s="1">
        <v>4</v>
      </c>
      <c r="C45">
        <v>0</v>
      </c>
      <c r="D45" s="1">
        <v>1</v>
      </c>
      <c r="E45">
        <v>0</v>
      </c>
      <c r="F45">
        <v>1</v>
      </c>
      <c r="G45">
        <v>0</v>
      </c>
      <c r="H45" s="4">
        <v>0</v>
      </c>
      <c r="I45">
        <v>4</v>
      </c>
      <c r="J45">
        <v>0</v>
      </c>
      <c r="K45">
        <v>0</v>
      </c>
      <c r="L45">
        <v>0</v>
      </c>
      <c r="M45">
        <v>0</v>
      </c>
      <c r="N45" s="4">
        <v>0</v>
      </c>
      <c r="O45">
        <v>0</v>
      </c>
      <c r="P45" s="4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 s="4">
        <v>0</v>
      </c>
      <c r="AL45" s="4">
        <v>0</v>
      </c>
      <c r="AM45" s="1">
        <v>1</v>
      </c>
      <c r="AN45" s="1">
        <v>1</v>
      </c>
      <c r="AO45">
        <v>0</v>
      </c>
      <c r="AP45">
        <v>0</v>
      </c>
      <c r="AQ45">
        <v>0</v>
      </c>
      <c r="AR45">
        <v>0</v>
      </c>
      <c r="AS45" s="4">
        <v>0</v>
      </c>
      <c r="AT45" s="1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s="1">
        <v>6</v>
      </c>
      <c r="BC45">
        <v>0</v>
      </c>
      <c r="BD45">
        <v>0</v>
      </c>
      <c r="BE45">
        <v>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s="4">
        <v>0</v>
      </c>
      <c r="BN45">
        <v>0</v>
      </c>
      <c r="BO45">
        <v>0</v>
      </c>
      <c r="BP45" s="1">
        <v>7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 s="4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 s="4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 s="4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1</v>
      </c>
      <c r="DB45" s="4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 s="4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 s="4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0</v>
      </c>
      <c r="FA45">
        <v>0</v>
      </c>
      <c r="FB45" s="1">
        <v>3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0</v>
      </c>
      <c r="GC45" s="1">
        <v>1</v>
      </c>
      <c r="GD45">
        <v>0</v>
      </c>
      <c r="GE45">
        <v>0</v>
      </c>
      <c r="GF45">
        <v>1</v>
      </c>
      <c r="GG45">
        <v>0</v>
      </c>
      <c r="GH45" s="1">
        <v>1</v>
      </c>
      <c r="GI45" s="1">
        <v>1</v>
      </c>
      <c r="GJ45" s="4">
        <v>0</v>
      </c>
      <c r="GK45">
        <v>0</v>
      </c>
      <c r="GL45">
        <v>0</v>
      </c>
      <c r="GM45">
        <v>0</v>
      </c>
      <c r="GO45" s="4">
        <f t="shared" si="0"/>
        <v>27</v>
      </c>
      <c r="GP45" s="4">
        <f t="shared" si="1"/>
        <v>51</v>
      </c>
    </row>
    <row r="46" spans="1:198" x14ac:dyDescent="0.3">
      <c r="A46" s="10" t="s">
        <v>658</v>
      </c>
      <c r="B46" s="1">
        <v>3</v>
      </c>
      <c r="C46">
        <v>0</v>
      </c>
      <c r="D46" s="1">
        <v>1</v>
      </c>
      <c r="E46">
        <v>0</v>
      </c>
      <c r="F46">
        <v>1</v>
      </c>
      <c r="G46">
        <v>0</v>
      </c>
      <c r="H46" s="4">
        <v>0</v>
      </c>
      <c r="I46">
        <v>0</v>
      </c>
      <c r="J46">
        <v>1</v>
      </c>
      <c r="K46">
        <v>0</v>
      </c>
      <c r="L46">
        <v>0</v>
      </c>
      <c r="M46">
        <v>0</v>
      </c>
      <c r="N46" s="4">
        <v>0</v>
      </c>
      <c r="O46">
        <v>0</v>
      </c>
      <c r="P46" s="4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 s="4">
        <v>0</v>
      </c>
      <c r="AL46" s="4">
        <v>0</v>
      </c>
      <c r="AM46" s="1">
        <v>1</v>
      </c>
      <c r="AN46" s="1">
        <v>1</v>
      </c>
      <c r="AO46">
        <v>0</v>
      </c>
      <c r="AP46">
        <v>0</v>
      </c>
      <c r="AQ46">
        <v>0</v>
      </c>
      <c r="AR46">
        <v>0</v>
      </c>
      <c r="AS46" s="4">
        <v>0</v>
      </c>
      <c r="AT46" s="1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s="1">
        <v>18</v>
      </c>
      <c r="BC46">
        <v>0</v>
      </c>
      <c r="BD46">
        <v>0</v>
      </c>
      <c r="BE46">
        <v>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s="4">
        <v>0</v>
      </c>
      <c r="BN46">
        <v>0</v>
      </c>
      <c r="BO46">
        <v>0</v>
      </c>
      <c r="BP46" s="1">
        <v>9</v>
      </c>
      <c r="BQ46">
        <v>3</v>
      </c>
      <c r="BR46">
        <v>1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 s="4">
        <v>0</v>
      </c>
      <c r="BZ46" s="1">
        <v>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s="4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 s="4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 s="4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 s="4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 s="4">
        <v>0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2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3</v>
      </c>
      <c r="EY46">
        <v>0</v>
      </c>
      <c r="EZ46">
        <v>0</v>
      </c>
      <c r="FA46">
        <v>0</v>
      </c>
      <c r="FB46" s="1">
        <v>6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2</v>
      </c>
      <c r="FP46">
        <v>0</v>
      </c>
      <c r="FQ46">
        <v>0</v>
      </c>
      <c r="FR46">
        <v>0</v>
      </c>
      <c r="FS46">
        <v>0</v>
      </c>
      <c r="FT46">
        <v>2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1</v>
      </c>
      <c r="GC46" s="1">
        <v>1</v>
      </c>
      <c r="GD46">
        <v>0</v>
      </c>
      <c r="GE46">
        <v>0</v>
      </c>
      <c r="GF46">
        <v>1</v>
      </c>
      <c r="GG46">
        <v>1</v>
      </c>
      <c r="GH46" s="1">
        <v>1</v>
      </c>
      <c r="GI46" s="1">
        <v>1</v>
      </c>
      <c r="GJ46" s="4">
        <v>0</v>
      </c>
      <c r="GK46">
        <v>0</v>
      </c>
      <c r="GL46">
        <v>0</v>
      </c>
      <c r="GM46">
        <v>0</v>
      </c>
      <c r="GO46" s="4">
        <f t="shared" si="0"/>
        <v>39</v>
      </c>
      <c r="GP46" s="4">
        <f t="shared" si="1"/>
        <v>80</v>
      </c>
    </row>
    <row r="47" spans="1:198" x14ac:dyDescent="0.3">
      <c r="A47" s="10" t="s">
        <v>659</v>
      </c>
      <c r="B47" s="1">
        <v>3</v>
      </c>
      <c r="C47">
        <v>0</v>
      </c>
      <c r="D47" s="1">
        <v>1</v>
      </c>
      <c r="E47">
        <v>1</v>
      </c>
      <c r="F47">
        <v>1</v>
      </c>
      <c r="G47">
        <v>0</v>
      </c>
      <c r="H47" s="4">
        <v>0</v>
      </c>
      <c r="I47">
        <v>1</v>
      </c>
      <c r="J47">
        <v>1</v>
      </c>
      <c r="K47">
        <v>0</v>
      </c>
      <c r="L47">
        <v>0</v>
      </c>
      <c r="M47">
        <v>0</v>
      </c>
      <c r="N47" s="4">
        <v>0</v>
      </c>
      <c r="O47">
        <v>0</v>
      </c>
      <c r="P47" s="4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4">
        <v>0</v>
      </c>
      <c r="AL47" s="4">
        <v>0</v>
      </c>
      <c r="AM47" s="1">
        <v>1</v>
      </c>
      <c r="AN47" s="1">
        <v>1</v>
      </c>
      <c r="AO47">
        <v>0</v>
      </c>
      <c r="AP47">
        <v>0</v>
      </c>
      <c r="AQ47">
        <v>0</v>
      </c>
      <c r="AR47">
        <v>0</v>
      </c>
      <c r="AS47" s="4">
        <v>0</v>
      </c>
      <c r="AT47" s="1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s="1">
        <v>15</v>
      </c>
      <c r="BC47">
        <v>0</v>
      </c>
      <c r="BD47">
        <v>6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 s="4">
        <v>0</v>
      </c>
      <c r="BN47">
        <v>0</v>
      </c>
      <c r="BO47">
        <v>0</v>
      </c>
      <c r="BP47" s="1">
        <v>6</v>
      </c>
      <c r="BQ47">
        <v>7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 s="4">
        <v>0</v>
      </c>
      <c r="BZ47" s="1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 s="4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s="4">
        <v>0</v>
      </c>
      <c r="CU47">
        <v>1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1</v>
      </c>
      <c r="DB47" s="4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 s="4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 s="4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2</v>
      </c>
      <c r="EY47">
        <v>0</v>
      </c>
      <c r="EZ47">
        <v>0</v>
      </c>
      <c r="FA47">
        <v>0</v>
      </c>
      <c r="FB47" s="1">
        <v>9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 s="1">
        <v>1</v>
      </c>
      <c r="GD47">
        <v>0</v>
      </c>
      <c r="GE47">
        <v>0</v>
      </c>
      <c r="GF47">
        <v>1</v>
      </c>
      <c r="GG47">
        <v>0</v>
      </c>
      <c r="GH47" s="1">
        <v>1</v>
      </c>
      <c r="GI47" s="1">
        <v>1</v>
      </c>
      <c r="GJ47" s="4">
        <v>0</v>
      </c>
      <c r="GK47">
        <v>0</v>
      </c>
      <c r="GL47">
        <v>0</v>
      </c>
      <c r="GM47">
        <v>0</v>
      </c>
      <c r="GO47" s="4">
        <f t="shared" si="0"/>
        <v>36</v>
      </c>
      <c r="GP47" s="4">
        <f t="shared" si="1"/>
        <v>77</v>
      </c>
    </row>
    <row r="48" spans="1:198" x14ac:dyDescent="0.3">
      <c r="A48" s="10" t="s">
        <v>660</v>
      </c>
      <c r="B48" s="1">
        <v>3</v>
      </c>
      <c r="C48">
        <v>0</v>
      </c>
      <c r="D48" s="1">
        <v>1</v>
      </c>
      <c r="E48">
        <v>1</v>
      </c>
      <c r="F48">
        <v>1</v>
      </c>
      <c r="G48">
        <v>0</v>
      </c>
      <c r="H48" s="4">
        <v>0</v>
      </c>
      <c r="I48">
        <v>0</v>
      </c>
      <c r="J48">
        <v>1</v>
      </c>
      <c r="K48">
        <v>0</v>
      </c>
      <c r="L48">
        <v>0</v>
      </c>
      <c r="M48">
        <v>0</v>
      </c>
      <c r="N48" s="4">
        <v>0</v>
      </c>
      <c r="O48">
        <v>0</v>
      </c>
      <c r="P48" s="4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4">
        <v>0</v>
      </c>
      <c r="AL48" s="4">
        <v>0</v>
      </c>
      <c r="AM48" s="1">
        <v>1</v>
      </c>
      <c r="AN48" s="1">
        <v>0</v>
      </c>
      <c r="AO48">
        <v>0</v>
      </c>
      <c r="AP48">
        <v>0</v>
      </c>
      <c r="AQ48">
        <v>0</v>
      </c>
      <c r="AR48">
        <v>1</v>
      </c>
      <c r="AS48" s="4">
        <v>0</v>
      </c>
      <c r="AT48" s="1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s="1">
        <v>15</v>
      </c>
      <c r="BC48">
        <v>0</v>
      </c>
      <c r="BD48">
        <v>6</v>
      </c>
      <c r="BE48">
        <v>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s="4">
        <v>0</v>
      </c>
      <c r="BN48">
        <v>0</v>
      </c>
      <c r="BO48">
        <v>0</v>
      </c>
      <c r="BP48" s="1">
        <v>13</v>
      </c>
      <c r="BQ48">
        <v>12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 s="4">
        <v>0</v>
      </c>
      <c r="BZ48" s="1">
        <v>1</v>
      </c>
      <c r="CA48">
        <v>0</v>
      </c>
      <c r="CB48" s="1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 s="4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 s="4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1</v>
      </c>
      <c r="DB48" s="4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</v>
      </c>
      <c r="DT48">
        <v>0</v>
      </c>
      <c r="DU48">
        <v>0</v>
      </c>
      <c r="DV48">
        <v>0</v>
      </c>
      <c r="DW48" s="4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 s="4">
        <v>0</v>
      </c>
      <c r="ED48">
        <v>1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2</v>
      </c>
      <c r="EY48">
        <v>0</v>
      </c>
      <c r="EZ48">
        <v>0</v>
      </c>
      <c r="FA48">
        <v>0</v>
      </c>
      <c r="FB48" s="1">
        <v>4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 s="1">
        <v>1</v>
      </c>
      <c r="GD48">
        <v>0</v>
      </c>
      <c r="GE48">
        <v>0</v>
      </c>
      <c r="GF48">
        <v>1</v>
      </c>
      <c r="GG48">
        <v>0</v>
      </c>
      <c r="GH48" s="1">
        <v>1</v>
      </c>
      <c r="GI48" s="1">
        <v>1</v>
      </c>
      <c r="GJ48" s="4">
        <v>0</v>
      </c>
      <c r="GK48">
        <v>0</v>
      </c>
      <c r="GL48">
        <v>0</v>
      </c>
      <c r="GM48">
        <v>0</v>
      </c>
      <c r="GO48" s="4">
        <f t="shared" si="0"/>
        <v>34</v>
      </c>
      <c r="GP48" s="4">
        <f t="shared" si="1"/>
        <v>84</v>
      </c>
    </row>
    <row r="49" spans="1:198" x14ac:dyDescent="0.3">
      <c r="A49" s="10" t="s">
        <v>661</v>
      </c>
      <c r="B49" s="1">
        <v>3</v>
      </c>
      <c r="C49">
        <v>0</v>
      </c>
      <c r="D49" s="1">
        <v>1</v>
      </c>
      <c r="E49">
        <v>1</v>
      </c>
      <c r="F49">
        <v>1</v>
      </c>
      <c r="G49">
        <v>0</v>
      </c>
      <c r="H49" s="4">
        <v>0</v>
      </c>
      <c r="I49">
        <v>1</v>
      </c>
      <c r="J49">
        <v>0</v>
      </c>
      <c r="K49">
        <v>0</v>
      </c>
      <c r="L49">
        <v>0</v>
      </c>
      <c r="M49">
        <v>0</v>
      </c>
      <c r="N49" s="4">
        <v>0</v>
      </c>
      <c r="O49">
        <v>0</v>
      </c>
      <c r="P49" s="4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4">
        <v>0</v>
      </c>
      <c r="AL49" s="4">
        <v>0</v>
      </c>
      <c r="AM49" s="1">
        <v>1</v>
      </c>
      <c r="AN49" s="1">
        <v>1</v>
      </c>
      <c r="AO49">
        <v>1</v>
      </c>
      <c r="AP49">
        <v>0</v>
      </c>
      <c r="AQ49">
        <v>0</v>
      </c>
      <c r="AR49">
        <v>0</v>
      </c>
      <c r="AS49" s="4">
        <v>0</v>
      </c>
      <c r="AT49" s="1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s="1">
        <v>15</v>
      </c>
      <c r="BC49">
        <v>0</v>
      </c>
      <c r="BD49">
        <v>6</v>
      </c>
      <c r="BE49">
        <v>2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s="4">
        <v>0</v>
      </c>
      <c r="BN49">
        <v>0</v>
      </c>
      <c r="BO49">
        <v>0</v>
      </c>
      <c r="BP49" s="1">
        <v>7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 s="4">
        <v>0</v>
      </c>
      <c r="BZ49" s="1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2</v>
      </c>
      <c r="CI49">
        <v>0</v>
      </c>
      <c r="CJ49">
        <v>0</v>
      </c>
      <c r="CK49">
        <v>0</v>
      </c>
      <c r="CL49" s="4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 s="4">
        <v>0</v>
      </c>
      <c r="CU49">
        <v>1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1</v>
      </c>
      <c r="DB49" s="4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 s="4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 s="4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3</v>
      </c>
      <c r="EY49">
        <v>0</v>
      </c>
      <c r="EZ49">
        <v>0</v>
      </c>
      <c r="FA49">
        <v>0</v>
      </c>
      <c r="FB49" s="1">
        <v>3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1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3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 s="1">
        <v>1</v>
      </c>
      <c r="GD49">
        <v>0</v>
      </c>
      <c r="GE49">
        <v>0</v>
      </c>
      <c r="GF49">
        <v>1</v>
      </c>
      <c r="GG49">
        <v>0</v>
      </c>
      <c r="GH49" s="1">
        <v>1</v>
      </c>
      <c r="GI49" s="1">
        <v>1</v>
      </c>
      <c r="GJ49" s="4">
        <v>0</v>
      </c>
      <c r="GK49">
        <v>0</v>
      </c>
      <c r="GL49">
        <v>0</v>
      </c>
      <c r="GM49">
        <v>0</v>
      </c>
      <c r="GO49" s="4">
        <f t="shared" si="0"/>
        <v>39</v>
      </c>
      <c r="GP49" s="4">
        <f t="shared" si="1"/>
        <v>73</v>
      </c>
    </row>
    <row r="50" spans="1:198" x14ac:dyDescent="0.3">
      <c r="A50" s="10" t="s">
        <v>662</v>
      </c>
      <c r="B50" s="1">
        <v>2</v>
      </c>
      <c r="C50">
        <v>0</v>
      </c>
      <c r="D50" s="1">
        <v>1</v>
      </c>
      <c r="E50">
        <v>0</v>
      </c>
      <c r="F50">
        <v>1</v>
      </c>
      <c r="G50">
        <v>0</v>
      </c>
      <c r="H50" s="4">
        <v>0</v>
      </c>
      <c r="I50">
        <v>0</v>
      </c>
      <c r="J50">
        <v>1</v>
      </c>
      <c r="K50">
        <v>0</v>
      </c>
      <c r="L50">
        <v>0</v>
      </c>
      <c r="M50">
        <v>0</v>
      </c>
      <c r="N50" s="4">
        <v>0</v>
      </c>
      <c r="O50">
        <v>0</v>
      </c>
      <c r="P50" s="4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 s="4">
        <v>0</v>
      </c>
      <c r="AL50" s="4">
        <v>0</v>
      </c>
      <c r="AM50" s="1">
        <v>1</v>
      </c>
      <c r="AN50" s="1">
        <v>1</v>
      </c>
      <c r="AO50">
        <v>0</v>
      </c>
      <c r="AP50">
        <v>0</v>
      </c>
      <c r="AQ50">
        <v>0</v>
      </c>
      <c r="AR50">
        <v>0</v>
      </c>
      <c r="AS50" s="4">
        <v>0</v>
      </c>
      <c r="AT50" s="1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s="1">
        <v>7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s="4">
        <v>0</v>
      </c>
      <c r="BN50">
        <v>0</v>
      </c>
      <c r="BO50">
        <v>0</v>
      </c>
      <c r="BP50" s="1">
        <v>4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s="4">
        <v>0</v>
      </c>
      <c r="BZ50" s="1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 s="4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s="4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 s="4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 s="4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 s="4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 s="1">
        <v>6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3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 s="1">
        <v>1</v>
      </c>
      <c r="GD50">
        <v>0</v>
      </c>
      <c r="GE50">
        <v>0</v>
      </c>
      <c r="GF50">
        <v>1</v>
      </c>
      <c r="GG50">
        <v>0</v>
      </c>
      <c r="GH50" s="1">
        <v>1</v>
      </c>
      <c r="GI50" s="1">
        <v>1</v>
      </c>
      <c r="GJ50" s="4">
        <v>0</v>
      </c>
      <c r="GK50">
        <v>0</v>
      </c>
      <c r="GL50">
        <v>0</v>
      </c>
      <c r="GM50">
        <v>0</v>
      </c>
      <c r="GO50" s="4">
        <f t="shared" si="0"/>
        <v>23</v>
      </c>
      <c r="GP50" s="4">
        <f t="shared" si="1"/>
        <v>39</v>
      </c>
    </row>
    <row r="51" spans="1:198" x14ac:dyDescent="0.3">
      <c r="A51" s="10" t="s">
        <v>663</v>
      </c>
      <c r="B51" s="1">
        <v>5</v>
      </c>
      <c r="C51">
        <v>0</v>
      </c>
      <c r="D51" s="1">
        <v>1</v>
      </c>
      <c r="E51">
        <v>1</v>
      </c>
      <c r="F51">
        <v>1</v>
      </c>
      <c r="G51">
        <v>0</v>
      </c>
      <c r="H51" s="4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4">
        <v>0</v>
      </c>
      <c r="O51">
        <v>0</v>
      </c>
      <c r="P51" s="4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4">
        <v>0</v>
      </c>
      <c r="AL51" s="4">
        <v>0</v>
      </c>
      <c r="AM51" s="1">
        <v>1</v>
      </c>
      <c r="AN51" s="1">
        <v>2</v>
      </c>
      <c r="AO51">
        <v>0</v>
      </c>
      <c r="AP51">
        <v>0</v>
      </c>
      <c r="AQ51">
        <v>0</v>
      </c>
      <c r="AR51">
        <v>0</v>
      </c>
      <c r="AS51" s="4">
        <v>0</v>
      </c>
      <c r="AT51" s="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s="1">
        <v>20</v>
      </c>
      <c r="BC51">
        <v>0</v>
      </c>
      <c r="BD51">
        <v>6</v>
      </c>
      <c r="BE51">
        <v>2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s="4">
        <v>0</v>
      </c>
      <c r="BN51">
        <v>0</v>
      </c>
      <c r="BO51">
        <v>0</v>
      </c>
      <c r="BP51" s="1">
        <v>13</v>
      </c>
      <c r="BQ51">
        <v>9</v>
      </c>
      <c r="BR51">
        <v>0</v>
      </c>
      <c r="BS51">
        <v>0</v>
      </c>
      <c r="BT51">
        <v>1</v>
      </c>
      <c r="BU51">
        <v>1</v>
      </c>
      <c r="BV51">
        <v>0</v>
      </c>
      <c r="BW51">
        <v>0</v>
      </c>
      <c r="BX51">
        <v>0</v>
      </c>
      <c r="BY51" s="4">
        <v>0</v>
      </c>
      <c r="BZ51" s="1">
        <v>1</v>
      </c>
      <c r="CA51">
        <v>0</v>
      </c>
      <c r="CB51" s="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0</v>
      </c>
      <c r="CK51">
        <v>0</v>
      </c>
      <c r="CL51" s="4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 s="4">
        <v>0</v>
      </c>
      <c r="CU51">
        <v>1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1</v>
      </c>
      <c r="DB51" s="4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2</v>
      </c>
      <c r="DT51">
        <v>0</v>
      </c>
      <c r="DU51">
        <v>0</v>
      </c>
      <c r="DV51">
        <v>0</v>
      </c>
      <c r="DW51" s="4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s="4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3</v>
      </c>
      <c r="EY51">
        <v>0</v>
      </c>
      <c r="EZ51">
        <v>0</v>
      </c>
      <c r="FA51">
        <v>0</v>
      </c>
      <c r="FB51" s="1">
        <v>4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 s="1">
        <v>1</v>
      </c>
      <c r="GD51">
        <v>0</v>
      </c>
      <c r="GE51">
        <v>1</v>
      </c>
      <c r="GF51">
        <v>1</v>
      </c>
      <c r="GG51">
        <v>0</v>
      </c>
      <c r="GH51" s="1">
        <v>1</v>
      </c>
      <c r="GI51" s="1">
        <v>1</v>
      </c>
      <c r="GJ51" s="4">
        <v>0</v>
      </c>
      <c r="GK51">
        <v>0</v>
      </c>
      <c r="GL51">
        <v>0</v>
      </c>
      <c r="GM51">
        <v>0</v>
      </c>
      <c r="GO51" s="4">
        <f t="shared" si="0"/>
        <v>41</v>
      </c>
      <c r="GP51" s="4">
        <f t="shared" si="1"/>
        <v>96</v>
      </c>
    </row>
    <row r="52" spans="1:198" x14ac:dyDescent="0.3">
      <c r="A52" s="10" t="s">
        <v>664</v>
      </c>
      <c r="B52" s="1">
        <v>3</v>
      </c>
      <c r="C52">
        <v>0</v>
      </c>
      <c r="D52" s="1">
        <v>1</v>
      </c>
      <c r="E52">
        <v>1</v>
      </c>
      <c r="F52">
        <v>1</v>
      </c>
      <c r="G52">
        <v>0</v>
      </c>
      <c r="H52" s="4">
        <v>0</v>
      </c>
      <c r="I52">
        <v>0</v>
      </c>
      <c r="J52">
        <v>1</v>
      </c>
      <c r="K52">
        <v>0</v>
      </c>
      <c r="L52">
        <v>0</v>
      </c>
      <c r="M52">
        <v>0</v>
      </c>
      <c r="N52" s="4">
        <v>0</v>
      </c>
      <c r="O52">
        <v>0</v>
      </c>
      <c r="P52" s="4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4">
        <v>0</v>
      </c>
      <c r="AL52" s="4">
        <v>0</v>
      </c>
      <c r="AM52" s="1">
        <v>1</v>
      </c>
      <c r="AN52" s="1">
        <v>2</v>
      </c>
      <c r="AO52">
        <v>0</v>
      </c>
      <c r="AP52">
        <v>0</v>
      </c>
      <c r="AQ52">
        <v>0</v>
      </c>
      <c r="AR52">
        <v>0</v>
      </c>
      <c r="AS52" s="4">
        <v>0</v>
      </c>
      <c r="AT52" s="1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1">
        <v>12</v>
      </c>
      <c r="BC52">
        <v>0</v>
      </c>
      <c r="BD52">
        <v>6</v>
      </c>
      <c r="BE52">
        <v>2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s="4">
        <v>0</v>
      </c>
      <c r="BN52">
        <v>0</v>
      </c>
      <c r="BO52">
        <v>0</v>
      </c>
      <c r="BP52" s="1">
        <v>4</v>
      </c>
      <c r="BQ52">
        <v>5</v>
      </c>
      <c r="BR52">
        <v>0</v>
      </c>
      <c r="BS52">
        <v>0</v>
      </c>
      <c r="BT52">
        <v>1</v>
      </c>
      <c r="BU52">
        <v>1</v>
      </c>
      <c r="BV52">
        <v>0</v>
      </c>
      <c r="BW52">
        <v>0</v>
      </c>
      <c r="BX52">
        <v>0</v>
      </c>
      <c r="BY52" s="4">
        <v>0</v>
      </c>
      <c r="BZ52" s="1">
        <v>1</v>
      </c>
      <c r="CA52">
        <v>0</v>
      </c>
      <c r="CB52" s="1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0</v>
      </c>
      <c r="CL52" s="4">
        <v>0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 s="4">
        <v>0</v>
      </c>
      <c r="CU52">
        <v>1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1</v>
      </c>
      <c r="DB52" s="4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4</v>
      </c>
      <c r="DT52">
        <v>0</v>
      </c>
      <c r="DU52">
        <v>0</v>
      </c>
      <c r="DV52">
        <v>0</v>
      </c>
      <c r="DW52" s="4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 s="4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3</v>
      </c>
      <c r="EY52">
        <v>0</v>
      </c>
      <c r="EZ52">
        <v>0</v>
      </c>
      <c r="FA52">
        <v>0</v>
      </c>
      <c r="FB52" s="1">
        <v>4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 s="1">
        <v>1</v>
      </c>
      <c r="GD52">
        <v>0</v>
      </c>
      <c r="GE52">
        <v>1</v>
      </c>
      <c r="GF52">
        <v>0</v>
      </c>
      <c r="GG52">
        <v>0</v>
      </c>
      <c r="GH52" s="1">
        <v>1</v>
      </c>
      <c r="GI52" s="1">
        <v>1</v>
      </c>
      <c r="GJ52" s="4">
        <v>0</v>
      </c>
      <c r="GK52">
        <v>0</v>
      </c>
      <c r="GL52">
        <v>0</v>
      </c>
      <c r="GM52">
        <v>0</v>
      </c>
      <c r="GO52" s="4">
        <f t="shared" si="0"/>
        <v>38</v>
      </c>
      <c r="GP52" s="4">
        <f t="shared" si="1"/>
        <v>72</v>
      </c>
    </row>
    <row r="53" spans="1:198" x14ac:dyDescent="0.3">
      <c r="A53" s="10" t="s">
        <v>665</v>
      </c>
      <c r="B53" s="1">
        <v>4</v>
      </c>
      <c r="C53">
        <v>0</v>
      </c>
      <c r="D53" s="1">
        <v>1</v>
      </c>
      <c r="E53">
        <v>1</v>
      </c>
      <c r="F53">
        <v>1</v>
      </c>
      <c r="G53">
        <v>0</v>
      </c>
      <c r="H53" s="4">
        <v>0</v>
      </c>
      <c r="I53">
        <v>0</v>
      </c>
      <c r="J53">
        <v>1</v>
      </c>
      <c r="K53">
        <v>0</v>
      </c>
      <c r="L53">
        <v>0</v>
      </c>
      <c r="M53">
        <v>0</v>
      </c>
      <c r="N53" s="4">
        <v>0</v>
      </c>
      <c r="O53">
        <v>0</v>
      </c>
      <c r="P53" s="4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4">
        <v>0</v>
      </c>
      <c r="AL53" s="4">
        <v>0</v>
      </c>
      <c r="AM53" s="1">
        <v>1</v>
      </c>
      <c r="AN53" s="1">
        <v>1</v>
      </c>
      <c r="AO53">
        <v>0</v>
      </c>
      <c r="AP53">
        <v>0</v>
      </c>
      <c r="AQ53">
        <v>0</v>
      </c>
      <c r="AR53">
        <v>0</v>
      </c>
      <c r="AS53" s="4">
        <v>0</v>
      </c>
      <c r="AT53" s="1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s="1">
        <v>17</v>
      </c>
      <c r="BC53">
        <v>0</v>
      </c>
      <c r="BD53">
        <v>6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 s="4">
        <v>0</v>
      </c>
      <c r="BN53">
        <v>0</v>
      </c>
      <c r="BO53">
        <v>0</v>
      </c>
      <c r="BP53" s="1">
        <v>10</v>
      </c>
      <c r="BQ53">
        <v>11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0</v>
      </c>
      <c r="BX53">
        <v>0</v>
      </c>
      <c r="BY53" s="4">
        <v>0</v>
      </c>
      <c r="BZ53" s="1">
        <v>1</v>
      </c>
      <c r="CA53">
        <v>0</v>
      </c>
      <c r="CB53" s="1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 s="4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 s="4">
        <v>0</v>
      </c>
      <c r="CU53">
        <v>1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1</v>
      </c>
      <c r="DB53" s="4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0</v>
      </c>
      <c r="DU53">
        <v>0</v>
      </c>
      <c r="DV53">
        <v>0</v>
      </c>
      <c r="DW53" s="4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 s="4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2</v>
      </c>
      <c r="EY53">
        <v>0</v>
      </c>
      <c r="EZ53">
        <v>0</v>
      </c>
      <c r="FA53">
        <v>0</v>
      </c>
      <c r="FB53" s="1">
        <v>4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 s="1">
        <v>1</v>
      </c>
      <c r="GD53">
        <v>0</v>
      </c>
      <c r="GE53">
        <v>1</v>
      </c>
      <c r="GF53">
        <v>1</v>
      </c>
      <c r="GG53">
        <v>0</v>
      </c>
      <c r="GH53" s="1">
        <v>1</v>
      </c>
      <c r="GI53" s="1">
        <v>1</v>
      </c>
      <c r="GJ53" s="4">
        <v>0</v>
      </c>
      <c r="GK53">
        <v>0</v>
      </c>
      <c r="GL53">
        <v>0</v>
      </c>
      <c r="GM53">
        <v>0</v>
      </c>
      <c r="GO53" s="4">
        <f t="shared" si="0"/>
        <v>39</v>
      </c>
      <c r="GP53" s="4">
        <f t="shared" si="1"/>
        <v>87</v>
      </c>
    </row>
    <row r="54" spans="1:198" x14ac:dyDescent="0.3">
      <c r="A54" s="10" t="s">
        <v>666</v>
      </c>
      <c r="B54" s="1">
        <v>4</v>
      </c>
      <c r="C54">
        <v>0</v>
      </c>
      <c r="D54" s="1">
        <v>1</v>
      </c>
      <c r="E54">
        <v>1</v>
      </c>
      <c r="F54">
        <v>1</v>
      </c>
      <c r="G54">
        <v>0</v>
      </c>
      <c r="H54" s="4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4">
        <v>0</v>
      </c>
      <c r="O54">
        <v>0</v>
      </c>
      <c r="P54" s="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4">
        <v>0</v>
      </c>
      <c r="AL54" s="4">
        <v>0</v>
      </c>
      <c r="AM54" s="1">
        <v>1</v>
      </c>
      <c r="AN54" s="1">
        <v>1</v>
      </c>
      <c r="AO54">
        <v>0</v>
      </c>
      <c r="AP54">
        <v>0</v>
      </c>
      <c r="AQ54">
        <v>0</v>
      </c>
      <c r="AR54">
        <v>0</v>
      </c>
      <c r="AS54" s="4">
        <v>0</v>
      </c>
      <c r="AT54" s="1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1">
        <v>11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s="4">
        <v>0</v>
      </c>
      <c r="BN54">
        <v>0</v>
      </c>
      <c r="BO54">
        <v>0</v>
      </c>
      <c r="BP54" s="1">
        <v>4</v>
      </c>
      <c r="BQ54">
        <v>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 s="4">
        <v>0</v>
      </c>
      <c r="BZ54" s="1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 s="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 s="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 s="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4</v>
      </c>
      <c r="DT54">
        <v>0</v>
      </c>
      <c r="DU54">
        <v>0</v>
      </c>
      <c r="DV54">
        <v>0</v>
      </c>
      <c r="DW54" s="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 s="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2</v>
      </c>
      <c r="EY54">
        <v>0</v>
      </c>
      <c r="EZ54">
        <v>0</v>
      </c>
      <c r="FA54">
        <v>0</v>
      </c>
      <c r="FB54" s="1">
        <v>3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5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 s="1">
        <v>1</v>
      </c>
      <c r="GD54">
        <v>0</v>
      </c>
      <c r="GE54">
        <v>1</v>
      </c>
      <c r="GF54">
        <v>1</v>
      </c>
      <c r="GG54">
        <v>0</v>
      </c>
      <c r="GH54" s="1">
        <v>1</v>
      </c>
      <c r="GI54" s="1">
        <v>1</v>
      </c>
      <c r="GJ54" s="4">
        <v>0</v>
      </c>
      <c r="GK54">
        <v>0</v>
      </c>
      <c r="GL54">
        <v>0</v>
      </c>
      <c r="GM54">
        <v>0</v>
      </c>
      <c r="GO54" s="4">
        <f t="shared" si="0"/>
        <v>26</v>
      </c>
      <c r="GP54" s="4">
        <f t="shared" si="1"/>
        <v>56</v>
      </c>
    </row>
    <row r="55" spans="1:198" x14ac:dyDescent="0.3">
      <c r="A55" s="10" t="s">
        <v>670</v>
      </c>
      <c r="B55" s="1">
        <v>2</v>
      </c>
      <c r="C55">
        <v>0</v>
      </c>
      <c r="D55" s="1">
        <v>1</v>
      </c>
      <c r="E55">
        <v>1</v>
      </c>
      <c r="F55">
        <v>1</v>
      </c>
      <c r="G55">
        <v>0</v>
      </c>
      <c r="H55" s="4">
        <v>0</v>
      </c>
      <c r="I55">
        <v>0</v>
      </c>
      <c r="J55">
        <v>1</v>
      </c>
      <c r="K55">
        <v>0</v>
      </c>
      <c r="L55">
        <v>0</v>
      </c>
      <c r="M55">
        <v>0</v>
      </c>
      <c r="N55" s="4">
        <v>0</v>
      </c>
      <c r="O55">
        <v>1</v>
      </c>
      <c r="P55" s="4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s="4">
        <v>0</v>
      </c>
      <c r="AL55" s="4">
        <v>0</v>
      </c>
      <c r="AM55" s="1">
        <v>1</v>
      </c>
      <c r="AN55" s="1">
        <v>1</v>
      </c>
      <c r="AO55">
        <v>0</v>
      </c>
      <c r="AP55">
        <v>0</v>
      </c>
      <c r="AQ55">
        <v>0</v>
      </c>
      <c r="AR55">
        <v>0</v>
      </c>
      <c r="AS55" s="4">
        <v>0</v>
      </c>
      <c r="AT55" s="1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s="1">
        <v>8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s="4">
        <v>0</v>
      </c>
      <c r="BN55">
        <v>0</v>
      </c>
      <c r="BO55">
        <v>0</v>
      </c>
      <c r="BP55" s="1">
        <v>2</v>
      </c>
      <c r="BQ55">
        <v>6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3</v>
      </c>
      <c r="BX55">
        <v>0</v>
      </c>
      <c r="BY55" s="4">
        <v>0</v>
      </c>
      <c r="BZ55" s="1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0</v>
      </c>
      <c r="CL55" s="4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 s="4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 s="4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 s="4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s="4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 s="1">
        <v>3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8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1</v>
      </c>
      <c r="FX55">
        <v>0</v>
      </c>
      <c r="FY55">
        <v>0</v>
      </c>
      <c r="FZ55">
        <v>0</v>
      </c>
      <c r="GA55">
        <v>0</v>
      </c>
      <c r="GB55">
        <v>1</v>
      </c>
      <c r="GC55" s="1">
        <v>1</v>
      </c>
      <c r="GD55">
        <v>0</v>
      </c>
      <c r="GE55">
        <v>0</v>
      </c>
      <c r="GF55">
        <v>1</v>
      </c>
      <c r="GG55">
        <v>0</v>
      </c>
      <c r="GH55" s="1">
        <v>1</v>
      </c>
      <c r="GI55" s="1">
        <v>1</v>
      </c>
      <c r="GJ55" s="4">
        <v>0</v>
      </c>
      <c r="GK55">
        <v>0</v>
      </c>
      <c r="GL55">
        <v>0</v>
      </c>
      <c r="GM55">
        <v>0</v>
      </c>
      <c r="GO55" s="4">
        <f t="shared" si="0"/>
        <v>34</v>
      </c>
      <c r="GP55" s="4">
        <f t="shared" si="1"/>
        <v>60</v>
      </c>
    </row>
    <row r="56" spans="1:198" x14ac:dyDescent="0.3">
      <c r="A56" s="10" t="s">
        <v>669</v>
      </c>
      <c r="B56" s="1">
        <v>2</v>
      </c>
      <c r="C56">
        <v>0</v>
      </c>
      <c r="D56" s="1">
        <v>1</v>
      </c>
      <c r="E56">
        <v>0</v>
      </c>
      <c r="F56">
        <v>1</v>
      </c>
      <c r="G56">
        <v>0</v>
      </c>
      <c r="H56" s="4">
        <v>0</v>
      </c>
      <c r="I56">
        <v>1</v>
      </c>
      <c r="J56">
        <v>0</v>
      </c>
      <c r="K56">
        <v>0</v>
      </c>
      <c r="L56">
        <v>0</v>
      </c>
      <c r="M56">
        <v>0</v>
      </c>
      <c r="N56" s="4">
        <v>0</v>
      </c>
      <c r="O56">
        <v>0</v>
      </c>
      <c r="P56" s="4">
        <v>0</v>
      </c>
      <c r="Q56">
        <v>0</v>
      </c>
      <c r="R56">
        <v>0</v>
      </c>
      <c r="S56">
        <v>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4">
        <v>0</v>
      </c>
      <c r="AL56" s="4">
        <v>0</v>
      </c>
      <c r="AM56" s="1">
        <v>1</v>
      </c>
      <c r="AN56" s="1">
        <v>1</v>
      </c>
      <c r="AO56">
        <v>0</v>
      </c>
      <c r="AP56">
        <v>0</v>
      </c>
      <c r="AQ56">
        <v>0</v>
      </c>
      <c r="AR56">
        <v>1</v>
      </c>
      <c r="AS56" s="4">
        <v>0</v>
      </c>
      <c r="AT56" s="1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s="1">
        <v>7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s="4">
        <v>0</v>
      </c>
      <c r="BN56">
        <v>0</v>
      </c>
      <c r="BO56">
        <v>0</v>
      </c>
      <c r="BP56" s="1">
        <v>3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 s="4">
        <v>0</v>
      </c>
      <c r="BZ56" s="1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 s="4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s="4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1</v>
      </c>
      <c r="DB56" s="4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 s="4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 s="4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13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 s="1">
        <v>4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s="1">
        <v>1</v>
      </c>
      <c r="GD56">
        <v>0</v>
      </c>
      <c r="GE56">
        <v>0</v>
      </c>
      <c r="GF56">
        <v>1</v>
      </c>
      <c r="GG56">
        <v>0</v>
      </c>
      <c r="GH56" s="1">
        <v>1</v>
      </c>
      <c r="GI56" s="1">
        <v>1</v>
      </c>
      <c r="GJ56" s="4">
        <v>0</v>
      </c>
      <c r="GK56">
        <v>0</v>
      </c>
      <c r="GL56">
        <v>0</v>
      </c>
      <c r="GM56">
        <v>0</v>
      </c>
      <c r="GO56" s="4">
        <f t="shared" si="0"/>
        <v>28</v>
      </c>
      <c r="GP56" s="4">
        <f t="shared" si="1"/>
        <v>64</v>
      </c>
    </row>
    <row r="57" spans="1:198" x14ac:dyDescent="0.3">
      <c r="A57" s="10" t="s">
        <v>668</v>
      </c>
      <c r="B57" s="1">
        <v>5</v>
      </c>
      <c r="C57">
        <v>0</v>
      </c>
      <c r="D57" s="1">
        <v>1</v>
      </c>
      <c r="E57">
        <v>1</v>
      </c>
      <c r="F57">
        <v>2</v>
      </c>
      <c r="G57">
        <v>0</v>
      </c>
      <c r="H57" s="4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4">
        <v>0</v>
      </c>
      <c r="O57">
        <v>0</v>
      </c>
      <c r="P57" s="4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s="4">
        <v>0</v>
      </c>
      <c r="AL57" s="4">
        <v>0</v>
      </c>
      <c r="AM57" s="1">
        <v>1</v>
      </c>
      <c r="AN57" s="1">
        <v>1</v>
      </c>
      <c r="AO57">
        <v>0</v>
      </c>
      <c r="AP57">
        <v>0</v>
      </c>
      <c r="AQ57">
        <v>0</v>
      </c>
      <c r="AR57">
        <v>0</v>
      </c>
      <c r="AS57" s="4">
        <v>0</v>
      </c>
      <c r="AT57" s="1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s="1">
        <v>16</v>
      </c>
      <c r="BC57">
        <v>0</v>
      </c>
      <c r="BD57">
        <v>6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 s="4">
        <v>0</v>
      </c>
      <c r="BN57">
        <v>0</v>
      </c>
      <c r="BO57">
        <v>0</v>
      </c>
      <c r="BP57" s="1">
        <v>14</v>
      </c>
      <c r="BQ57">
        <v>8</v>
      </c>
      <c r="BR57">
        <v>0</v>
      </c>
      <c r="BS57">
        <v>0</v>
      </c>
      <c r="BT57">
        <v>1</v>
      </c>
      <c r="BU57">
        <v>1</v>
      </c>
      <c r="BV57">
        <v>0</v>
      </c>
      <c r="BW57">
        <v>0</v>
      </c>
      <c r="BX57">
        <v>0</v>
      </c>
      <c r="BY57" s="4">
        <v>0</v>
      </c>
      <c r="BZ57" s="1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 s="4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 s="4">
        <v>0</v>
      </c>
      <c r="CU57">
        <v>1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1</v>
      </c>
      <c r="DB57" s="4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 s="4">
        <v>0</v>
      </c>
      <c r="DX57">
        <v>0</v>
      </c>
      <c r="DY57">
        <v>1</v>
      </c>
      <c r="DZ57">
        <v>0</v>
      </c>
      <c r="EA57">
        <v>0</v>
      </c>
      <c r="EB57">
        <v>0</v>
      </c>
      <c r="EC57" s="4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1</v>
      </c>
      <c r="EY57">
        <v>0</v>
      </c>
      <c r="EZ57">
        <v>0</v>
      </c>
      <c r="FA57">
        <v>0</v>
      </c>
      <c r="FB57" s="1">
        <v>3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0</v>
      </c>
      <c r="GC57" s="1">
        <v>1</v>
      </c>
      <c r="GD57">
        <v>0</v>
      </c>
      <c r="GE57">
        <v>0</v>
      </c>
      <c r="GF57">
        <v>1</v>
      </c>
      <c r="GG57">
        <v>0</v>
      </c>
      <c r="GH57" s="1">
        <v>1</v>
      </c>
      <c r="GI57" s="1">
        <v>1</v>
      </c>
      <c r="GJ57" s="4">
        <v>0</v>
      </c>
      <c r="GK57">
        <v>0</v>
      </c>
      <c r="GL57">
        <v>0</v>
      </c>
      <c r="GM57">
        <v>0</v>
      </c>
      <c r="GO57" s="4">
        <f t="shared" si="0"/>
        <v>34</v>
      </c>
      <c r="GP57" s="4">
        <f t="shared" si="1"/>
        <v>81</v>
      </c>
    </row>
    <row r="58" spans="1:198" x14ac:dyDescent="0.3">
      <c r="A58" s="10" t="s">
        <v>667</v>
      </c>
      <c r="B58" s="1">
        <v>1</v>
      </c>
      <c r="C58">
        <v>1</v>
      </c>
      <c r="D58" s="1">
        <v>1</v>
      </c>
      <c r="E58">
        <v>0</v>
      </c>
      <c r="F58">
        <v>1</v>
      </c>
      <c r="G58">
        <v>0</v>
      </c>
      <c r="H58" s="4">
        <v>0</v>
      </c>
      <c r="I58">
        <v>2</v>
      </c>
      <c r="J58">
        <v>1</v>
      </c>
      <c r="K58">
        <v>0</v>
      </c>
      <c r="L58">
        <v>0</v>
      </c>
      <c r="M58">
        <v>0</v>
      </c>
      <c r="N58" s="4">
        <v>0</v>
      </c>
      <c r="O58">
        <v>0</v>
      </c>
      <c r="P58" s="4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s="4">
        <v>0</v>
      </c>
      <c r="AL58" s="4">
        <v>0</v>
      </c>
      <c r="AM58" s="1">
        <v>1</v>
      </c>
      <c r="AN58" s="1">
        <v>1</v>
      </c>
      <c r="AO58">
        <v>0</v>
      </c>
      <c r="AP58">
        <v>0</v>
      </c>
      <c r="AQ58">
        <v>0</v>
      </c>
      <c r="AR58">
        <v>0</v>
      </c>
      <c r="AS58" s="4">
        <v>0</v>
      </c>
      <c r="AT58" s="1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s="1">
        <v>10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s="4">
        <v>0</v>
      </c>
      <c r="BN58">
        <v>0</v>
      </c>
      <c r="BO58">
        <v>0</v>
      </c>
      <c r="BP58" s="1">
        <v>0</v>
      </c>
      <c r="BQ58">
        <v>9</v>
      </c>
      <c r="BR58">
        <v>0</v>
      </c>
      <c r="BS58">
        <v>0</v>
      </c>
      <c r="BT58">
        <v>1</v>
      </c>
      <c r="BU58">
        <v>1</v>
      </c>
      <c r="BV58">
        <v>0</v>
      </c>
      <c r="BW58">
        <v>0</v>
      </c>
      <c r="BX58">
        <v>0</v>
      </c>
      <c r="BY58" s="4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2</v>
      </c>
      <c r="CJ58">
        <v>0</v>
      </c>
      <c r="CK58">
        <v>0</v>
      </c>
      <c r="CL58" s="4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 s="4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1</v>
      </c>
      <c r="DB58" s="4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 s="4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 s="4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 s="1">
        <v>7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 s="1">
        <v>1</v>
      </c>
      <c r="GD58">
        <v>0</v>
      </c>
      <c r="GE58">
        <v>0</v>
      </c>
      <c r="GF58">
        <v>1</v>
      </c>
      <c r="GG58">
        <v>0</v>
      </c>
      <c r="GH58" s="1">
        <v>1</v>
      </c>
      <c r="GI58" s="1">
        <v>1</v>
      </c>
      <c r="GJ58" s="4">
        <v>0</v>
      </c>
      <c r="GK58">
        <v>0</v>
      </c>
      <c r="GL58">
        <v>0</v>
      </c>
      <c r="GM58">
        <v>0</v>
      </c>
      <c r="GO58" s="4">
        <f t="shared" si="0"/>
        <v>27</v>
      </c>
      <c r="GP58" s="4">
        <f t="shared" si="1"/>
        <v>59</v>
      </c>
    </row>
    <row r="59" spans="1:198" x14ac:dyDescent="0.3">
      <c r="A59" s="10" t="s">
        <v>671</v>
      </c>
      <c r="B59" s="1">
        <v>3</v>
      </c>
      <c r="C59">
        <v>0</v>
      </c>
      <c r="D59" s="1">
        <v>1</v>
      </c>
      <c r="E59">
        <v>1</v>
      </c>
      <c r="F59">
        <v>1</v>
      </c>
      <c r="G59">
        <v>0</v>
      </c>
      <c r="H59" s="4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4">
        <v>0</v>
      </c>
      <c r="O59">
        <v>0</v>
      </c>
      <c r="P59" s="4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s="4">
        <v>0</v>
      </c>
      <c r="AL59" s="4">
        <v>0</v>
      </c>
      <c r="AM59" s="1">
        <v>1</v>
      </c>
      <c r="AN59" s="1">
        <v>1</v>
      </c>
      <c r="AO59">
        <v>0</v>
      </c>
      <c r="AP59">
        <v>0</v>
      </c>
      <c r="AQ59">
        <v>0</v>
      </c>
      <c r="AR59">
        <v>0</v>
      </c>
      <c r="AS59" s="4">
        <v>0</v>
      </c>
      <c r="AT59" s="1">
        <v>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s="1">
        <v>18</v>
      </c>
      <c r="BC59">
        <v>0</v>
      </c>
      <c r="BD59">
        <v>6</v>
      </c>
      <c r="BE59">
        <v>2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0</v>
      </c>
      <c r="BM59" s="4">
        <v>0</v>
      </c>
      <c r="BN59">
        <v>0</v>
      </c>
      <c r="BO59">
        <v>0</v>
      </c>
      <c r="BP59" s="1">
        <v>3</v>
      </c>
      <c r="BQ59">
        <v>15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0</v>
      </c>
      <c r="BX59">
        <v>0</v>
      </c>
      <c r="BY59" s="4">
        <v>0</v>
      </c>
      <c r="BZ59" s="1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 s="4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 s="4">
        <v>0</v>
      </c>
      <c r="CU59">
        <v>2</v>
      </c>
      <c r="CV59">
        <v>2</v>
      </c>
      <c r="CW59">
        <v>0</v>
      </c>
      <c r="CX59">
        <v>0</v>
      </c>
      <c r="CY59">
        <v>0</v>
      </c>
      <c r="CZ59">
        <v>0</v>
      </c>
      <c r="DA59">
        <v>2</v>
      </c>
      <c r="DB59" s="4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 s="4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 s="4">
        <v>0</v>
      </c>
      <c r="ED59">
        <v>1</v>
      </c>
      <c r="EE59">
        <v>0</v>
      </c>
      <c r="EF59">
        <v>0</v>
      </c>
      <c r="EG59">
        <v>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2</v>
      </c>
      <c r="EY59">
        <v>0</v>
      </c>
      <c r="EZ59">
        <v>0</v>
      </c>
      <c r="FA59">
        <v>0</v>
      </c>
      <c r="FB59" s="1">
        <v>8</v>
      </c>
      <c r="FC59">
        <v>0</v>
      </c>
      <c r="FD59">
        <v>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</v>
      </c>
      <c r="FN59">
        <v>0</v>
      </c>
      <c r="FO59">
        <v>3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1</v>
      </c>
      <c r="GB59">
        <v>1</v>
      </c>
      <c r="GC59" s="1">
        <v>1</v>
      </c>
      <c r="GD59">
        <v>0</v>
      </c>
      <c r="GE59">
        <v>0</v>
      </c>
      <c r="GF59">
        <v>1</v>
      </c>
      <c r="GG59">
        <v>0</v>
      </c>
      <c r="GH59" s="1">
        <v>1</v>
      </c>
      <c r="GI59" s="1">
        <v>1</v>
      </c>
      <c r="GJ59" s="4">
        <v>0</v>
      </c>
      <c r="GK59">
        <v>0</v>
      </c>
      <c r="GL59">
        <v>0</v>
      </c>
      <c r="GM59">
        <v>0</v>
      </c>
      <c r="GO59" s="4">
        <f t="shared" si="0"/>
        <v>42</v>
      </c>
      <c r="GP59" s="4">
        <f t="shared" si="1"/>
        <v>100</v>
      </c>
    </row>
    <row r="60" spans="1:198" x14ac:dyDescent="0.3">
      <c r="A60" s="10" t="s">
        <v>672</v>
      </c>
      <c r="B60" s="1">
        <v>3</v>
      </c>
      <c r="C60">
        <v>0</v>
      </c>
      <c r="D60" s="1">
        <v>1</v>
      </c>
      <c r="E60">
        <v>0</v>
      </c>
      <c r="F60">
        <v>1</v>
      </c>
      <c r="G60">
        <v>0</v>
      </c>
      <c r="H60" s="4">
        <v>0</v>
      </c>
      <c r="I60">
        <v>0</v>
      </c>
      <c r="J60">
        <v>1</v>
      </c>
      <c r="K60">
        <v>0</v>
      </c>
      <c r="L60">
        <v>0</v>
      </c>
      <c r="M60">
        <v>0</v>
      </c>
      <c r="N60" s="4">
        <v>0</v>
      </c>
      <c r="O60">
        <v>0</v>
      </c>
      <c r="P60" s="4">
        <v>0</v>
      </c>
      <c r="Q60">
        <v>0</v>
      </c>
      <c r="R60">
        <v>0</v>
      </c>
      <c r="S60">
        <v>4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s="4">
        <v>0</v>
      </c>
      <c r="AL60" s="4">
        <v>0</v>
      </c>
      <c r="AM60" s="1">
        <v>1</v>
      </c>
      <c r="AN60" s="1">
        <v>1</v>
      </c>
      <c r="AO60">
        <v>0</v>
      </c>
      <c r="AP60">
        <v>0</v>
      </c>
      <c r="AQ60">
        <v>0</v>
      </c>
      <c r="AR60">
        <v>0</v>
      </c>
      <c r="AS60" s="4">
        <v>0</v>
      </c>
      <c r="AT60" s="1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s="1">
        <v>8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s="4">
        <v>0</v>
      </c>
      <c r="BN60">
        <v>0</v>
      </c>
      <c r="BO60">
        <v>0</v>
      </c>
      <c r="BP60" s="1">
        <v>6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s="4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 s="4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 s="4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 s="4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 s="4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 s="4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 s="1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</v>
      </c>
      <c r="GB60">
        <v>1</v>
      </c>
      <c r="GC60" s="1">
        <v>1</v>
      </c>
      <c r="GD60">
        <v>0</v>
      </c>
      <c r="GE60">
        <v>0</v>
      </c>
      <c r="GF60">
        <v>1</v>
      </c>
      <c r="GG60">
        <v>0</v>
      </c>
      <c r="GH60" s="1">
        <v>1</v>
      </c>
      <c r="GI60" s="1">
        <v>1</v>
      </c>
      <c r="GJ60" s="4">
        <v>0</v>
      </c>
      <c r="GK60">
        <v>0</v>
      </c>
      <c r="GL60">
        <v>0</v>
      </c>
      <c r="GM60">
        <v>0</v>
      </c>
      <c r="GO60" s="4">
        <f t="shared" si="0"/>
        <v>23</v>
      </c>
      <c r="GP60" s="4">
        <f t="shared" si="1"/>
        <v>39</v>
      </c>
    </row>
    <row r="61" spans="1:198" x14ac:dyDescent="0.3">
      <c r="A61" s="10" t="s">
        <v>673</v>
      </c>
      <c r="B61" s="1">
        <v>4</v>
      </c>
      <c r="C61">
        <v>1</v>
      </c>
      <c r="D61" s="1">
        <v>1</v>
      </c>
      <c r="E61">
        <v>1</v>
      </c>
      <c r="F61">
        <v>1</v>
      </c>
      <c r="G61">
        <v>0</v>
      </c>
      <c r="H61" s="4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4">
        <v>0</v>
      </c>
      <c r="O61">
        <v>1</v>
      </c>
      <c r="P61" s="4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 s="4">
        <v>0</v>
      </c>
      <c r="AL61" s="4">
        <v>0</v>
      </c>
      <c r="AM61" s="1">
        <v>1</v>
      </c>
      <c r="AN61" s="1">
        <v>2</v>
      </c>
      <c r="AO61">
        <v>0</v>
      </c>
      <c r="AP61">
        <v>1</v>
      </c>
      <c r="AQ61">
        <v>1</v>
      </c>
      <c r="AR61">
        <v>1</v>
      </c>
      <c r="AS61" s="4">
        <v>0</v>
      </c>
      <c r="AT61" s="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s="1">
        <v>10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0</v>
      </c>
      <c r="BM61" s="4">
        <v>0</v>
      </c>
      <c r="BN61">
        <v>0</v>
      </c>
      <c r="BO61">
        <v>0</v>
      </c>
      <c r="BP61" s="1">
        <v>1</v>
      </c>
      <c r="BQ61">
        <v>1</v>
      </c>
      <c r="BR61">
        <v>0</v>
      </c>
      <c r="BS61">
        <v>0</v>
      </c>
      <c r="BT61">
        <v>1</v>
      </c>
      <c r="BU61">
        <v>1</v>
      </c>
      <c r="BV61">
        <v>0</v>
      </c>
      <c r="BW61">
        <v>0</v>
      </c>
      <c r="BX61">
        <v>0</v>
      </c>
      <c r="BY61" s="4">
        <v>0</v>
      </c>
      <c r="BZ61" s="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0</v>
      </c>
      <c r="CK61">
        <v>0</v>
      </c>
      <c r="CL61" s="4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s="4">
        <v>0</v>
      </c>
      <c r="CU61">
        <v>1</v>
      </c>
      <c r="CV61">
        <v>1</v>
      </c>
      <c r="CW61">
        <v>0</v>
      </c>
      <c r="CX61">
        <v>2</v>
      </c>
      <c r="CY61">
        <v>0</v>
      </c>
      <c r="CZ61">
        <v>0</v>
      </c>
      <c r="DA61">
        <v>1</v>
      </c>
      <c r="DB61" s="4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 s="4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 s="4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4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 s="1">
        <v>4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1</v>
      </c>
      <c r="FK61">
        <v>1</v>
      </c>
      <c r="FL61">
        <v>0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1</v>
      </c>
      <c r="FX61">
        <v>0</v>
      </c>
      <c r="FY61">
        <v>0</v>
      </c>
      <c r="FZ61">
        <v>0</v>
      </c>
      <c r="GA61">
        <v>1</v>
      </c>
      <c r="GB61">
        <v>1</v>
      </c>
      <c r="GC61" s="1">
        <v>1</v>
      </c>
      <c r="GD61">
        <v>0</v>
      </c>
      <c r="GE61">
        <v>0</v>
      </c>
      <c r="GF61">
        <v>1</v>
      </c>
      <c r="GG61">
        <v>1</v>
      </c>
      <c r="GH61" s="1">
        <v>1</v>
      </c>
      <c r="GI61" s="1">
        <v>1</v>
      </c>
      <c r="GJ61" s="4">
        <v>0</v>
      </c>
      <c r="GK61">
        <v>0</v>
      </c>
      <c r="GL61">
        <v>0</v>
      </c>
      <c r="GM61">
        <v>0</v>
      </c>
      <c r="GO61" s="4">
        <f t="shared" si="0"/>
        <v>51</v>
      </c>
      <c r="GP61" s="4">
        <f t="shared" si="1"/>
        <v>71</v>
      </c>
    </row>
    <row r="62" spans="1:198" x14ac:dyDescent="0.3">
      <c r="A62" s="10" t="s">
        <v>674</v>
      </c>
      <c r="B62" s="1">
        <v>3</v>
      </c>
      <c r="C62">
        <v>0</v>
      </c>
      <c r="D62" s="1">
        <v>1</v>
      </c>
      <c r="E62">
        <v>1</v>
      </c>
      <c r="F62">
        <v>1</v>
      </c>
      <c r="G62">
        <v>0</v>
      </c>
      <c r="H62" s="4">
        <v>0</v>
      </c>
      <c r="I62">
        <v>0</v>
      </c>
      <c r="J62">
        <v>1</v>
      </c>
      <c r="K62">
        <v>0</v>
      </c>
      <c r="L62">
        <v>0</v>
      </c>
      <c r="M62">
        <v>0</v>
      </c>
      <c r="N62" s="4">
        <v>0</v>
      </c>
      <c r="O62">
        <v>0</v>
      </c>
      <c r="P62" s="4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 s="4">
        <v>0</v>
      </c>
      <c r="AL62" s="4">
        <v>0</v>
      </c>
      <c r="AM62" s="1">
        <v>1</v>
      </c>
      <c r="AN62" s="1">
        <v>1</v>
      </c>
      <c r="AO62">
        <v>1</v>
      </c>
      <c r="AP62">
        <v>0</v>
      </c>
      <c r="AQ62">
        <v>0</v>
      </c>
      <c r="AR62">
        <v>0</v>
      </c>
      <c r="AS62" s="4">
        <v>0</v>
      </c>
      <c r="AT62" s="1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s="1">
        <v>15</v>
      </c>
      <c r="BC62">
        <v>0</v>
      </c>
      <c r="BD62">
        <v>6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 s="4">
        <v>0</v>
      </c>
      <c r="BN62">
        <v>0</v>
      </c>
      <c r="BO62">
        <v>0</v>
      </c>
      <c r="BP62" s="1">
        <v>8</v>
      </c>
      <c r="BQ62">
        <v>1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 s="4">
        <v>0</v>
      </c>
      <c r="BZ62" s="1">
        <v>1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 s="4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 s="4">
        <v>0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1</v>
      </c>
      <c r="DB62" s="4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3</v>
      </c>
      <c r="DT62">
        <v>0</v>
      </c>
      <c r="DU62">
        <v>0</v>
      </c>
      <c r="DV62">
        <v>0</v>
      </c>
      <c r="DW62" s="4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s="4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2</v>
      </c>
      <c r="EY62">
        <v>0</v>
      </c>
      <c r="EZ62">
        <v>0</v>
      </c>
      <c r="FA62">
        <v>0</v>
      </c>
      <c r="FB62" s="1">
        <v>4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 s="1">
        <v>1</v>
      </c>
      <c r="GD62">
        <v>0</v>
      </c>
      <c r="GE62">
        <v>0</v>
      </c>
      <c r="GF62">
        <v>1</v>
      </c>
      <c r="GG62">
        <v>0</v>
      </c>
      <c r="GH62" s="1">
        <v>1</v>
      </c>
      <c r="GI62" s="1">
        <v>1</v>
      </c>
      <c r="GJ62" s="4">
        <v>0</v>
      </c>
      <c r="GK62">
        <v>0</v>
      </c>
      <c r="GL62">
        <v>0</v>
      </c>
      <c r="GM62">
        <v>0</v>
      </c>
      <c r="GO62" s="4">
        <f t="shared" si="0"/>
        <v>37</v>
      </c>
      <c r="GP62" s="4">
        <f t="shared" si="1"/>
        <v>70</v>
      </c>
    </row>
    <row r="63" spans="1:198" x14ac:dyDescent="0.3">
      <c r="A63" s="10" t="s">
        <v>675</v>
      </c>
      <c r="B63" s="1">
        <v>3</v>
      </c>
      <c r="C63">
        <v>0</v>
      </c>
      <c r="D63" s="1">
        <v>1</v>
      </c>
      <c r="E63">
        <v>0</v>
      </c>
      <c r="F63">
        <v>2</v>
      </c>
      <c r="G63">
        <v>0</v>
      </c>
      <c r="H63" s="4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4">
        <v>0</v>
      </c>
      <c r="O63">
        <v>0</v>
      </c>
      <c r="P63" s="4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4">
        <v>0</v>
      </c>
      <c r="AL63" s="4">
        <v>0</v>
      </c>
      <c r="AM63" s="1">
        <v>1</v>
      </c>
      <c r="AN63" s="1">
        <v>1</v>
      </c>
      <c r="AO63">
        <v>0</v>
      </c>
      <c r="AP63">
        <v>0</v>
      </c>
      <c r="AQ63">
        <v>0</v>
      </c>
      <c r="AR63">
        <v>0</v>
      </c>
      <c r="AS63" s="4">
        <v>0</v>
      </c>
      <c r="AT63" s="1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s="1">
        <v>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s="4">
        <v>0</v>
      </c>
      <c r="BN63">
        <v>0</v>
      </c>
      <c r="BO63">
        <v>0</v>
      </c>
      <c r="BP63" s="1">
        <v>3</v>
      </c>
      <c r="BQ63">
        <v>1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 s="4">
        <v>0</v>
      </c>
      <c r="BZ63" s="1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 s="4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 s="4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 s="4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 s="4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 s="4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 s="1">
        <v>4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 s="1">
        <v>1</v>
      </c>
      <c r="GD63">
        <v>0</v>
      </c>
      <c r="GE63">
        <v>0</v>
      </c>
      <c r="GF63">
        <v>1</v>
      </c>
      <c r="GG63">
        <v>0</v>
      </c>
      <c r="GH63" s="1">
        <v>1</v>
      </c>
      <c r="GI63" s="1">
        <v>1</v>
      </c>
      <c r="GJ63" s="4">
        <v>0</v>
      </c>
      <c r="GK63">
        <v>0</v>
      </c>
      <c r="GL63">
        <v>0</v>
      </c>
      <c r="GM63">
        <v>0</v>
      </c>
      <c r="GO63" s="4">
        <f t="shared" si="0"/>
        <v>20</v>
      </c>
      <c r="GP63" s="4">
        <f t="shared" si="1"/>
        <v>33</v>
      </c>
    </row>
    <row r="64" spans="1:198" x14ac:dyDescent="0.3">
      <c r="A64" s="10" t="s">
        <v>676</v>
      </c>
      <c r="B64" s="1">
        <v>3</v>
      </c>
      <c r="C64">
        <v>1</v>
      </c>
      <c r="D64" s="1">
        <v>1</v>
      </c>
      <c r="E64">
        <v>1</v>
      </c>
      <c r="F64">
        <v>1</v>
      </c>
      <c r="G64">
        <v>0</v>
      </c>
      <c r="H64" s="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4">
        <v>0</v>
      </c>
      <c r="O64">
        <v>0</v>
      </c>
      <c r="P64" s="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s="4">
        <v>0</v>
      </c>
      <c r="AL64" s="4">
        <v>0</v>
      </c>
      <c r="AM64" s="1">
        <v>1</v>
      </c>
      <c r="AN64" s="1">
        <v>0</v>
      </c>
      <c r="AO64">
        <v>0</v>
      </c>
      <c r="AP64">
        <v>0</v>
      </c>
      <c r="AQ64">
        <v>1</v>
      </c>
      <c r="AR64">
        <v>1</v>
      </c>
      <c r="AS64" s="4">
        <v>0</v>
      </c>
      <c r="AT64" s="1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s="1">
        <v>11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s="4">
        <v>0</v>
      </c>
      <c r="BN64">
        <v>0</v>
      </c>
      <c r="BO64">
        <v>0</v>
      </c>
      <c r="BP64" s="1">
        <v>3</v>
      </c>
      <c r="BQ64">
        <v>13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2</v>
      </c>
      <c r="BX64">
        <v>0</v>
      </c>
      <c r="BY64" s="4">
        <v>0</v>
      </c>
      <c r="BZ64" s="1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 s="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 s="4">
        <v>0</v>
      </c>
      <c r="CU64">
        <v>1</v>
      </c>
      <c r="CV64">
        <v>1</v>
      </c>
      <c r="CW64">
        <v>0</v>
      </c>
      <c r="CX64">
        <v>2</v>
      </c>
      <c r="CY64">
        <v>0</v>
      </c>
      <c r="CZ64">
        <v>0</v>
      </c>
      <c r="DA64">
        <v>1</v>
      </c>
      <c r="DB64" s="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 s="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 s="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 s="1">
        <v>4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1</v>
      </c>
      <c r="FI64">
        <v>0</v>
      </c>
      <c r="FJ64">
        <v>1</v>
      </c>
      <c r="FK64">
        <v>1</v>
      </c>
      <c r="FL64">
        <v>0</v>
      </c>
      <c r="FM64">
        <v>0</v>
      </c>
      <c r="FN64">
        <v>0</v>
      </c>
      <c r="FO64">
        <v>2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 s="1">
        <v>1</v>
      </c>
      <c r="GD64">
        <v>0</v>
      </c>
      <c r="GE64">
        <v>0</v>
      </c>
      <c r="GF64">
        <v>1</v>
      </c>
      <c r="GG64">
        <v>0</v>
      </c>
      <c r="GH64" s="1">
        <v>1</v>
      </c>
      <c r="GI64" s="1">
        <v>1</v>
      </c>
      <c r="GJ64" s="4">
        <v>0</v>
      </c>
      <c r="GK64">
        <v>0</v>
      </c>
      <c r="GL64">
        <v>0</v>
      </c>
      <c r="GM64">
        <v>0</v>
      </c>
      <c r="GO64" s="4">
        <f t="shared" si="0"/>
        <v>33</v>
      </c>
      <c r="GP64" s="4">
        <f t="shared" si="1"/>
        <v>64</v>
      </c>
    </row>
    <row r="65" spans="1:198" x14ac:dyDescent="0.3">
      <c r="A65" s="10" t="s">
        <v>677</v>
      </c>
      <c r="B65" s="1">
        <v>3</v>
      </c>
      <c r="C65">
        <v>0</v>
      </c>
      <c r="D65" s="1">
        <v>1</v>
      </c>
      <c r="E65">
        <v>1</v>
      </c>
      <c r="F65">
        <v>1</v>
      </c>
      <c r="G65">
        <v>0</v>
      </c>
      <c r="H65" s="4">
        <v>0</v>
      </c>
      <c r="I65">
        <v>1</v>
      </c>
      <c r="J65">
        <v>1</v>
      </c>
      <c r="K65">
        <v>0</v>
      </c>
      <c r="L65">
        <v>0</v>
      </c>
      <c r="M65">
        <v>0</v>
      </c>
      <c r="N65" s="4">
        <v>0</v>
      </c>
      <c r="O65">
        <v>0</v>
      </c>
      <c r="P65" s="4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 s="4">
        <v>0</v>
      </c>
      <c r="AL65" s="4">
        <v>0</v>
      </c>
      <c r="AM65" s="1">
        <v>1</v>
      </c>
      <c r="AN65" s="1">
        <v>0</v>
      </c>
      <c r="AO65">
        <v>0</v>
      </c>
      <c r="AP65">
        <v>0</v>
      </c>
      <c r="AQ65">
        <v>0</v>
      </c>
      <c r="AR65">
        <v>1</v>
      </c>
      <c r="AS65" s="4">
        <v>0</v>
      </c>
      <c r="AT65" s="1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 s="1">
        <v>12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s="4">
        <v>0</v>
      </c>
      <c r="BN65">
        <v>0</v>
      </c>
      <c r="BO65">
        <v>0</v>
      </c>
      <c r="BP65" s="1">
        <v>10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 s="4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 s="4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 s="4">
        <v>0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0</v>
      </c>
      <c r="DA65">
        <v>2</v>
      </c>
      <c r="DB65" s="4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 s="4">
        <v>0</v>
      </c>
      <c r="DX65">
        <v>1</v>
      </c>
      <c r="DY65">
        <v>1</v>
      </c>
      <c r="DZ65">
        <v>0</v>
      </c>
      <c r="EA65">
        <v>0</v>
      </c>
      <c r="EB65">
        <v>0</v>
      </c>
      <c r="EC65" s="4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 s="1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2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 s="1">
        <v>1</v>
      </c>
      <c r="GD65">
        <v>0</v>
      </c>
      <c r="GE65">
        <v>0</v>
      </c>
      <c r="GF65">
        <v>1</v>
      </c>
      <c r="GG65">
        <v>0</v>
      </c>
      <c r="GH65" s="1">
        <v>1</v>
      </c>
      <c r="GI65" s="1">
        <v>1</v>
      </c>
      <c r="GJ65" s="4">
        <v>0</v>
      </c>
      <c r="GK65">
        <v>0</v>
      </c>
      <c r="GL65">
        <v>0</v>
      </c>
      <c r="GM65">
        <v>0</v>
      </c>
      <c r="GO65" s="4">
        <f t="shared" si="0"/>
        <v>30</v>
      </c>
      <c r="GP65" s="4">
        <f t="shared" si="1"/>
        <v>59</v>
      </c>
    </row>
    <row r="66" spans="1:198" x14ac:dyDescent="0.3">
      <c r="A66" s="10" t="s">
        <v>678</v>
      </c>
      <c r="B66" s="1">
        <v>4</v>
      </c>
      <c r="C66">
        <v>0</v>
      </c>
      <c r="D66" s="1">
        <v>1</v>
      </c>
      <c r="E66">
        <v>1</v>
      </c>
      <c r="F66">
        <v>1</v>
      </c>
      <c r="G66">
        <v>0</v>
      </c>
      <c r="H66" s="4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4">
        <v>0</v>
      </c>
      <c r="O66">
        <v>0</v>
      </c>
      <c r="P66" s="4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 s="4">
        <v>0</v>
      </c>
      <c r="AL66" s="4">
        <v>0</v>
      </c>
      <c r="AM66" s="1">
        <v>1</v>
      </c>
      <c r="AN66" s="1">
        <v>0</v>
      </c>
      <c r="AO66">
        <v>0</v>
      </c>
      <c r="AP66">
        <v>0</v>
      </c>
      <c r="AQ66">
        <v>0</v>
      </c>
      <c r="AR66">
        <v>0</v>
      </c>
      <c r="AS66" s="4">
        <v>0</v>
      </c>
      <c r="AT66" s="1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s="1">
        <v>12</v>
      </c>
      <c r="BC66">
        <v>0</v>
      </c>
      <c r="BD66">
        <v>6</v>
      </c>
      <c r="BE66">
        <v>2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s="4">
        <v>0</v>
      </c>
      <c r="BN66">
        <v>0</v>
      </c>
      <c r="BO66">
        <v>0</v>
      </c>
      <c r="BP66" s="1">
        <v>13</v>
      </c>
      <c r="BQ66">
        <v>4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0</v>
      </c>
      <c r="BX66">
        <v>0</v>
      </c>
      <c r="BY66" s="4">
        <v>0</v>
      </c>
      <c r="BZ66" s="1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 s="4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 s="4">
        <v>0</v>
      </c>
      <c r="CU66">
        <v>1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1</v>
      </c>
      <c r="DB66" s="4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4</v>
      </c>
      <c r="DT66">
        <v>0</v>
      </c>
      <c r="DU66">
        <v>0</v>
      </c>
      <c r="DV66">
        <v>0</v>
      </c>
      <c r="DW66" s="4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 s="4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3</v>
      </c>
      <c r="EY66">
        <v>0</v>
      </c>
      <c r="EZ66">
        <v>0</v>
      </c>
      <c r="FA66">
        <v>0</v>
      </c>
      <c r="FB66" s="1">
        <v>4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 s="1">
        <v>1</v>
      </c>
      <c r="GD66">
        <v>0</v>
      </c>
      <c r="GE66">
        <v>1</v>
      </c>
      <c r="GF66">
        <v>1</v>
      </c>
      <c r="GG66">
        <v>1</v>
      </c>
      <c r="GH66" s="1">
        <v>1</v>
      </c>
      <c r="GI66" s="1">
        <v>1</v>
      </c>
      <c r="GJ66" s="4">
        <v>0</v>
      </c>
      <c r="GK66">
        <v>0</v>
      </c>
      <c r="GL66">
        <v>0</v>
      </c>
      <c r="GM66">
        <v>0</v>
      </c>
      <c r="GO66" s="4">
        <f t="shared" si="0"/>
        <v>37</v>
      </c>
      <c r="GP66" s="4">
        <f t="shared" si="1"/>
        <v>79</v>
      </c>
    </row>
    <row r="67" spans="1:198" x14ac:dyDescent="0.3">
      <c r="A67" s="10" t="s">
        <v>679</v>
      </c>
      <c r="B67" s="1">
        <v>2</v>
      </c>
      <c r="C67">
        <v>0</v>
      </c>
      <c r="D67" s="1">
        <v>1</v>
      </c>
      <c r="E67">
        <v>1</v>
      </c>
      <c r="F67">
        <v>1</v>
      </c>
      <c r="G67">
        <v>0</v>
      </c>
      <c r="H67" s="4">
        <v>0</v>
      </c>
      <c r="I67">
        <v>1</v>
      </c>
      <c r="J67">
        <v>0</v>
      </c>
      <c r="K67">
        <v>0</v>
      </c>
      <c r="L67">
        <v>0</v>
      </c>
      <c r="M67">
        <v>0</v>
      </c>
      <c r="N67" s="4">
        <v>0</v>
      </c>
      <c r="O67">
        <v>0</v>
      </c>
      <c r="P67" s="4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 s="4">
        <v>0</v>
      </c>
      <c r="AL67" s="4">
        <v>0</v>
      </c>
      <c r="AM67" s="1">
        <v>1</v>
      </c>
      <c r="AN67" s="1">
        <v>1</v>
      </c>
      <c r="AO67">
        <v>0</v>
      </c>
      <c r="AP67">
        <v>0</v>
      </c>
      <c r="AQ67">
        <v>0</v>
      </c>
      <c r="AR67">
        <v>0</v>
      </c>
      <c r="AS67" s="4">
        <v>0</v>
      </c>
      <c r="AT67" s="1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s="1">
        <v>14</v>
      </c>
      <c r="BC67">
        <v>0</v>
      </c>
      <c r="BD67">
        <v>6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 s="4">
        <v>0</v>
      </c>
      <c r="BN67">
        <v>0</v>
      </c>
      <c r="BO67">
        <v>0</v>
      </c>
      <c r="BP67" s="1">
        <v>7</v>
      </c>
      <c r="BQ67">
        <v>6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 s="4">
        <v>0</v>
      </c>
      <c r="BZ67" s="1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 s="4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 s="4">
        <v>0</v>
      </c>
      <c r="CU67">
        <v>1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1</v>
      </c>
      <c r="DB67" s="4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</v>
      </c>
      <c r="DT67">
        <v>0</v>
      </c>
      <c r="DU67">
        <v>0</v>
      </c>
      <c r="DV67">
        <v>0</v>
      </c>
      <c r="DW67" s="4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 s="4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2</v>
      </c>
      <c r="EY67">
        <v>0</v>
      </c>
      <c r="EZ67">
        <v>0</v>
      </c>
      <c r="FA67">
        <v>0</v>
      </c>
      <c r="FB67" s="1">
        <v>3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3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 s="1">
        <v>1</v>
      </c>
      <c r="GD67">
        <v>0</v>
      </c>
      <c r="GE67">
        <v>0</v>
      </c>
      <c r="GF67">
        <v>1</v>
      </c>
      <c r="GG67">
        <v>0</v>
      </c>
      <c r="GH67" s="1">
        <v>1</v>
      </c>
      <c r="GI67" s="1">
        <v>1</v>
      </c>
      <c r="GJ67" s="4">
        <v>0</v>
      </c>
      <c r="GK67">
        <v>0</v>
      </c>
      <c r="GL67">
        <v>0</v>
      </c>
      <c r="GM67">
        <v>0</v>
      </c>
      <c r="GO67" s="4">
        <f t="shared" ref="GO67:GO101" si="2">195-COUNTIF(B67:GM67,0)</f>
        <v>35</v>
      </c>
      <c r="GP67" s="4">
        <f t="shared" ref="GP67:GP101" si="3">SUM(B67:GM67)</f>
        <v>70</v>
      </c>
    </row>
    <row r="68" spans="1:198" x14ac:dyDescent="0.3">
      <c r="A68" s="10" t="s">
        <v>680</v>
      </c>
      <c r="B68" s="1">
        <v>2</v>
      </c>
      <c r="C68">
        <v>0</v>
      </c>
      <c r="D68" s="1">
        <v>1</v>
      </c>
      <c r="E68">
        <v>1</v>
      </c>
      <c r="F68">
        <v>1</v>
      </c>
      <c r="G68">
        <v>0</v>
      </c>
      <c r="H68" s="4">
        <v>0</v>
      </c>
      <c r="I68">
        <v>1</v>
      </c>
      <c r="J68">
        <v>1</v>
      </c>
      <c r="K68">
        <v>0</v>
      </c>
      <c r="L68">
        <v>0</v>
      </c>
      <c r="M68">
        <v>0</v>
      </c>
      <c r="N68" s="4">
        <v>0</v>
      </c>
      <c r="O68">
        <v>0</v>
      </c>
      <c r="P68" s="4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 s="4">
        <v>0</v>
      </c>
      <c r="AL68" s="4">
        <v>0</v>
      </c>
      <c r="AM68" s="1">
        <v>1</v>
      </c>
      <c r="AN68" s="1">
        <v>1</v>
      </c>
      <c r="AO68">
        <v>0</v>
      </c>
      <c r="AP68">
        <v>0</v>
      </c>
      <c r="AQ68">
        <v>0</v>
      </c>
      <c r="AR68">
        <v>0</v>
      </c>
      <c r="AS68" s="4">
        <v>0</v>
      </c>
      <c r="AT68" s="1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s="1">
        <v>10</v>
      </c>
      <c r="BC68">
        <v>0</v>
      </c>
      <c r="BD68">
        <v>6</v>
      </c>
      <c r="BE68">
        <v>2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s="4">
        <v>0</v>
      </c>
      <c r="BN68">
        <v>0</v>
      </c>
      <c r="BO68">
        <v>0</v>
      </c>
      <c r="BP68" s="1">
        <v>4</v>
      </c>
      <c r="BQ68">
        <v>1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 s="4">
        <v>0</v>
      </c>
      <c r="BZ68" s="1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 s="4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 s="4">
        <v>0</v>
      </c>
      <c r="CU68">
        <v>1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1</v>
      </c>
      <c r="DB68" s="4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 s="4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 s="4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3</v>
      </c>
      <c r="EY68">
        <v>0</v>
      </c>
      <c r="EZ68">
        <v>0</v>
      </c>
      <c r="FA68">
        <v>0</v>
      </c>
      <c r="FB68" s="1">
        <v>7</v>
      </c>
      <c r="FC68">
        <v>0</v>
      </c>
      <c r="FD68">
        <v>1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 s="1">
        <v>1</v>
      </c>
      <c r="GD68">
        <v>0</v>
      </c>
      <c r="GE68">
        <v>0</v>
      </c>
      <c r="GF68">
        <v>1</v>
      </c>
      <c r="GG68">
        <v>0</v>
      </c>
      <c r="GH68" s="1">
        <v>1</v>
      </c>
      <c r="GI68" s="1">
        <v>1</v>
      </c>
      <c r="GJ68" s="4">
        <v>0</v>
      </c>
      <c r="GK68">
        <v>0</v>
      </c>
      <c r="GL68">
        <v>0</v>
      </c>
      <c r="GM68">
        <v>0</v>
      </c>
      <c r="GO68" s="4">
        <f t="shared" si="2"/>
        <v>37</v>
      </c>
      <c r="GP68" s="4">
        <f t="shared" si="3"/>
        <v>63</v>
      </c>
    </row>
    <row r="69" spans="1:198" x14ac:dyDescent="0.3">
      <c r="A69" s="10" t="s">
        <v>681</v>
      </c>
      <c r="B69" s="1">
        <v>2</v>
      </c>
      <c r="C69">
        <v>0</v>
      </c>
      <c r="D69" s="1">
        <v>1</v>
      </c>
      <c r="E69">
        <v>1</v>
      </c>
      <c r="F69">
        <v>1</v>
      </c>
      <c r="G69">
        <v>1</v>
      </c>
      <c r="H69" s="4">
        <v>0</v>
      </c>
      <c r="I69">
        <v>1</v>
      </c>
      <c r="J69">
        <v>1</v>
      </c>
      <c r="K69">
        <v>0</v>
      </c>
      <c r="L69">
        <v>0</v>
      </c>
      <c r="M69">
        <v>0</v>
      </c>
      <c r="N69" s="4">
        <v>0</v>
      </c>
      <c r="O69">
        <v>1</v>
      </c>
      <c r="P69" s="4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 s="4">
        <v>0</v>
      </c>
      <c r="AL69" s="4">
        <v>0</v>
      </c>
      <c r="AM69" s="1">
        <v>1</v>
      </c>
      <c r="AN69" s="1">
        <v>1</v>
      </c>
      <c r="AO69">
        <v>1</v>
      </c>
      <c r="AP69">
        <v>0</v>
      </c>
      <c r="AQ69">
        <v>0</v>
      </c>
      <c r="AR69">
        <v>1</v>
      </c>
      <c r="AS69" s="4">
        <v>0</v>
      </c>
      <c r="AT69" s="1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s="1">
        <v>19</v>
      </c>
      <c r="BC69">
        <v>0</v>
      </c>
      <c r="BD69">
        <v>6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 s="4">
        <v>0</v>
      </c>
      <c r="BN69">
        <v>0</v>
      </c>
      <c r="BO69">
        <v>0</v>
      </c>
      <c r="BP69" s="1">
        <v>5</v>
      </c>
      <c r="BQ69">
        <v>8</v>
      </c>
      <c r="BR69">
        <v>0</v>
      </c>
      <c r="BS69">
        <v>1</v>
      </c>
      <c r="BT69">
        <v>1</v>
      </c>
      <c r="BU69">
        <v>2</v>
      </c>
      <c r="BV69">
        <v>0</v>
      </c>
      <c r="BW69">
        <v>0</v>
      </c>
      <c r="BX69">
        <v>0</v>
      </c>
      <c r="BY69" s="4">
        <v>0</v>
      </c>
      <c r="BZ69" s="1">
        <v>1</v>
      </c>
      <c r="CA69">
        <v>0</v>
      </c>
      <c r="CB69" s="1">
        <v>1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 s="4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 s="4">
        <v>0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1</v>
      </c>
      <c r="DA69">
        <v>2</v>
      </c>
      <c r="DB69" s="4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5</v>
      </c>
      <c r="DT69">
        <v>0</v>
      </c>
      <c r="DU69">
        <v>0</v>
      </c>
      <c r="DV69">
        <v>0</v>
      </c>
      <c r="DW69" s="4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 s="4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3</v>
      </c>
      <c r="EY69">
        <v>0</v>
      </c>
      <c r="EZ69">
        <v>0</v>
      </c>
      <c r="FA69">
        <v>0</v>
      </c>
      <c r="FB69" s="1">
        <v>4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13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1</v>
      </c>
      <c r="GC69" s="1">
        <v>1</v>
      </c>
      <c r="GD69">
        <v>0</v>
      </c>
      <c r="GE69">
        <v>1</v>
      </c>
      <c r="GF69">
        <v>1</v>
      </c>
      <c r="GG69">
        <v>1</v>
      </c>
      <c r="GH69" s="1">
        <v>1</v>
      </c>
      <c r="GI69" s="1">
        <v>1</v>
      </c>
      <c r="GJ69" s="4">
        <v>0</v>
      </c>
      <c r="GK69">
        <v>0</v>
      </c>
      <c r="GL69">
        <v>0</v>
      </c>
      <c r="GM69">
        <v>0</v>
      </c>
      <c r="GO69" s="4">
        <f t="shared" si="2"/>
        <v>54</v>
      </c>
      <c r="GP69" s="4">
        <f t="shared" si="3"/>
        <v>112</v>
      </c>
    </row>
    <row r="70" spans="1:198" x14ac:dyDescent="0.3">
      <c r="A70" s="10" t="s">
        <v>682</v>
      </c>
      <c r="B70" s="1">
        <v>3</v>
      </c>
      <c r="C70">
        <v>1</v>
      </c>
      <c r="D70" s="1">
        <v>1</v>
      </c>
      <c r="E70">
        <v>1</v>
      </c>
      <c r="F70">
        <v>1</v>
      </c>
      <c r="G70">
        <v>0</v>
      </c>
      <c r="H70" s="4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4">
        <v>0</v>
      </c>
      <c r="O70">
        <v>0</v>
      </c>
      <c r="P70" s="4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s="4">
        <v>0</v>
      </c>
      <c r="AL70" s="4">
        <v>0</v>
      </c>
      <c r="AM70" s="1">
        <v>1</v>
      </c>
      <c r="AN70" s="1">
        <v>1</v>
      </c>
      <c r="AO70">
        <v>0</v>
      </c>
      <c r="AP70">
        <v>0</v>
      </c>
      <c r="AQ70">
        <v>0</v>
      </c>
      <c r="AR70">
        <v>0</v>
      </c>
      <c r="AS70" s="4">
        <v>0</v>
      </c>
      <c r="AT70" s="1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s="1">
        <v>14</v>
      </c>
      <c r="BC70">
        <v>0</v>
      </c>
      <c r="BD70">
        <v>6</v>
      </c>
      <c r="BE70">
        <v>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 s="4">
        <v>0</v>
      </c>
      <c r="BN70">
        <v>0</v>
      </c>
      <c r="BO70">
        <v>0</v>
      </c>
      <c r="BP70" s="1">
        <v>4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 s="4">
        <v>0</v>
      </c>
      <c r="BZ70" s="1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</v>
      </c>
      <c r="CG70">
        <v>0</v>
      </c>
      <c r="CH70">
        <v>0</v>
      </c>
      <c r="CI70">
        <v>0</v>
      </c>
      <c r="CJ70">
        <v>0</v>
      </c>
      <c r="CK70">
        <v>0</v>
      </c>
      <c r="CL70" s="4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 s="4">
        <v>0</v>
      </c>
      <c r="CU70">
        <v>1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 s="4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 s="4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 s="4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2</v>
      </c>
      <c r="EY70">
        <v>0</v>
      </c>
      <c r="EZ70">
        <v>0</v>
      </c>
      <c r="FA70">
        <v>0</v>
      </c>
      <c r="FB70" s="1">
        <v>5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8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0</v>
      </c>
      <c r="GC70" s="1">
        <v>1</v>
      </c>
      <c r="GD70">
        <v>0</v>
      </c>
      <c r="GE70">
        <v>0</v>
      </c>
      <c r="GF70">
        <v>1</v>
      </c>
      <c r="GG70">
        <v>0</v>
      </c>
      <c r="GH70" s="1">
        <v>1</v>
      </c>
      <c r="GI70" s="1">
        <v>1</v>
      </c>
      <c r="GJ70" s="4">
        <v>0</v>
      </c>
      <c r="GK70">
        <v>0</v>
      </c>
      <c r="GL70">
        <v>0</v>
      </c>
      <c r="GM70">
        <v>0</v>
      </c>
      <c r="GO70" s="4">
        <f t="shared" si="2"/>
        <v>37</v>
      </c>
      <c r="GP70" s="4">
        <f t="shared" si="3"/>
        <v>75</v>
      </c>
    </row>
    <row r="71" spans="1:198" x14ac:dyDescent="0.3">
      <c r="A71" s="10" t="s">
        <v>683</v>
      </c>
      <c r="B71" s="1">
        <v>5</v>
      </c>
      <c r="C71">
        <v>0</v>
      </c>
      <c r="D71" s="1">
        <v>1</v>
      </c>
      <c r="E71">
        <v>0</v>
      </c>
      <c r="F71">
        <v>1</v>
      </c>
      <c r="G71">
        <v>0</v>
      </c>
      <c r="H71" s="4">
        <v>0</v>
      </c>
      <c r="I71">
        <v>0</v>
      </c>
      <c r="J71">
        <v>1</v>
      </c>
      <c r="K71">
        <v>2</v>
      </c>
      <c r="L71">
        <v>0</v>
      </c>
      <c r="M71">
        <v>0</v>
      </c>
      <c r="N71" s="4">
        <v>0</v>
      </c>
      <c r="O71">
        <v>0</v>
      </c>
      <c r="P71" s="4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 s="4">
        <v>0</v>
      </c>
      <c r="AL71" s="4">
        <v>0</v>
      </c>
      <c r="AM71" s="1">
        <v>1</v>
      </c>
      <c r="AN71" s="1">
        <v>1</v>
      </c>
      <c r="AO71">
        <v>0</v>
      </c>
      <c r="AP71">
        <v>0</v>
      </c>
      <c r="AQ71">
        <v>0</v>
      </c>
      <c r="AR71">
        <v>0</v>
      </c>
      <c r="AS71" s="4">
        <v>0</v>
      </c>
      <c r="AT71" s="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s="1">
        <v>14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 s="4">
        <v>0</v>
      </c>
      <c r="BN71">
        <v>0</v>
      </c>
      <c r="BO71">
        <v>0</v>
      </c>
      <c r="BP71" s="1">
        <v>12</v>
      </c>
      <c r="BQ71">
        <v>7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1</v>
      </c>
      <c r="BY71" s="4">
        <v>0</v>
      </c>
      <c r="BZ71" s="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5</v>
      </c>
      <c r="CI71">
        <v>1</v>
      </c>
      <c r="CJ71">
        <v>0</v>
      </c>
      <c r="CK71">
        <v>0</v>
      </c>
      <c r="CL71" s="4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 s="4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 s="4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0</v>
      </c>
      <c r="DV71">
        <v>0</v>
      </c>
      <c r="DW71" s="4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 s="4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2</v>
      </c>
      <c r="EY71">
        <v>0</v>
      </c>
      <c r="EZ71">
        <v>0</v>
      </c>
      <c r="FA71">
        <v>0</v>
      </c>
      <c r="FB71" s="1">
        <v>3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0</v>
      </c>
      <c r="FM71">
        <v>4</v>
      </c>
      <c r="FN71">
        <v>0</v>
      </c>
      <c r="FO71">
        <v>7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 s="1">
        <v>1</v>
      </c>
      <c r="GD71">
        <v>0</v>
      </c>
      <c r="GE71">
        <v>1</v>
      </c>
      <c r="GF71">
        <v>1</v>
      </c>
      <c r="GG71">
        <v>0</v>
      </c>
      <c r="GH71" s="1">
        <v>1</v>
      </c>
      <c r="GI71" s="1">
        <v>1</v>
      </c>
      <c r="GJ71" s="4">
        <v>0</v>
      </c>
      <c r="GK71">
        <v>0</v>
      </c>
      <c r="GL71">
        <v>0</v>
      </c>
      <c r="GM71">
        <v>0</v>
      </c>
      <c r="GO71" s="4">
        <f t="shared" si="2"/>
        <v>35</v>
      </c>
      <c r="GP71" s="4">
        <f t="shared" si="3"/>
        <v>85</v>
      </c>
    </row>
    <row r="72" spans="1:198" x14ac:dyDescent="0.3">
      <c r="A72" s="10" t="s">
        <v>684</v>
      </c>
      <c r="B72" s="1">
        <v>2</v>
      </c>
      <c r="C72">
        <v>0</v>
      </c>
      <c r="D72" s="1">
        <v>1</v>
      </c>
      <c r="E72">
        <v>0</v>
      </c>
      <c r="F72">
        <v>1</v>
      </c>
      <c r="G72">
        <v>0</v>
      </c>
      <c r="H72" s="4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4">
        <v>0</v>
      </c>
      <c r="O72">
        <v>0</v>
      </c>
      <c r="P72" s="4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4">
        <v>0</v>
      </c>
      <c r="AL72" s="4">
        <v>0</v>
      </c>
      <c r="AM72" s="1">
        <v>1</v>
      </c>
      <c r="AN72" s="1">
        <v>3</v>
      </c>
      <c r="AO72">
        <v>0</v>
      </c>
      <c r="AP72">
        <v>0</v>
      </c>
      <c r="AQ72">
        <v>0</v>
      </c>
      <c r="AR72">
        <v>0</v>
      </c>
      <c r="AS72" s="4">
        <v>0</v>
      </c>
      <c r="AT72" s="1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s="1">
        <v>14</v>
      </c>
      <c r="BC72">
        <v>0</v>
      </c>
      <c r="BD72">
        <v>6</v>
      </c>
      <c r="BE72">
        <v>2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s="4">
        <v>0</v>
      </c>
      <c r="BN72">
        <v>0</v>
      </c>
      <c r="BO72">
        <v>0</v>
      </c>
      <c r="BP72" s="1">
        <v>8</v>
      </c>
      <c r="BQ72">
        <v>1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 s="4">
        <v>0</v>
      </c>
      <c r="BZ72" s="1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 s="4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 s="4">
        <v>0</v>
      </c>
      <c r="CU72">
        <v>1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1</v>
      </c>
      <c r="DB72" s="4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 s="4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 s="4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3</v>
      </c>
      <c r="EY72">
        <v>0</v>
      </c>
      <c r="EZ72">
        <v>0</v>
      </c>
      <c r="FA72">
        <v>0</v>
      </c>
      <c r="FB72" s="1">
        <v>4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5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 s="1">
        <v>1</v>
      </c>
      <c r="GD72">
        <v>0</v>
      </c>
      <c r="GE72">
        <v>1</v>
      </c>
      <c r="GF72">
        <v>1</v>
      </c>
      <c r="GG72">
        <v>0</v>
      </c>
      <c r="GH72" s="1">
        <v>1</v>
      </c>
      <c r="GI72" s="1">
        <v>1</v>
      </c>
      <c r="GJ72" s="4">
        <v>0</v>
      </c>
      <c r="GK72">
        <v>0</v>
      </c>
      <c r="GL72">
        <v>0</v>
      </c>
      <c r="GM72">
        <v>0</v>
      </c>
      <c r="GO72" s="4">
        <f t="shared" si="2"/>
        <v>33</v>
      </c>
      <c r="GP72" s="4">
        <f t="shared" si="3"/>
        <v>70</v>
      </c>
    </row>
    <row r="73" spans="1:198" x14ac:dyDescent="0.3">
      <c r="A73" s="10" t="s">
        <v>685</v>
      </c>
      <c r="B73" s="1">
        <v>4</v>
      </c>
      <c r="C73">
        <v>1</v>
      </c>
      <c r="D73" s="1">
        <v>1</v>
      </c>
      <c r="E73">
        <v>1</v>
      </c>
      <c r="F73">
        <v>1</v>
      </c>
      <c r="G73">
        <v>0</v>
      </c>
      <c r="H73" s="4">
        <v>0</v>
      </c>
      <c r="I73">
        <v>0</v>
      </c>
      <c r="J73">
        <v>1</v>
      </c>
      <c r="K73">
        <v>0</v>
      </c>
      <c r="L73">
        <v>0</v>
      </c>
      <c r="M73">
        <v>0</v>
      </c>
      <c r="N73" s="4">
        <v>0</v>
      </c>
      <c r="O73">
        <v>1</v>
      </c>
      <c r="P73" s="4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0</v>
      </c>
      <c r="AJ73">
        <v>0</v>
      </c>
      <c r="AK73" s="4">
        <v>0</v>
      </c>
      <c r="AL73" s="4">
        <v>0</v>
      </c>
      <c r="AM73" s="1">
        <v>1</v>
      </c>
      <c r="AN73" s="1">
        <v>2</v>
      </c>
      <c r="AO73">
        <v>0</v>
      </c>
      <c r="AP73">
        <v>0</v>
      </c>
      <c r="AQ73">
        <v>0</v>
      </c>
      <c r="AR73">
        <v>0</v>
      </c>
      <c r="AS73" s="4">
        <v>0</v>
      </c>
      <c r="AT73" s="1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s="1">
        <v>6</v>
      </c>
      <c r="BC73">
        <v>0</v>
      </c>
      <c r="BD73">
        <v>0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 s="4">
        <v>0</v>
      </c>
      <c r="BN73">
        <v>0</v>
      </c>
      <c r="BO73">
        <v>0</v>
      </c>
      <c r="BP73" s="1">
        <v>28</v>
      </c>
      <c r="BQ73">
        <v>1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3</v>
      </c>
      <c r="BX73">
        <v>0</v>
      </c>
      <c r="BY73" s="4">
        <v>0</v>
      </c>
      <c r="BZ73" s="1">
        <v>1</v>
      </c>
      <c r="CA73">
        <v>0</v>
      </c>
      <c r="CB73" s="1">
        <v>3</v>
      </c>
      <c r="CC73" s="1">
        <v>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s="4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 s="4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4</v>
      </c>
      <c r="DB73" s="4">
        <v>0</v>
      </c>
      <c r="DC73">
        <v>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1</v>
      </c>
      <c r="DT73">
        <v>0</v>
      </c>
      <c r="DU73">
        <v>0</v>
      </c>
      <c r="DV73">
        <v>0</v>
      </c>
      <c r="DW73" s="4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 s="4">
        <v>0</v>
      </c>
      <c r="ED73">
        <v>2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1</v>
      </c>
      <c r="EX73">
        <v>0</v>
      </c>
      <c r="EY73">
        <v>0</v>
      </c>
      <c r="EZ73">
        <v>0</v>
      </c>
      <c r="FA73">
        <v>1</v>
      </c>
      <c r="FB73" s="1">
        <v>5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1</v>
      </c>
      <c r="FO73">
        <v>5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</v>
      </c>
      <c r="GC73" s="1">
        <v>1</v>
      </c>
      <c r="GD73">
        <v>0</v>
      </c>
      <c r="GE73">
        <v>1</v>
      </c>
      <c r="GF73">
        <v>1</v>
      </c>
      <c r="GG73">
        <v>0</v>
      </c>
      <c r="GH73" s="1">
        <v>1</v>
      </c>
      <c r="GI73" s="1">
        <v>1</v>
      </c>
      <c r="GJ73" s="4">
        <v>0</v>
      </c>
      <c r="GK73">
        <v>0</v>
      </c>
      <c r="GL73">
        <v>0</v>
      </c>
      <c r="GM73">
        <v>0</v>
      </c>
      <c r="GO73" s="4">
        <f t="shared" si="2"/>
        <v>45</v>
      </c>
      <c r="GP73" s="4">
        <f t="shared" si="3"/>
        <v>104</v>
      </c>
    </row>
    <row r="74" spans="1:198" x14ac:dyDescent="0.3">
      <c r="A74" s="10" t="s">
        <v>686</v>
      </c>
      <c r="B74" s="1">
        <v>5</v>
      </c>
      <c r="C74">
        <v>0</v>
      </c>
      <c r="D74" s="1">
        <v>1</v>
      </c>
      <c r="E74">
        <v>1</v>
      </c>
      <c r="F74">
        <v>1</v>
      </c>
      <c r="G74">
        <v>0</v>
      </c>
      <c r="H74" s="4">
        <v>0</v>
      </c>
      <c r="I74">
        <v>1</v>
      </c>
      <c r="J74">
        <v>0</v>
      </c>
      <c r="K74">
        <v>0</v>
      </c>
      <c r="L74">
        <v>0</v>
      </c>
      <c r="M74">
        <v>0</v>
      </c>
      <c r="N74" s="4">
        <v>0</v>
      </c>
      <c r="O74">
        <v>2</v>
      </c>
      <c r="P74" s="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 s="4">
        <v>0</v>
      </c>
      <c r="AL74" s="4">
        <v>0</v>
      </c>
      <c r="AM74" s="1">
        <v>1</v>
      </c>
      <c r="AN74" s="1">
        <v>1</v>
      </c>
      <c r="AO74">
        <v>0</v>
      </c>
      <c r="AP74">
        <v>0</v>
      </c>
      <c r="AQ74">
        <v>0</v>
      </c>
      <c r="AR74">
        <v>0</v>
      </c>
      <c r="AS74" s="4">
        <v>0</v>
      </c>
      <c r="AT74" s="1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s="1">
        <v>4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s="4">
        <v>0</v>
      </c>
      <c r="BN74">
        <v>0</v>
      </c>
      <c r="BO74">
        <v>0</v>
      </c>
      <c r="BP74" s="1">
        <v>11</v>
      </c>
      <c r="BQ74">
        <v>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s="4">
        <v>0</v>
      </c>
      <c r="BZ74" s="1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s="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 s="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2</v>
      </c>
      <c r="DB74" s="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 s="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 s="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 s="1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 s="1">
        <v>1</v>
      </c>
      <c r="GD74">
        <v>0</v>
      </c>
      <c r="GE74">
        <v>0</v>
      </c>
      <c r="GF74">
        <v>1</v>
      </c>
      <c r="GG74">
        <v>1</v>
      </c>
      <c r="GH74" s="1">
        <v>1</v>
      </c>
      <c r="GI74" s="1">
        <v>1</v>
      </c>
      <c r="GJ74" s="4">
        <v>0</v>
      </c>
      <c r="GK74">
        <v>0</v>
      </c>
      <c r="GL74">
        <v>0</v>
      </c>
      <c r="GM74">
        <v>0</v>
      </c>
      <c r="GO74" s="4">
        <f t="shared" si="2"/>
        <v>30</v>
      </c>
      <c r="GP74" s="4">
        <f t="shared" si="3"/>
        <v>51</v>
      </c>
    </row>
    <row r="75" spans="1:198" x14ac:dyDescent="0.3">
      <c r="A75" s="10" t="s">
        <v>687</v>
      </c>
      <c r="B75" s="1">
        <v>1</v>
      </c>
      <c r="C75">
        <v>0</v>
      </c>
      <c r="D75" s="1">
        <v>1</v>
      </c>
      <c r="E75">
        <v>1</v>
      </c>
      <c r="F75">
        <v>1</v>
      </c>
      <c r="G75">
        <v>0</v>
      </c>
      <c r="H75" s="4">
        <v>0</v>
      </c>
      <c r="I75">
        <v>0</v>
      </c>
      <c r="J75">
        <v>1</v>
      </c>
      <c r="K75">
        <v>0</v>
      </c>
      <c r="L75">
        <v>0</v>
      </c>
      <c r="M75">
        <v>0</v>
      </c>
      <c r="N75" s="4">
        <v>0</v>
      </c>
      <c r="O75">
        <v>0</v>
      </c>
      <c r="P75" s="4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0</v>
      </c>
      <c r="AG75">
        <v>0</v>
      </c>
      <c r="AH75">
        <v>0</v>
      </c>
      <c r="AI75">
        <v>0</v>
      </c>
      <c r="AJ75">
        <v>0</v>
      </c>
      <c r="AK75" s="4">
        <v>0</v>
      </c>
      <c r="AL75" s="4">
        <v>0</v>
      </c>
      <c r="AM75" s="1">
        <v>1</v>
      </c>
      <c r="AN75" s="1">
        <v>1</v>
      </c>
      <c r="AO75">
        <v>0</v>
      </c>
      <c r="AP75">
        <v>0</v>
      </c>
      <c r="AQ75">
        <v>0</v>
      </c>
      <c r="AR75">
        <v>1</v>
      </c>
      <c r="AS75" s="4">
        <v>0</v>
      </c>
      <c r="AT75" s="1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s="1">
        <v>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s="4">
        <v>0</v>
      </c>
      <c r="BN75">
        <v>0</v>
      </c>
      <c r="BO75">
        <v>0</v>
      </c>
      <c r="BP75" s="1">
        <v>7</v>
      </c>
      <c r="BQ75">
        <v>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s="4">
        <v>0</v>
      </c>
      <c r="BZ75" s="1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0</v>
      </c>
      <c r="CL75" s="4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 s="4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 s="4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 s="4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 s="4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 s="1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1</v>
      </c>
      <c r="GB75">
        <v>0</v>
      </c>
      <c r="GC75" s="1">
        <v>1</v>
      </c>
      <c r="GD75">
        <v>0</v>
      </c>
      <c r="GE75">
        <v>0</v>
      </c>
      <c r="GF75">
        <v>1</v>
      </c>
      <c r="GG75">
        <v>0</v>
      </c>
      <c r="GH75" s="1">
        <v>1</v>
      </c>
      <c r="GI75" s="1">
        <v>1</v>
      </c>
      <c r="GJ75" s="4">
        <v>0</v>
      </c>
      <c r="GK75">
        <v>0</v>
      </c>
      <c r="GL75">
        <v>0</v>
      </c>
      <c r="GM75">
        <v>0</v>
      </c>
      <c r="GO75" s="4">
        <f t="shared" si="2"/>
        <v>26</v>
      </c>
      <c r="GP75" s="4">
        <f t="shared" si="3"/>
        <v>40</v>
      </c>
    </row>
    <row r="76" spans="1:198" x14ac:dyDescent="0.3">
      <c r="A76" s="10" t="s">
        <v>688</v>
      </c>
      <c r="B76" s="1">
        <v>4</v>
      </c>
      <c r="C76">
        <v>1</v>
      </c>
      <c r="D76" s="1">
        <v>2</v>
      </c>
      <c r="E76">
        <v>1</v>
      </c>
      <c r="F76">
        <v>1</v>
      </c>
      <c r="G76">
        <v>0</v>
      </c>
      <c r="H76" s="4">
        <v>0</v>
      </c>
      <c r="I76">
        <v>1</v>
      </c>
      <c r="J76">
        <v>1</v>
      </c>
      <c r="K76">
        <v>0</v>
      </c>
      <c r="L76">
        <v>0</v>
      </c>
      <c r="M76">
        <v>0</v>
      </c>
      <c r="N76" s="4">
        <v>0</v>
      </c>
      <c r="O76">
        <v>3</v>
      </c>
      <c r="P76" s="4">
        <v>0</v>
      </c>
      <c r="Q76">
        <v>0</v>
      </c>
      <c r="R76">
        <v>2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</v>
      </c>
      <c r="AG76">
        <v>0</v>
      </c>
      <c r="AH76">
        <v>0</v>
      </c>
      <c r="AI76">
        <v>0</v>
      </c>
      <c r="AJ76">
        <v>0</v>
      </c>
      <c r="AK76" s="4">
        <v>0</v>
      </c>
      <c r="AL76" s="4">
        <v>0</v>
      </c>
      <c r="AM76" s="1">
        <v>1</v>
      </c>
      <c r="AN76" s="1">
        <v>1</v>
      </c>
      <c r="AO76">
        <v>0</v>
      </c>
      <c r="AP76">
        <v>0</v>
      </c>
      <c r="AQ76">
        <v>0</v>
      </c>
      <c r="AR76">
        <v>0</v>
      </c>
      <c r="AS76" s="4">
        <v>0</v>
      </c>
      <c r="AT76" s="1">
        <v>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s="1">
        <v>13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 s="4">
        <v>0</v>
      </c>
      <c r="BN76">
        <v>0</v>
      </c>
      <c r="BO76">
        <v>0</v>
      </c>
      <c r="BP76" s="1">
        <v>3</v>
      </c>
      <c r="BQ76">
        <v>2</v>
      </c>
      <c r="BR76">
        <v>0</v>
      </c>
      <c r="BS76">
        <v>0</v>
      </c>
      <c r="BT76">
        <v>1</v>
      </c>
      <c r="BU76">
        <v>0</v>
      </c>
      <c r="BV76">
        <v>1</v>
      </c>
      <c r="BW76">
        <v>1</v>
      </c>
      <c r="BX76">
        <v>0</v>
      </c>
      <c r="BY76" s="4">
        <v>0</v>
      </c>
      <c r="BZ76" s="1">
        <v>1</v>
      </c>
      <c r="CA76" s="1">
        <v>1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1</v>
      </c>
      <c r="CJ76">
        <v>0</v>
      </c>
      <c r="CK76">
        <v>0</v>
      </c>
      <c r="CL76" s="4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 s="4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 s="4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1</v>
      </c>
      <c r="DU76">
        <v>0</v>
      </c>
      <c r="DV76">
        <v>0</v>
      </c>
      <c r="DW76" s="4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 s="4">
        <v>0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 s="1">
        <v>8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3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 s="1">
        <v>1</v>
      </c>
      <c r="GD76">
        <v>0</v>
      </c>
      <c r="GE76">
        <v>0</v>
      </c>
      <c r="GF76">
        <v>1</v>
      </c>
      <c r="GG76">
        <v>0</v>
      </c>
      <c r="GH76" s="1">
        <v>1</v>
      </c>
      <c r="GI76" s="1">
        <v>0</v>
      </c>
      <c r="GJ76" s="4">
        <v>0</v>
      </c>
      <c r="GK76">
        <v>0</v>
      </c>
      <c r="GL76">
        <v>0</v>
      </c>
      <c r="GM76">
        <v>0</v>
      </c>
      <c r="GO76" s="4">
        <f t="shared" si="2"/>
        <v>38</v>
      </c>
      <c r="GP76" s="4">
        <f t="shared" si="3"/>
        <v>73</v>
      </c>
    </row>
    <row r="77" spans="1:198" x14ac:dyDescent="0.3">
      <c r="A77" s="10" t="s">
        <v>689</v>
      </c>
      <c r="B77" s="1">
        <v>2</v>
      </c>
      <c r="C77" s="4">
        <v>0</v>
      </c>
      <c r="D77" s="1">
        <v>1</v>
      </c>
      <c r="E77" s="4">
        <v>0</v>
      </c>
      <c r="F77" s="4">
        <v>1</v>
      </c>
      <c r="G77" s="4">
        <v>0</v>
      </c>
      <c r="H77" s="4">
        <v>0</v>
      </c>
      <c r="I77" s="4">
        <v>2</v>
      </c>
      <c r="J77" s="4">
        <v>1</v>
      </c>
      <c r="K77" s="4">
        <v>0</v>
      </c>
      <c r="L77" s="4">
        <v>0</v>
      </c>
      <c r="M77" s="4">
        <v>0</v>
      </c>
      <c r="N77" s="4">
        <v>0</v>
      </c>
      <c r="O77" s="4">
        <v>3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1">
        <v>2</v>
      </c>
      <c r="AN77" s="1">
        <v>1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1">
        <v>1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1">
        <v>11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1">
        <v>6</v>
      </c>
      <c r="BQ77" s="4">
        <v>1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1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1">
        <v>4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1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9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1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1">
        <v>1</v>
      </c>
      <c r="GD77" s="4">
        <v>0</v>
      </c>
      <c r="GE77" s="4">
        <v>0</v>
      </c>
      <c r="GF77" s="4">
        <v>1</v>
      </c>
      <c r="GG77" s="4">
        <v>0</v>
      </c>
      <c r="GH77" s="1">
        <v>1</v>
      </c>
      <c r="GI77" s="1">
        <v>1</v>
      </c>
      <c r="GJ77" s="4">
        <v>0</v>
      </c>
      <c r="GK77" s="4">
        <v>0</v>
      </c>
      <c r="GL77" s="4">
        <v>0</v>
      </c>
      <c r="GM77" s="4">
        <v>0</v>
      </c>
      <c r="GO77" s="4">
        <f t="shared" si="2"/>
        <v>25</v>
      </c>
      <c r="GP77" s="4">
        <f t="shared" si="3"/>
        <v>55</v>
      </c>
    </row>
    <row r="78" spans="1:198" x14ac:dyDescent="0.3">
      <c r="A78" s="10" t="s">
        <v>691</v>
      </c>
      <c r="B78" s="1">
        <v>4</v>
      </c>
      <c r="C78" s="4">
        <v>1</v>
      </c>
      <c r="D78" s="1">
        <v>1</v>
      </c>
      <c r="E78" s="4">
        <v>1</v>
      </c>
      <c r="F78" s="4">
        <v>1</v>
      </c>
      <c r="G78" s="4">
        <v>0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1">
        <v>1</v>
      </c>
      <c r="AN78" s="1">
        <v>2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1">
        <v>1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1">
        <v>9</v>
      </c>
      <c r="BC78" s="4">
        <v>0</v>
      </c>
      <c r="BD78" s="4">
        <v>0</v>
      </c>
      <c r="BE78" s="4">
        <v>3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1">
        <v>1</v>
      </c>
      <c r="BQ78" s="4">
        <v>4</v>
      </c>
      <c r="BR78" s="4">
        <v>0</v>
      </c>
      <c r="BS78" s="4">
        <v>0</v>
      </c>
      <c r="BT78" s="4">
        <v>1</v>
      </c>
      <c r="BU78" s="4">
        <v>0</v>
      </c>
      <c r="BV78" s="4">
        <v>0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4">
        <v>1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1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1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1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1">
        <v>7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</v>
      </c>
      <c r="GC78" s="1">
        <v>1</v>
      </c>
      <c r="GD78" s="4">
        <v>0</v>
      </c>
      <c r="GE78" s="4">
        <v>0</v>
      </c>
      <c r="GF78" s="4">
        <v>1</v>
      </c>
      <c r="GG78" s="4">
        <v>0</v>
      </c>
      <c r="GH78" s="1">
        <v>1</v>
      </c>
      <c r="GI78" s="1">
        <v>1</v>
      </c>
      <c r="GJ78" s="4">
        <v>0</v>
      </c>
      <c r="GK78" s="4">
        <v>0</v>
      </c>
      <c r="GL78" s="4">
        <v>0</v>
      </c>
      <c r="GM78" s="4">
        <v>0</v>
      </c>
      <c r="GO78" s="4">
        <f t="shared" si="2"/>
        <v>32</v>
      </c>
      <c r="GP78" s="4">
        <f t="shared" si="3"/>
        <v>54</v>
      </c>
    </row>
    <row r="79" spans="1:198" x14ac:dyDescent="0.3">
      <c r="A79" s="10" t="s">
        <v>690</v>
      </c>
      <c r="B79" s="1">
        <v>4</v>
      </c>
      <c r="C79" s="4">
        <v>0</v>
      </c>
      <c r="D79" s="1">
        <v>1</v>
      </c>
      <c r="E79" s="4">
        <v>1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4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1</v>
      </c>
      <c r="AI79" s="4">
        <v>0</v>
      </c>
      <c r="AJ79" s="4">
        <v>0</v>
      </c>
      <c r="AK79" s="4">
        <v>0</v>
      </c>
      <c r="AL79" s="4">
        <v>0</v>
      </c>
      <c r="AM79" s="1">
        <v>1</v>
      </c>
      <c r="AN79" s="1">
        <v>1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1">
        <v>1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1">
        <v>14</v>
      </c>
      <c r="BC79" s="4">
        <v>0</v>
      </c>
      <c r="BD79" s="4">
        <v>6</v>
      </c>
      <c r="BE79" s="4">
        <v>2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1">
        <v>11</v>
      </c>
      <c r="BQ79" s="4">
        <v>6</v>
      </c>
      <c r="BR79" s="4">
        <v>0</v>
      </c>
      <c r="BS79" s="4">
        <v>0</v>
      </c>
      <c r="BT79" s="4">
        <v>1</v>
      </c>
      <c r="BU79" s="4">
        <v>1</v>
      </c>
      <c r="BV79" s="4">
        <v>0</v>
      </c>
      <c r="BW79" s="4">
        <v>0</v>
      </c>
      <c r="BX79" s="4">
        <v>0</v>
      </c>
      <c r="BY79" s="4">
        <v>0</v>
      </c>
      <c r="BZ79" s="4">
        <v>1</v>
      </c>
      <c r="CA79" s="4">
        <v>0</v>
      </c>
      <c r="CB79" s="4">
        <v>1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1</v>
      </c>
      <c r="CV79" s="4">
        <v>1</v>
      </c>
      <c r="CW79" s="4">
        <v>0</v>
      </c>
      <c r="CX79" s="4">
        <v>0</v>
      </c>
      <c r="CY79" s="4">
        <v>0</v>
      </c>
      <c r="CZ79" s="4">
        <v>0</v>
      </c>
      <c r="DA79" s="4">
        <v>1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2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1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1</v>
      </c>
      <c r="EQ79" s="4">
        <v>0</v>
      </c>
      <c r="ER79" s="4">
        <v>1</v>
      </c>
      <c r="ES79" s="4">
        <v>0</v>
      </c>
      <c r="ET79" s="4">
        <v>0</v>
      </c>
      <c r="EU79" s="4">
        <v>0</v>
      </c>
      <c r="EV79" s="4">
        <v>0</v>
      </c>
      <c r="EW79" s="4">
        <v>1</v>
      </c>
      <c r="EX79" s="4">
        <v>3</v>
      </c>
      <c r="EY79" s="4">
        <v>1</v>
      </c>
      <c r="EZ79" s="4">
        <v>0</v>
      </c>
      <c r="FA79" s="4">
        <v>0</v>
      </c>
      <c r="FB79" s="1">
        <v>6</v>
      </c>
      <c r="FC79" s="4">
        <v>0</v>
      </c>
      <c r="FD79" s="4">
        <v>1</v>
      </c>
      <c r="FE79" s="4">
        <v>0</v>
      </c>
      <c r="FF79" s="4">
        <v>1</v>
      </c>
      <c r="FG79" s="4">
        <v>1</v>
      </c>
      <c r="FH79" s="4">
        <v>1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2</v>
      </c>
      <c r="FP79" s="4">
        <v>0</v>
      </c>
      <c r="FQ79" s="4">
        <v>0</v>
      </c>
      <c r="FR79" s="4">
        <v>0</v>
      </c>
      <c r="FS79" s="4">
        <v>0</v>
      </c>
      <c r="FT79" s="4">
        <v>2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1</v>
      </c>
      <c r="GB79" s="4">
        <v>0</v>
      </c>
      <c r="GC79" s="1">
        <v>1</v>
      </c>
      <c r="GD79" s="4">
        <v>0</v>
      </c>
      <c r="GE79" s="4">
        <v>1</v>
      </c>
      <c r="GF79" s="4">
        <v>2</v>
      </c>
      <c r="GG79" s="4">
        <v>0</v>
      </c>
      <c r="GH79" s="1">
        <v>1</v>
      </c>
      <c r="GI79" s="1">
        <v>1</v>
      </c>
      <c r="GJ79" s="4">
        <v>0</v>
      </c>
      <c r="GK79" s="4">
        <v>0</v>
      </c>
      <c r="GL79" s="4">
        <v>0</v>
      </c>
      <c r="GM79" s="4">
        <v>0</v>
      </c>
      <c r="GO79" s="4">
        <f t="shared" si="2"/>
        <v>46</v>
      </c>
      <c r="GP79" s="4">
        <f t="shared" si="3"/>
        <v>96</v>
      </c>
    </row>
    <row r="80" spans="1:198" x14ac:dyDescent="0.3">
      <c r="A80" s="10" t="s">
        <v>694</v>
      </c>
      <c r="B80" s="1">
        <v>1</v>
      </c>
      <c r="C80" s="4">
        <v>0</v>
      </c>
      <c r="D80" s="1">
        <v>1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1">
        <v>1</v>
      </c>
      <c r="AN80" s="1">
        <v>1</v>
      </c>
      <c r="AO80" s="4">
        <v>0</v>
      </c>
      <c r="AP80" s="4">
        <v>0</v>
      </c>
      <c r="AQ80" s="4">
        <v>0</v>
      </c>
      <c r="AR80" s="4">
        <v>1</v>
      </c>
      <c r="AS80" s="4">
        <v>0</v>
      </c>
      <c r="AT80" s="1">
        <v>1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1">
        <v>9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1">
        <v>1</v>
      </c>
      <c r="BQ80" s="4">
        <v>3</v>
      </c>
      <c r="BR80" s="4">
        <v>1</v>
      </c>
      <c r="BS80" s="4">
        <v>0</v>
      </c>
      <c r="BT80" s="4">
        <v>0</v>
      </c>
      <c r="BU80" s="4">
        <v>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1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1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1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2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1">
        <v>5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1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12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1">
        <v>1</v>
      </c>
      <c r="GD80" s="4">
        <v>0</v>
      </c>
      <c r="GE80" s="4">
        <v>0</v>
      </c>
      <c r="GF80" s="4">
        <v>1</v>
      </c>
      <c r="GG80" s="4">
        <v>0</v>
      </c>
      <c r="GH80" s="1">
        <v>1</v>
      </c>
      <c r="GI80" s="1">
        <v>1</v>
      </c>
      <c r="GJ80" s="4">
        <v>0</v>
      </c>
      <c r="GK80" s="4">
        <v>0</v>
      </c>
      <c r="GL80" s="4">
        <v>0</v>
      </c>
      <c r="GM80" s="4">
        <v>0</v>
      </c>
      <c r="GO80" s="4">
        <f t="shared" si="2"/>
        <v>27</v>
      </c>
      <c r="GP80" s="4">
        <f t="shared" si="3"/>
        <v>52</v>
      </c>
    </row>
    <row r="81" spans="1:198" x14ac:dyDescent="0.3">
      <c r="A81" s="10" t="s">
        <v>693</v>
      </c>
      <c r="B81" s="1">
        <v>1</v>
      </c>
      <c r="C81" s="4">
        <v>0</v>
      </c>
      <c r="D81" s="1">
        <v>1</v>
      </c>
      <c r="E81" s="4">
        <v>0</v>
      </c>
      <c r="F81" s="4">
        <v>1</v>
      </c>
      <c r="G81" s="4">
        <v>0</v>
      </c>
      <c r="H81" s="4">
        <v>0</v>
      </c>
      <c r="I81" s="4">
        <v>2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2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2</v>
      </c>
      <c r="AI81" s="4">
        <v>0</v>
      </c>
      <c r="AJ81" s="4">
        <v>0</v>
      </c>
      <c r="AK81" s="4">
        <v>0</v>
      </c>
      <c r="AL81" s="4">
        <v>0</v>
      </c>
      <c r="AM81" s="1">
        <v>3</v>
      </c>
      <c r="AN81" s="1">
        <v>3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1">
        <v>1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1">
        <v>13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1">
        <v>3</v>
      </c>
      <c r="BQ81" s="4">
        <v>1</v>
      </c>
      <c r="BR81" s="4">
        <v>0</v>
      </c>
      <c r="BS81" s="4">
        <v>0</v>
      </c>
      <c r="BT81" s="4">
        <v>1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4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2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1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1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1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1">
        <v>3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1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1">
        <v>1</v>
      </c>
      <c r="GD81" s="4">
        <v>0</v>
      </c>
      <c r="GE81" s="4">
        <v>0</v>
      </c>
      <c r="GF81" s="4">
        <v>1</v>
      </c>
      <c r="GG81" s="4">
        <v>0</v>
      </c>
      <c r="GH81" s="1">
        <v>1</v>
      </c>
      <c r="GI81" s="1">
        <v>0</v>
      </c>
      <c r="GJ81" s="4">
        <v>0</v>
      </c>
      <c r="GK81" s="4">
        <v>0</v>
      </c>
      <c r="GL81" s="4">
        <v>0</v>
      </c>
      <c r="GM81" s="4">
        <v>0</v>
      </c>
      <c r="GO81" s="4">
        <f t="shared" si="2"/>
        <v>26</v>
      </c>
      <c r="GP81" s="4">
        <f t="shared" si="3"/>
        <v>52</v>
      </c>
    </row>
    <row r="82" spans="1:198" x14ac:dyDescent="0.3">
      <c r="A82" s="10" t="s">
        <v>692</v>
      </c>
      <c r="B82" s="1">
        <v>1</v>
      </c>
      <c r="C82" s="4">
        <v>0</v>
      </c>
      <c r="D82" s="1">
        <v>1</v>
      </c>
      <c r="E82" s="4">
        <v>1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1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1">
        <v>1</v>
      </c>
      <c r="AN82" s="1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1">
        <v>1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1">
        <v>8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1">
        <v>2</v>
      </c>
      <c r="BQ82" s="4">
        <v>0</v>
      </c>
      <c r="BR82" s="4">
        <v>0</v>
      </c>
      <c r="BS82" s="4">
        <v>0</v>
      </c>
      <c r="BT82" s="4">
        <v>1</v>
      </c>
      <c r="BU82" s="4">
        <v>1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3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1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1</v>
      </c>
      <c r="DO82" s="4">
        <v>0</v>
      </c>
      <c r="DP82" s="4">
        <v>0</v>
      </c>
      <c r="DQ82" s="4">
        <v>0</v>
      </c>
      <c r="DR82" s="4">
        <v>0</v>
      </c>
      <c r="DS82" s="4">
        <v>1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1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1">
        <v>6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1</v>
      </c>
      <c r="FI82" s="4">
        <v>0</v>
      </c>
      <c r="FJ82" s="4">
        <v>0</v>
      </c>
      <c r="FK82" s="4">
        <v>1</v>
      </c>
      <c r="FL82" s="4">
        <v>0</v>
      </c>
      <c r="FM82" s="4">
        <v>0</v>
      </c>
      <c r="FN82" s="4">
        <v>0</v>
      </c>
      <c r="FO82" s="4">
        <v>12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1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1</v>
      </c>
      <c r="GC82" s="1">
        <v>1</v>
      </c>
      <c r="GD82" s="4">
        <v>0</v>
      </c>
      <c r="GE82" s="4">
        <v>0</v>
      </c>
      <c r="GF82" s="4">
        <v>1</v>
      </c>
      <c r="GG82" s="4">
        <v>0</v>
      </c>
      <c r="GH82" s="1">
        <v>1</v>
      </c>
      <c r="GI82" s="1">
        <v>1</v>
      </c>
      <c r="GJ82" s="4">
        <v>0</v>
      </c>
      <c r="GK82" s="4">
        <v>0</v>
      </c>
      <c r="GL82" s="4">
        <v>0</v>
      </c>
      <c r="GM82" s="4">
        <v>0</v>
      </c>
      <c r="GO82" s="4">
        <f t="shared" si="2"/>
        <v>30</v>
      </c>
      <c r="GP82" s="4">
        <f t="shared" si="3"/>
        <v>55</v>
      </c>
    </row>
    <row r="83" spans="1:198" x14ac:dyDescent="0.3">
      <c r="A83" s="10" t="s">
        <v>695</v>
      </c>
      <c r="B83" s="1">
        <v>4</v>
      </c>
      <c r="C83" s="4">
        <v>0</v>
      </c>
      <c r="D83" s="1">
        <v>1</v>
      </c>
      <c r="E83" s="4">
        <v>2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1">
        <v>1</v>
      </c>
      <c r="AN83" s="1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1">
        <v>1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1">
        <v>17</v>
      </c>
      <c r="BC83" s="4">
        <v>0</v>
      </c>
      <c r="BD83" s="4">
        <v>6</v>
      </c>
      <c r="BE83" s="4">
        <v>2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1</v>
      </c>
      <c r="BL83" s="4">
        <v>0</v>
      </c>
      <c r="BM83" s="4">
        <v>0</v>
      </c>
      <c r="BN83" s="4">
        <v>0</v>
      </c>
      <c r="BO83" s="4">
        <v>0</v>
      </c>
      <c r="BP83" s="1">
        <v>9</v>
      </c>
      <c r="BQ83" s="4">
        <v>0</v>
      </c>
      <c r="BR83" s="4">
        <v>0</v>
      </c>
      <c r="BS83" s="4">
        <v>0</v>
      </c>
      <c r="BT83" s="4">
        <v>1</v>
      </c>
      <c r="BU83" s="4">
        <v>1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1</v>
      </c>
      <c r="CV83" s="4">
        <v>1</v>
      </c>
      <c r="CW83" s="4">
        <v>0</v>
      </c>
      <c r="CX83" s="4">
        <v>0</v>
      </c>
      <c r="CY83" s="4">
        <v>0</v>
      </c>
      <c r="CZ83" s="4">
        <v>0</v>
      </c>
      <c r="DA83" s="4">
        <v>1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1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1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1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1</v>
      </c>
      <c r="EX83" s="4">
        <v>2</v>
      </c>
      <c r="EY83" s="4">
        <v>0</v>
      </c>
      <c r="EZ83" s="4">
        <v>0</v>
      </c>
      <c r="FA83" s="4">
        <v>0</v>
      </c>
      <c r="FB83" s="1">
        <v>4</v>
      </c>
      <c r="FC83" s="4">
        <v>0</v>
      </c>
      <c r="FD83" s="4">
        <v>1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1</v>
      </c>
      <c r="FW83" s="4">
        <v>0</v>
      </c>
      <c r="FX83" s="4">
        <v>0</v>
      </c>
      <c r="FY83" s="4">
        <v>0</v>
      </c>
      <c r="FZ83" s="4">
        <v>0</v>
      </c>
      <c r="GA83" s="4">
        <v>1</v>
      </c>
      <c r="GB83" s="4">
        <v>0</v>
      </c>
      <c r="GC83" s="1">
        <v>1</v>
      </c>
      <c r="GD83" s="4">
        <v>0</v>
      </c>
      <c r="GE83" s="4">
        <v>0</v>
      </c>
      <c r="GF83" s="4">
        <v>1</v>
      </c>
      <c r="GG83" s="4">
        <v>0</v>
      </c>
      <c r="GH83" s="1">
        <v>1</v>
      </c>
      <c r="GI83" s="1">
        <v>1</v>
      </c>
      <c r="GJ83" s="4">
        <v>0</v>
      </c>
      <c r="GK83" s="4">
        <v>0</v>
      </c>
      <c r="GL83" s="4">
        <v>0</v>
      </c>
      <c r="GM83" s="4">
        <v>0</v>
      </c>
      <c r="GO83" s="4">
        <f t="shared" si="2"/>
        <v>31</v>
      </c>
      <c r="GP83" s="4">
        <f t="shared" si="3"/>
        <v>68</v>
      </c>
    </row>
    <row r="84" spans="1:198" x14ac:dyDescent="0.3">
      <c r="A84" s="10" t="s">
        <v>696</v>
      </c>
      <c r="B84" s="1">
        <v>4</v>
      </c>
      <c r="C84" s="4">
        <v>0</v>
      </c>
      <c r="D84" s="1">
        <v>1</v>
      </c>
      <c r="E84" s="4">
        <v>1</v>
      </c>
      <c r="F84" s="4">
        <v>1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0</v>
      </c>
      <c r="M84" s="4">
        <v>0</v>
      </c>
      <c r="N84" s="4">
        <v>0</v>
      </c>
      <c r="O84" s="4">
        <v>1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</v>
      </c>
      <c r="Z84" s="4">
        <v>0</v>
      </c>
      <c r="AA84" s="4">
        <v>4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0</v>
      </c>
      <c r="AL84" s="4">
        <v>0</v>
      </c>
      <c r="AM84" s="1">
        <v>1</v>
      </c>
      <c r="AN84" s="1">
        <v>1</v>
      </c>
      <c r="AO84" s="4">
        <v>0</v>
      </c>
      <c r="AP84" s="4">
        <v>0</v>
      </c>
      <c r="AQ84" s="4">
        <v>0</v>
      </c>
      <c r="AR84" s="4">
        <v>1</v>
      </c>
      <c r="AS84" s="4">
        <v>0</v>
      </c>
      <c r="AT84" s="1">
        <v>1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1">
        <v>19</v>
      </c>
      <c r="BC84" s="4">
        <v>0</v>
      </c>
      <c r="BD84" s="4">
        <v>0</v>
      </c>
      <c r="BE84" s="4">
        <v>19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0</v>
      </c>
      <c r="BP84" s="1">
        <v>4</v>
      </c>
      <c r="BQ84" s="4">
        <v>0</v>
      </c>
      <c r="BR84" s="4">
        <v>0</v>
      </c>
      <c r="BS84" s="4">
        <v>0</v>
      </c>
      <c r="BT84" s="4">
        <v>1</v>
      </c>
      <c r="BU84" s="4">
        <v>2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4">
        <v>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>
        <v>0</v>
      </c>
      <c r="CR84" s="4">
        <v>0</v>
      </c>
      <c r="CS84" s="4">
        <v>0</v>
      </c>
      <c r="CT84" s="4">
        <v>1</v>
      </c>
      <c r="CU84" s="4">
        <v>1</v>
      </c>
      <c r="CV84" s="4">
        <v>0</v>
      </c>
      <c r="CW84" s="4">
        <v>0</v>
      </c>
      <c r="CX84" s="4">
        <v>0</v>
      </c>
      <c r="CY84" s="4">
        <v>0</v>
      </c>
      <c r="CZ84" s="4">
        <v>1</v>
      </c>
      <c r="DA84" s="4">
        <v>1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1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1">
        <v>10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4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1">
        <v>1</v>
      </c>
      <c r="GD84" s="4">
        <v>0</v>
      </c>
      <c r="GE84" s="4">
        <v>0</v>
      </c>
      <c r="GF84" s="4">
        <v>1</v>
      </c>
      <c r="GG84" s="4">
        <v>0</v>
      </c>
      <c r="GH84" s="1">
        <v>1</v>
      </c>
      <c r="GI84" s="1">
        <v>1</v>
      </c>
      <c r="GJ84" s="4">
        <v>0</v>
      </c>
      <c r="GK84" s="4">
        <v>0</v>
      </c>
      <c r="GL84" s="4">
        <v>0</v>
      </c>
      <c r="GM84" s="4">
        <v>0</v>
      </c>
      <c r="GO84" s="4">
        <f t="shared" si="2"/>
        <v>34</v>
      </c>
      <c r="GP84" s="4">
        <f t="shared" si="3"/>
        <v>91</v>
      </c>
    </row>
    <row r="85" spans="1:198" x14ac:dyDescent="0.3">
      <c r="A85" s="10" t="s">
        <v>697</v>
      </c>
      <c r="B85" s="1">
        <v>3</v>
      </c>
      <c r="C85" s="4">
        <v>0</v>
      </c>
      <c r="D85" s="1">
        <v>2</v>
      </c>
      <c r="E85" s="4">
        <v>0</v>
      </c>
      <c r="F85" s="4">
        <v>1</v>
      </c>
      <c r="G85" s="4">
        <v>0</v>
      </c>
      <c r="H85" s="4">
        <v>0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3</v>
      </c>
      <c r="P85" s="4">
        <v>0</v>
      </c>
      <c r="Q85" s="4">
        <v>0</v>
      </c>
      <c r="R85" s="4">
        <v>0</v>
      </c>
      <c r="S85" s="4">
        <v>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</v>
      </c>
      <c r="AH85" s="4">
        <v>1</v>
      </c>
      <c r="AI85" s="4">
        <v>0</v>
      </c>
      <c r="AJ85" s="4">
        <v>0</v>
      </c>
      <c r="AK85" s="4">
        <v>0</v>
      </c>
      <c r="AL85" s="4">
        <v>0</v>
      </c>
      <c r="AM85" s="1">
        <v>1</v>
      </c>
      <c r="AN85" s="1">
        <v>1</v>
      </c>
      <c r="AO85" s="4">
        <v>0</v>
      </c>
      <c r="AP85" s="4">
        <v>0</v>
      </c>
      <c r="AQ85" s="4">
        <v>0</v>
      </c>
      <c r="AR85" s="4">
        <v>1</v>
      </c>
      <c r="AS85" s="4">
        <v>0</v>
      </c>
      <c r="AT85" s="1">
        <v>1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1">
        <v>9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1">
        <v>2</v>
      </c>
      <c r="BQ85" s="4">
        <v>1</v>
      </c>
      <c r="BR85" s="4">
        <v>0</v>
      </c>
      <c r="BS85" s="4">
        <v>0</v>
      </c>
      <c r="BT85" s="4">
        <v>1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1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1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1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1</v>
      </c>
      <c r="DO85" s="4">
        <v>0</v>
      </c>
      <c r="DP85" s="4">
        <v>0</v>
      </c>
      <c r="DQ85" s="4">
        <v>0</v>
      </c>
      <c r="DR85" s="4">
        <v>0</v>
      </c>
      <c r="DS85" s="4">
        <v>1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1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1">
        <v>4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1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1">
        <v>1</v>
      </c>
      <c r="GD85" s="4">
        <v>0</v>
      </c>
      <c r="GE85" s="4">
        <v>0</v>
      </c>
      <c r="GF85" s="4">
        <v>1</v>
      </c>
      <c r="GG85" s="4">
        <v>0</v>
      </c>
      <c r="GH85" s="1">
        <v>1</v>
      </c>
      <c r="GI85" s="1">
        <v>0</v>
      </c>
      <c r="GJ85" s="4">
        <v>0</v>
      </c>
      <c r="GK85" s="4">
        <v>0</v>
      </c>
      <c r="GL85" s="4">
        <v>0</v>
      </c>
      <c r="GM85" s="4">
        <v>0</v>
      </c>
      <c r="GO85" s="4">
        <f t="shared" si="2"/>
        <v>30</v>
      </c>
      <c r="GP85" s="4">
        <f t="shared" si="3"/>
        <v>46</v>
      </c>
    </row>
    <row r="86" spans="1:198" x14ac:dyDescent="0.3">
      <c r="A86" s="10" t="s">
        <v>698</v>
      </c>
      <c r="B86" s="1">
        <v>5</v>
      </c>
      <c r="C86" s="4">
        <v>1</v>
      </c>
      <c r="D86" s="1">
        <v>2</v>
      </c>
      <c r="E86" s="4">
        <v>1</v>
      </c>
      <c r="F86" s="4">
        <v>1</v>
      </c>
      <c r="G86" s="4">
        <v>0</v>
      </c>
      <c r="H86" s="4">
        <v>0</v>
      </c>
      <c r="I86" s="4">
        <v>1</v>
      </c>
      <c r="J86" s="4">
        <v>1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1">
        <v>1</v>
      </c>
      <c r="AN86" s="1">
        <v>1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1">
        <v>1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1">
        <v>16</v>
      </c>
      <c r="BC86" s="4">
        <v>0</v>
      </c>
      <c r="BD86" s="4">
        <v>6</v>
      </c>
      <c r="BE86" s="4">
        <v>2</v>
      </c>
      <c r="BF86" s="4">
        <v>0</v>
      </c>
      <c r="BG86" s="4">
        <v>1</v>
      </c>
      <c r="BH86" s="4">
        <v>0</v>
      </c>
      <c r="BI86" s="4">
        <v>0</v>
      </c>
      <c r="BJ86" s="4">
        <v>0</v>
      </c>
      <c r="BK86" s="4">
        <v>1</v>
      </c>
      <c r="BL86" s="4">
        <v>0</v>
      </c>
      <c r="BM86" s="4">
        <v>0</v>
      </c>
      <c r="BN86" s="4">
        <v>0</v>
      </c>
      <c r="BO86" s="4">
        <v>0</v>
      </c>
      <c r="BP86" s="1">
        <v>5</v>
      </c>
      <c r="BQ86" s="4">
        <v>4</v>
      </c>
      <c r="BR86" s="4">
        <v>0</v>
      </c>
      <c r="BS86" s="4">
        <v>0</v>
      </c>
      <c r="BT86" s="4">
        <v>0</v>
      </c>
      <c r="BU86" s="4">
        <v>1</v>
      </c>
      <c r="BV86" s="4">
        <v>0</v>
      </c>
      <c r="BW86" s="4">
        <v>0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1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1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1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1</v>
      </c>
      <c r="EQ86" s="4">
        <v>0</v>
      </c>
      <c r="ER86" s="4">
        <v>1</v>
      </c>
      <c r="ES86" s="4">
        <v>0</v>
      </c>
      <c r="ET86" s="4">
        <v>1</v>
      </c>
      <c r="EU86" s="4">
        <v>0</v>
      </c>
      <c r="EV86" s="4">
        <v>0</v>
      </c>
      <c r="EW86" s="4">
        <v>1</v>
      </c>
      <c r="EX86" s="4">
        <v>2</v>
      </c>
      <c r="EY86" s="4">
        <v>0</v>
      </c>
      <c r="EZ86" s="4">
        <v>0</v>
      </c>
      <c r="FA86" s="4">
        <v>0</v>
      </c>
      <c r="FB86" s="1">
        <v>4</v>
      </c>
      <c r="FC86" s="4">
        <v>0</v>
      </c>
      <c r="FD86" s="4">
        <v>1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1</v>
      </c>
      <c r="FM86" s="4">
        <v>0</v>
      </c>
      <c r="FN86" s="4">
        <v>0</v>
      </c>
      <c r="FO86" s="4">
        <v>10</v>
      </c>
      <c r="FP86" s="4">
        <v>0</v>
      </c>
      <c r="FQ86" s="4">
        <v>0</v>
      </c>
      <c r="FR86" s="4">
        <v>0</v>
      </c>
      <c r="FS86" s="4">
        <v>0</v>
      </c>
      <c r="FT86" s="4">
        <v>3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1">
        <v>1</v>
      </c>
      <c r="GD86" s="4">
        <v>0</v>
      </c>
      <c r="GE86" s="4">
        <v>0</v>
      </c>
      <c r="GF86" s="4">
        <v>1</v>
      </c>
      <c r="GG86" s="4">
        <v>0</v>
      </c>
      <c r="GH86" s="1">
        <v>1</v>
      </c>
      <c r="GI86" s="1">
        <v>1</v>
      </c>
      <c r="GJ86" s="4">
        <v>0</v>
      </c>
      <c r="GK86" s="4">
        <v>0</v>
      </c>
      <c r="GL86" s="4">
        <v>0</v>
      </c>
      <c r="GM86" s="4">
        <v>0</v>
      </c>
      <c r="GO86" s="4">
        <f t="shared" si="2"/>
        <v>38</v>
      </c>
      <c r="GP86" s="4">
        <f t="shared" si="3"/>
        <v>85</v>
      </c>
    </row>
    <row r="87" spans="1:198" x14ac:dyDescent="0.3">
      <c r="A87" s="10" t="s">
        <v>699</v>
      </c>
      <c r="B87" s="1">
        <v>3</v>
      </c>
      <c r="C87" s="4">
        <v>0</v>
      </c>
      <c r="D87" s="1">
        <v>1</v>
      </c>
      <c r="E87" s="4">
        <v>1</v>
      </c>
      <c r="F87" s="4">
        <v>1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2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6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2</v>
      </c>
      <c r="AI87" s="4">
        <v>0</v>
      </c>
      <c r="AJ87" s="4">
        <v>0</v>
      </c>
      <c r="AK87" s="4">
        <v>0</v>
      </c>
      <c r="AL87" s="4">
        <v>0</v>
      </c>
      <c r="AM87" s="1">
        <v>1</v>
      </c>
      <c r="AN87" s="1">
        <v>1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1">
        <v>1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1">
        <v>13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1">
        <v>3</v>
      </c>
      <c r="BQ87" s="4">
        <v>0</v>
      </c>
      <c r="BR87" s="4">
        <v>0</v>
      </c>
      <c r="BS87" s="4">
        <v>0</v>
      </c>
      <c r="BT87" s="4">
        <v>1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1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1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1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1</v>
      </c>
      <c r="ED87" s="4">
        <v>1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1</v>
      </c>
      <c r="EY87" s="4">
        <v>0</v>
      </c>
      <c r="EZ87" s="4">
        <v>0</v>
      </c>
      <c r="FA87" s="4">
        <v>0</v>
      </c>
      <c r="FB87" s="1">
        <v>5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1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4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1">
        <v>1</v>
      </c>
      <c r="GD87" s="4">
        <v>0</v>
      </c>
      <c r="GE87" s="4">
        <v>0</v>
      </c>
      <c r="GF87" s="4">
        <v>1</v>
      </c>
      <c r="GG87" s="4">
        <v>0</v>
      </c>
      <c r="GH87" s="1">
        <v>1</v>
      </c>
      <c r="GI87" s="1">
        <v>1</v>
      </c>
      <c r="GJ87" s="4">
        <v>0</v>
      </c>
      <c r="GK87" s="4">
        <v>0</v>
      </c>
      <c r="GL87" s="4">
        <v>0</v>
      </c>
      <c r="GM87" s="4">
        <v>0</v>
      </c>
      <c r="GO87" s="4">
        <f t="shared" si="2"/>
        <v>29</v>
      </c>
      <c r="GP87" s="4">
        <f t="shared" si="3"/>
        <v>58</v>
      </c>
    </row>
    <row r="88" spans="1:198" x14ac:dyDescent="0.3">
      <c r="A88" s="10" t="s">
        <v>700</v>
      </c>
      <c r="B88" s="1">
        <v>1</v>
      </c>
      <c r="C88" s="4">
        <v>0</v>
      </c>
      <c r="D88" s="1">
        <v>1</v>
      </c>
      <c r="E88" s="4">
        <v>0</v>
      </c>
      <c r="F88" s="4">
        <v>1</v>
      </c>
      <c r="G88" s="4">
        <v>0</v>
      </c>
      <c r="H88" s="4">
        <v>0</v>
      </c>
      <c r="I88" s="4">
        <v>4</v>
      </c>
      <c r="J88" s="4">
        <v>2</v>
      </c>
      <c r="K88" s="4">
        <v>0</v>
      </c>
      <c r="L88" s="4">
        <v>0</v>
      </c>
      <c r="M88" s="4">
        <v>0</v>
      </c>
      <c r="N88" s="4">
        <v>0</v>
      </c>
      <c r="O88" s="4">
        <v>3</v>
      </c>
      <c r="P88" s="4">
        <v>0</v>
      </c>
      <c r="Q88" s="4">
        <v>0</v>
      </c>
      <c r="R88" s="4">
        <v>0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1</v>
      </c>
      <c r="AL88" s="4">
        <v>0</v>
      </c>
      <c r="AM88" s="1">
        <v>1</v>
      </c>
      <c r="AN88" s="1">
        <v>2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1">
        <v>1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1">
        <v>7</v>
      </c>
      <c r="BC88" s="4">
        <v>2</v>
      </c>
      <c r="BD88" s="4">
        <v>0</v>
      </c>
      <c r="BE88" s="4">
        <v>2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1</v>
      </c>
      <c r="BN88" s="4">
        <v>0</v>
      </c>
      <c r="BO88" s="4">
        <v>0</v>
      </c>
      <c r="BP88" s="1">
        <v>4</v>
      </c>
      <c r="BQ88" s="4">
        <v>5</v>
      </c>
      <c r="BR88" s="4">
        <v>0</v>
      </c>
      <c r="BS88" s="4">
        <v>0</v>
      </c>
      <c r="BT88" s="4">
        <v>1</v>
      </c>
      <c r="BU88" s="4">
        <v>0</v>
      </c>
      <c r="BV88" s="4">
        <v>0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4">
        <v>1</v>
      </c>
      <c r="CD88" s="4">
        <v>0</v>
      </c>
      <c r="CE88" s="4">
        <v>0</v>
      </c>
      <c r="CF88" s="4">
        <v>0</v>
      </c>
      <c r="CG88" s="4">
        <v>0</v>
      </c>
      <c r="CH88" s="4">
        <v>2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1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2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24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1">
        <v>9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1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1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1">
        <v>1</v>
      </c>
      <c r="GD88" s="4">
        <v>0</v>
      </c>
      <c r="GE88" s="4">
        <v>0</v>
      </c>
      <c r="GF88" s="4">
        <v>1</v>
      </c>
      <c r="GG88" s="4">
        <v>0</v>
      </c>
      <c r="GH88" s="1">
        <v>1</v>
      </c>
      <c r="GI88" s="1">
        <v>1</v>
      </c>
      <c r="GJ88" s="4">
        <v>0</v>
      </c>
      <c r="GK88" s="4">
        <v>0</v>
      </c>
      <c r="GL88" s="4">
        <v>0</v>
      </c>
      <c r="GM88" s="4">
        <v>0</v>
      </c>
      <c r="GO88" s="4">
        <f t="shared" si="2"/>
        <v>35</v>
      </c>
      <c r="GP88" s="4">
        <f t="shared" si="3"/>
        <v>89</v>
      </c>
    </row>
    <row r="89" spans="1:198" x14ac:dyDescent="0.3">
      <c r="A89" s="10" t="s">
        <v>702</v>
      </c>
      <c r="B89" s="1">
        <v>4</v>
      </c>
      <c r="C89" s="4">
        <v>0</v>
      </c>
      <c r="D89" s="1">
        <v>1</v>
      </c>
      <c r="E89" s="4">
        <v>1</v>
      </c>
      <c r="F89" s="4">
        <v>1</v>
      </c>
      <c r="G89" s="4">
        <v>0</v>
      </c>
      <c r="H89" s="4">
        <v>0</v>
      </c>
      <c r="I89" s="4">
        <v>0</v>
      </c>
      <c r="J89" s="4">
        <v>1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1</v>
      </c>
      <c r="AI89" s="4">
        <v>0</v>
      </c>
      <c r="AJ89" s="4">
        <v>0</v>
      </c>
      <c r="AK89" s="4">
        <v>0</v>
      </c>
      <c r="AL89" s="4">
        <v>0</v>
      </c>
      <c r="AM89" s="1">
        <v>1</v>
      </c>
      <c r="AN89" s="1">
        <v>1</v>
      </c>
      <c r="AO89" s="4">
        <v>1</v>
      </c>
      <c r="AP89" s="4">
        <v>0</v>
      </c>
      <c r="AQ89" s="4">
        <v>0</v>
      </c>
      <c r="AR89" s="4">
        <v>1</v>
      </c>
      <c r="AS89" s="4">
        <v>0</v>
      </c>
      <c r="AT89" s="1">
        <v>1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1">
        <v>16</v>
      </c>
      <c r="BC89" s="4">
        <v>0</v>
      </c>
      <c r="BD89" s="4">
        <v>6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1">
        <v>3</v>
      </c>
      <c r="BQ89" s="4">
        <v>10</v>
      </c>
      <c r="BR89" s="4">
        <v>0</v>
      </c>
      <c r="BS89" s="4">
        <v>0</v>
      </c>
      <c r="BT89" s="4">
        <v>0</v>
      </c>
      <c r="BU89" s="4">
        <v>1</v>
      </c>
      <c r="BV89" s="4">
        <v>0</v>
      </c>
      <c r="BW89" s="4">
        <v>0</v>
      </c>
      <c r="BX89" s="4">
        <v>0</v>
      </c>
      <c r="BY89" s="4">
        <v>0</v>
      </c>
      <c r="BZ89" s="4">
        <v>1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1</v>
      </c>
      <c r="CV89" s="4">
        <v>1</v>
      </c>
      <c r="CW89" s="4">
        <v>0</v>
      </c>
      <c r="CX89" s="4">
        <v>0</v>
      </c>
      <c r="CY89" s="4">
        <v>0</v>
      </c>
      <c r="CZ89" s="4">
        <v>0</v>
      </c>
      <c r="DA89" s="4">
        <v>1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1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1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1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1</v>
      </c>
      <c r="EX89" s="4">
        <v>2</v>
      </c>
      <c r="EY89" s="4">
        <v>0</v>
      </c>
      <c r="EZ89" s="4">
        <v>0</v>
      </c>
      <c r="FA89" s="4">
        <v>0</v>
      </c>
      <c r="FB89" s="1">
        <v>3</v>
      </c>
      <c r="FC89" s="4">
        <v>0</v>
      </c>
      <c r="FD89" s="4">
        <v>1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2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1</v>
      </c>
      <c r="GB89" s="4">
        <v>0</v>
      </c>
      <c r="GC89" s="1">
        <v>1</v>
      </c>
      <c r="GD89" s="4">
        <v>0</v>
      </c>
      <c r="GE89" s="4">
        <v>0</v>
      </c>
      <c r="GF89" s="4">
        <v>1</v>
      </c>
      <c r="GG89" s="4">
        <v>0</v>
      </c>
      <c r="GH89" s="1">
        <v>1</v>
      </c>
      <c r="GI89" s="1">
        <v>1</v>
      </c>
      <c r="GJ89" s="4">
        <v>0</v>
      </c>
      <c r="GK89" s="4">
        <v>0</v>
      </c>
      <c r="GL89" s="4">
        <v>0</v>
      </c>
      <c r="GM89" s="4">
        <v>0</v>
      </c>
      <c r="GO89" s="4">
        <f t="shared" si="2"/>
        <v>36</v>
      </c>
      <c r="GP89" s="4">
        <f t="shared" si="3"/>
        <v>73</v>
      </c>
    </row>
    <row r="90" spans="1:198" x14ac:dyDescent="0.3">
      <c r="A90" s="10" t="s">
        <v>701</v>
      </c>
      <c r="B90" s="1">
        <v>4</v>
      </c>
      <c r="C90" s="4">
        <v>0</v>
      </c>
      <c r="D90" s="1">
        <v>1</v>
      </c>
      <c r="E90" s="4">
        <v>0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1">
        <v>1</v>
      </c>
      <c r="AN90" s="1">
        <v>1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1">
        <v>1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1">
        <v>14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1">
        <v>6</v>
      </c>
      <c r="BQ90" s="4">
        <v>0</v>
      </c>
      <c r="BR90" s="4">
        <v>0</v>
      </c>
      <c r="BS90" s="4">
        <v>0</v>
      </c>
      <c r="BT90" s="4">
        <v>1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2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1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1</v>
      </c>
      <c r="DT90" s="4">
        <v>1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1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1">
        <v>7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1</v>
      </c>
      <c r="GB90" s="4">
        <v>0</v>
      </c>
      <c r="GC90" s="1">
        <v>1</v>
      </c>
      <c r="GD90" s="4">
        <v>0</v>
      </c>
      <c r="GE90" s="4">
        <v>0</v>
      </c>
      <c r="GF90" s="4">
        <v>1</v>
      </c>
      <c r="GG90" s="4">
        <v>1</v>
      </c>
      <c r="GH90" s="1">
        <v>1</v>
      </c>
      <c r="GI90" s="1">
        <v>1</v>
      </c>
      <c r="GJ90" s="4">
        <v>0</v>
      </c>
      <c r="GK90" s="4">
        <v>0</v>
      </c>
      <c r="GL90" s="4">
        <v>0</v>
      </c>
      <c r="GM90" s="4">
        <v>0</v>
      </c>
      <c r="GO90" s="4">
        <f t="shared" si="2"/>
        <v>24</v>
      </c>
      <c r="GP90" s="4">
        <f t="shared" si="3"/>
        <v>51</v>
      </c>
    </row>
    <row r="91" spans="1:198" x14ac:dyDescent="0.3">
      <c r="A91" s="10" t="s">
        <v>703</v>
      </c>
      <c r="B91" s="1">
        <v>3</v>
      </c>
      <c r="C91" s="4">
        <v>0</v>
      </c>
      <c r="D91" s="1">
        <v>1</v>
      </c>
      <c r="E91" s="4">
        <v>0</v>
      </c>
      <c r="F91" s="4">
        <v>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1">
        <v>1</v>
      </c>
      <c r="AN91" s="1">
        <v>1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1">
        <v>1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1">
        <v>5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1">
        <v>2</v>
      </c>
      <c r="BQ91" s="4">
        <v>0</v>
      </c>
      <c r="BR91" s="4">
        <v>0</v>
      </c>
      <c r="BS91" s="4">
        <v>0</v>
      </c>
      <c r="BT91" s="4">
        <v>0</v>
      </c>
      <c r="BU91" s="4">
        <v>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1</v>
      </c>
      <c r="CW91" s="4">
        <v>0</v>
      </c>
      <c r="CX91" s="4">
        <v>0</v>
      </c>
      <c r="CY91" s="4">
        <v>0</v>
      </c>
      <c r="CZ91" s="4">
        <v>0</v>
      </c>
      <c r="DA91" s="4">
        <v>1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1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1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1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1">
        <v>1</v>
      </c>
      <c r="GD91" s="4">
        <v>0</v>
      </c>
      <c r="GE91" s="4">
        <v>0</v>
      </c>
      <c r="GF91" s="4">
        <v>1</v>
      </c>
      <c r="GG91" s="4">
        <v>0</v>
      </c>
      <c r="GH91" s="1">
        <v>1</v>
      </c>
      <c r="GI91" s="1">
        <v>1</v>
      </c>
      <c r="GJ91" s="4">
        <v>0</v>
      </c>
      <c r="GK91" s="4">
        <v>0</v>
      </c>
      <c r="GL91" s="4">
        <v>0</v>
      </c>
      <c r="GM91" s="4">
        <v>0</v>
      </c>
      <c r="GO91" s="4">
        <f t="shared" si="2"/>
        <v>20</v>
      </c>
      <c r="GP91" s="4">
        <f t="shared" si="3"/>
        <v>28</v>
      </c>
    </row>
    <row r="92" spans="1:198" x14ac:dyDescent="0.3">
      <c r="A92" s="10" t="s">
        <v>704</v>
      </c>
      <c r="B92" s="1">
        <v>2</v>
      </c>
      <c r="C92" s="4">
        <v>0</v>
      </c>
      <c r="D92" s="1">
        <v>1</v>
      </c>
      <c r="E92" s="4">
        <v>0</v>
      </c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13</v>
      </c>
      <c r="AM92" s="1">
        <v>1</v>
      </c>
      <c r="AN92" s="1">
        <v>0</v>
      </c>
      <c r="AO92" s="4">
        <v>0</v>
      </c>
      <c r="AP92" s="4">
        <v>0</v>
      </c>
      <c r="AQ92" s="4">
        <v>1</v>
      </c>
      <c r="AR92" s="4">
        <v>1</v>
      </c>
      <c r="AS92" s="4">
        <v>0</v>
      </c>
      <c r="AT92" s="1">
        <v>1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1">
        <v>11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1">
        <v>0</v>
      </c>
      <c r="BQ92" s="4">
        <v>3</v>
      </c>
      <c r="BR92" s="4">
        <v>0</v>
      </c>
      <c r="BS92" s="4">
        <v>0</v>
      </c>
      <c r="BT92" s="4">
        <v>1</v>
      </c>
      <c r="BU92" s="4">
        <v>0</v>
      </c>
      <c r="BV92" s="4">
        <v>0</v>
      </c>
      <c r="BW92" s="4">
        <v>0</v>
      </c>
      <c r="BX92" s="4">
        <v>0</v>
      </c>
      <c r="BY92" s="4">
        <v>1</v>
      </c>
      <c r="BZ92" s="4">
        <v>1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>
        <v>0</v>
      </c>
      <c r="CR92" s="4">
        <v>0</v>
      </c>
      <c r="CS92" s="4">
        <v>0</v>
      </c>
      <c r="CT92" s="4">
        <v>0</v>
      </c>
      <c r="CU92" s="4">
        <v>1</v>
      </c>
      <c r="CV92" s="4">
        <v>1</v>
      </c>
      <c r="CW92" s="4">
        <v>0</v>
      </c>
      <c r="CX92" s="4">
        <v>2</v>
      </c>
      <c r="CY92" s="4">
        <v>0</v>
      </c>
      <c r="CZ92" s="4">
        <v>0</v>
      </c>
      <c r="DA92" s="4">
        <v>2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1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1</v>
      </c>
      <c r="DX92" s="4">
        <v>1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1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1">
        <v>5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1</v>
      </c>
      <c r="FI92" s="4">
        <v>0</v>
      </c>
      <c r="FJ92" s="4">
        <v>0</v>
      </c>
      <c r="FK92" s="4">
        <v>1</v>
      </c>
      <c r="FL92" s="4">
        <v>0</v>
      </c>
      <c r="FM92" s="4">
        <v>0</v>
      </c>
      <c r="FN92" s="4">
        <v>0</v>
      </c>
      <c r="FO92" s="4">
        <v>16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1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1">
        <v>1</v>
      </c>
      <c r="GD92" s="4">
        <v>0</v>
      </c>
      <c r="GE92" s="4">
        <v>0</v>
      </c>
      <c r="GF92" s="4">
        <v>1</v>
      </c>
      <c r="GG92" s="4">
        <v>0</v>
      </c>
      <c r="GH92" s="1">
        <v>1</v>
      </c>
      <c r="GI92" s="1">
        <v>1</v>
      </c>
      <c r="GJ92" s="4">
        <v>0</v>
      </c>
      <c r="GK92" s="4">
        <v>0</v>
      </c>
      <c r="GL92" s="4">
        <v>0</v>
      </c>
      <c r="GM92" s="4">
        <v>0</v>
      </c>
      <c r="GO92" s="4">
        <f t="shared" si="2"/>
        <v>34</v>
      </c>
      <c r="GP92" s="4">
        <f t="shared" si="3"/>
        <v>79</v>
      </c>
    </row>
    <row r="93" spans="1:198" x14ac:dyDescent="0.3">
      <c r="A93" s="10" t="s">
        <v>705</v>
      </c>
      <c r="B93" s="1">
        <v>2</v>
      </c>
      <c r="C93" s="4">
        <v>0</v>
      </c>
      <c r="D93" s="1">
        <v>1</v>
      </c>
      <c r="E93" s="4">
        <v>0</v>
      </c>
      <c r="F93" s="4">
        <v>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1">
        <v>1</v>
      </c>
      <c r="AN93" s="1">
        <v>1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1">
        <v>1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1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1">
        <v>1</v>
      </c>
      <c r="BQ93" s="4">
        <v>1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1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1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1">
        <v>4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1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1">
        <v>1</v>
      </c>
      <c r="GD93" s="4">
        <v>0</v>
      </c>
      <c r="GE93" s="4">
        <v>0</v>
      </c>
      <c r="GF93" s="4">
        <v>1</v>
      </c>
      <c r="GG93" s="4">
        <v>0</v>
      </c>
      <c r="GH93" s="1">
        <v>1</v>
      </c>
      <c r="GI93" s="1">
        <v>0</v>
      </c>
      <c r="GJ93" s="1">
        <v>1</v>
      </c>
      <c r="GK93" s="4">
        <v>0</v>
      </c>
      <c r="GL93" s="4">
        <v>0</v>
      </c>
      <c r="GM93" s="4">
        <v>0</v>
      </c>
      <c r="GO93" s="4">
        <f t="shared" si="2"/>
        <v>18</v>
      </c>
      <c r="GP93" s="4">
        <f t="shared" si="3"/>
        <v>24</v>
      </c>
    </row>
    <row r="94" spans="1:198" x14ac:dyDescent="0.3">
      <c r="A94" s="10" t="s">
        <v>706</v>
      </c>
      <c r="B94" s="1">
        <v>2</v>
      </c>
      <c r="C94" s="4">
        <v>0</v>
      </c>
      <c r="D94" s="1">
        <v>1</v>
      </c>
      <c r="E94" s="4">
        <v>2</v>
      </c>
      <c r="F94" s="4">
        <v>2</v>
      </c>
      <c r="G94" s="4">
        <v>0</v>
      </c>
      <c r="H94" s="4">
        <v>0</v>
      </c>
      <c r="I94" s="4">
        <v>0</v>
      </c>
      <c r="J94" s="4">
        <v>5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1">
        <v>1</v>
      </c>
      <c r="AN94" s="1">
        <v>1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1">
        <v>1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1">
        <v>10</v>
      </c>
      <c r="BC94" s="4">
        <v>0</v>
      </c>
      <c r="BD94" s="4">
        <v>0</v>
      </c>
      <c r="BE94" s="4">
        <v>4</v>
      </c>
      <c r="BF94" s="4">
        <v>0</v>
      </c>
      <c r="BG94" s="4">
        <v>0</v>
      </c>
      <c r="BH94" s="4">
        <v>0</v>
      </c>
      <c r="BI94" s="4">
        <v>0</v>
      </c>
      <c r="BJ94" s="4">
        <v>1</v>
      </c>
      <c r="BK94" s="4">
        <v>1</v>
      </c>
      <c r="BL94" s="4">
        <v>0</v>
      </c>
      <c r="BM94" s="4">
        <v>0</v>
      </c>
      <c r="BN94" s="4">
        <v>0</v>
      </c>
      <c r="BO94" s="4">
        <v>0</v>
      </c>
      <c r="BP94" s="1">
        <v>3</v>
      </c>
      <c r="BQ94" s="4">
        <v>2</v>
      </c>
      <c r="BR94" s="4">
        <v>0</v>
      </c>
      <c r="BS94" s="4">
        <v>11</v>
      </c>
      <c r="BT94" s="4">
        <v>1</v>
      </c>
      <c r="BU94" s="4">
        <v>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1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1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1">
        <v>3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12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1</v>
      </c>
      <c r="FZ94" s="4">
        <v>0</v>
      </c>
      <c r="GA94" s="4">
        <v>1</v>
      </c>
      <c r="GB94" s="4">
        <v>0</v>
      </c>
      <c r="GC94" s="1">
        <v>1</v>
      </c>
      <c r="GD94" s="4">
        <v>0</v>
      </c>
      <c r="GE94" s="4">
        <v>1</v>
      </c>
      <c r="GF94" s="4">
        <v>1</v>
      </c>
      <c r="GG94" s="4">
        <v>0</v>
      </c>
      <c r="GH94" s="1">
        <v>1</v>
      </c>
      <c r="GI94" s="1">
        <v>1</v>
      </c>
      <c r="GJ94" s="4">
        <v>0</v>
      </c>
      <c r="GK94" s="4">
        <v>0</v>
      </c>
      <c r="GL94" s="4">
        <v>0</v>
      </c>
      <c r="GM94" s="4">
        <v>0</v>
      </c>
      <c r="GO94" s="4">
        <f t="shared" si="2"/>
        <v>35</v>
      </c>
      <c r="GP94" s="4">
        <f t="shared" si="3"/>
        <v>81</v>
      </c>
    </row>
    <row r="95" spans="1:198" x14ac:dyDescent="0.3">
      <c r="A95" s="10" t="s">
        <v>707</v>
      </c>
      <c r="B95" s="1">
        <v>2</v>
      </c>
      <c r="C95" s="4">
        <v>0</v>
      </c>
      <c r="D95" s="1">
        <v>1</v>
      </c>
      <c r="E95" s="4">
        <v>0</v>
      </c>
      <c r="F95" s="4">
        <v>1</v>
      </c>
      <c r="G95" s="4">
        <v>0</v>
      </c>
      <c r="H95" s="4">
        <v>1</v>
      </c>
      <c r="I95" s="4">
        <v>1</v>
      </c>
      <c r="J95" s="4">
        <v>1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1">
        <v>1</v>
      </c>
      <c r="AN95" s="1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1">
        <v>1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1">
        <v>1</v>
      </c>
      <c r="BC95" s="4">
        <v>0</v>
      </c>
      <c r="BD95" s="4">
        <v>6</v>
      </c>
      <c r="BE95" s="4">
        <v>2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1">
        <v>3</v>
      </c>
      <c r="BQ95" s="4">
        <v>9</v>
      </c>
      <c r="BR95" s="4">
        <v>0</v>
      </c>
      <c r="BS95" s="4">
        <v>0</v>
      </c>
      <c r="BT95" s="4">
        <v>1</v>
      </c>
      <c r="BU95" s="4">
        <v>1</v>
      </c>
      <c r="BV95" s="4">
        <v>0</v>
      </c>
      <c r="BW95" s="4">
        <v>0</v>
      </c>
      <c r="BX95" s="4">
        <v>0</v>
      </c>
      <c r="BY95" s="4">
        <v>0</v>
      </c>
      <c r="BZ95" s="4">
        <v>1</v>
      </c>
      <c r="CA95" s="4">
        <v>0</v>
      </c>
      <c r="CB95" s="4">
        <v>1</v>
      </c>
      <c r="CC95" s="4">
        <v>0</v>
      </c>
      <c r="CD95" s="4">
        <v>0</v>
      </c>
      <c r="CE95" s="4">
        <v>0</v>
      </c>
      <c r="CF95" s="4">
        <v>0</v>
      </c>
      <c r="CG95" s="4">
        <v>2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1</v>
      </c>
      <c r="CV95" s="4">
        <v>1</v>
      </c>
      <c r="CW95" s="4">
        <v>0</v>
      </c>
      <c r="CX95" s="4">
        <v>0</v>
      </c>
      <c r="CY95" s="4">
        <v>0</v>
      </c>
      <c r="CZ95" s="4">
        <v>0</v>
      </c>
      <c r="DA95" s="4">
        <v>1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4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1</v>
      </c>
      <c r="EQ95" s="4">
        <v>0</v>
      </c>
      <c r="ER95" s="4">
        <v>1</v>
      </c>
      <c r="ES95" s="4">
        <v>0</v>
      </c>
      <c r="ET95" s="4">
        <v>0</v>
      </c>
      <c r="EU95" s="4">
        <v>0</v>
      </c>
      <c r="EV95" s="4">
        <v>0</v>
      </c>
      <c r="EW95" s="4">
        <v>1</v>
      </c>
      <c r="EX95" s="4">
        <v>2</v>
      </c>
      <c r="EY95" s="4">
        <v>0</v>
      </c>
      <c r="EZ95" s="4">
        <v>0</v>
      </c>
      <c r="FA95" s="4">
        <v>0</v>
      </c>
      <c r="FB95" s="1">
        <v>7</v>
      </c>
      <c r="FC95" s="4">
        <v>0</v>
      </c>
      <c r="FD95" s="4">
        <v>1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1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1</v>
      </c>
      <c r="GC95" s="1">
        <v>1</v>
      </c>
      <c r="GD95" s="4">
        <v>0</v>
      </c>
      <c r="GE95" s="4">
        <v>0</v>
      </c>
      <c r="GF95" s="4">
        <v>1</v>
      </c>
      <c r="GG95" s="4">
        <v>0</v>
      </c>
      <c r="GH95" s="1">
        <v>1</v>
      </c>
      <c r="GI95" s="1">
        <v>1</v>
      </c>
      <c r="GJ95" s="4">
        <v>0</v>
      </c>
      <c r="GK95" s="4">
        <v>0</v>
      </c>
      <c r="GL95" s="4">
        <v>0</v>
      </c>
      <c r="GM95" s="4">
        <v>0</v>
      </c>
      <c r="GO95" s="4">
        <f t="shared" si="2"/>
        <v>35</v>
      </c>
      <c r="GP95" s="4">
        <f t="shared" si="3"/>
        <v>62</v>
      </c>
    </row>
    <row r="96" spans="1:198" x14ac:dyDescent="0.3">
      <c r="A96" s="10" t="s">
        <v>708</v>
      </c>
      <c r="B96" s="1">
        <v>2</v>
      </c>
      <c r="C96" s="4">
        <v>0</v>
      </c>
      <c r="D96" s="1">
        <v>1</v>
      </c>
      <c r="E96" s="4">
        <v>1</v>
      </c>
      <c r="F96" s="4">
        <v>1</v>
      </c>
      <c r="G96" s="4">
        <v>0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1">
        <v>1</v>
      </c>
      <c r="AN96" s="1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1">
        <v>1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1">
        <v>6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0</v>
      </c>
      <c r="BP96" s="1">
        <v>24</v>
      </c>
      <c r="BQ96" s="4">
        <v>1</v>
      </c>
      <c r="BR96" s="4">
        <v>0</v>
      </c>
      <c r="BS96" s="4">
        <v>0</v>
      </c>
      <c r="BT96" s="4">
        <v>1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2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1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1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1">
        <v>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1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7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1">
        <v>1</v>
      </c>
      <c r="GD96" s="4">
        <v>0</v>
      </c>
      <c r="GE96" s="4">
        <v>0</v>
      </c>
      <c r="GF96" s="4">
        <v>1</v>
      </c>
      <c r="GG96" s="4">
        <v>0</v>
      </c>
      <c r="GH96" s="1">
        <v>1</v>
      </c>
      <c r="GI96" s="1">
        <v>1</v>
      </c>
      <c r="GJ96" s="1">
        <v>1</v>
      </c>
      <c r="GK96" s="4">
        <v>0</v>
      </c>
      <c r="GL96" s="4">
        <v>0</v>
      </c>
      <c r="GM96" s="4">
        <v>0</v>
      </c>
      <c r="GO96" s="4">
        <f t="shared" si="2"/>
        <v>28</v>
      </c>
      <c r="GP96" s="4">
        <f t="shared" si="3"/>
        <v>64</v>
      </c>
    </row>
    <row r="97" spans="1:222" x14ac:dyDescent="0.3">
      <c r="A97" s="10" t="s">
        <v>709</v>
      </c>
      <c r="B97" s="1">
        <v>3</v>
      </c>
      <c r="C97" s="4">
        <v>0</v>
      </c>
      <c r="D97" s="1">
        <v>1</v>
      </c>
      <c r="E97" s="4">
        <v>1</v>
      </c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4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1</v>
      </c>
      <c r="AI97" s="4">
        <v>0</v>
      </c>
      <c r="AJ97" s="4">
        <v>0</v>
      </c>
      <c r="AK97" s="4">
        <v>0</v>
      </c>
      <c r="AL97" s="4">
        <v>0</v>
      </c>
      <c r="AM97" s="1">
        <v>1</v>
      </c>
      <c r="AN97" s="1">
        <v>1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1">
        <v>1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1">
        <v>7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1">
        <v>5</v>
      </c>
      <c r="BQ97" s="4">
        <v>0</v>
      </c>
      <c r="BR97" s="4">
        <v>0</v>
      </c>
      <c r="BS97" s="4">
        <v>0</v>
      </c>
      <c r="BT97" s="4">
        <v>1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1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1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1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1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1</v>
      </c>
      <c r="GC97" s="1">
        <v>1</v>
      </c>
      <c r="GD97" s="4">
        <v>0</v>
      </c>
      <c r="GE97" s="4">
        <v>0</v>
      </c>
      <c r="GF97" s="4">
        <v>1</v>
      </c>
      <c r="GG97" s="4">
        <v>0</v>
      </c>
      <c r="GH97" s="1">
        <v>1</v>
      </c>
      <c r="GI97" s="1">
        <v>1</v>
      </c>
      <c r="GJ97" s="4">
        <v>0</v>
      </c>
      <c r="GK97" s="4">
        <v>0</v>
      </c>
      <c r="GL97" s="4">
        <v>0</v>
      </c>
      <c r="GM97" s="4">
        <v>0</v>
      </c>
      <c r="GO97" s="4">
        <f t="shared" si="2"/>
        <v>24</v>
      </c>
      <c r="GP97" s="4">
        <f t="shared" si="3"/>
        <v>38</v>
      </c>
    </row>
    <row r="98" spans="1:222" x14ac:dyDescent="0.3">
      <c r="A98" s="10" t="s">
        <v>710</v>
      </c>
      <c r="B98" s="1">
        <v>2</v>
      </c>
      <c r="C98" s="4">
        <v>1</v>
      </c>
      <c r="D98" s="1">
        <v>1</v>
      </c>
      <c r="E98" s="4">
        <v>0</v>
      </c>
      <c r="F98" s="4">
        <v>2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0</v>
      </c>
      <c r="M98" s="4">
        <v>0</v>
      </c>
      <c r="N98" s="4">
        <v>0</v>
      </c>
      <c r="O98" s="4">
        <v>1</v>
      </c>
      <c r="P98" s="4">
        <v>0</v>
      </c>
      <c r="Q98" s="4">
        <v>0</v>
      </c>
      <c r="R98" s="4">
        <v>0</v>
      </c>
      <c r="S98" s="4">
        <v>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</v>
      </c>
      <c r="AG98" s="4">
        <v>0</v>
      </c>
      <c r="AH98" s="4">
        <v>1</v>
      </c>
      <c r="AI98" s="4">
        <v>0</v>
      </c>
      <c r="AJ98" s="4">
        <v>0</v>
      </c>
      <c r="AK98" s="4">
        <v>0</v>
      </c>
      <c r="AL98" s="4">
        <v>0</v>
      </c>
      <c r="AM98" s="1">
        <v>1</v>
      </c>
      <c r="AN98" s="1">
        <v>1</v>
      </c>
      <c r="AO98" s="4">
        <v>0</v>
      </c>
      <c r="AP98" s="4">
        <v>0</v>
      </c>
      <c r="AQ98" s="4">
        <v>0</v>
      </c>
      <c r="AR98" s="4">
        <v>10</v>
      </c>
      <c r="AS98" s="4">
        <v>0</v>
      </c>
      <c r="AT98" s="1">
        <v>1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1">
        <v>10</v>
      </c>
      <c r="BC98" s="4">
        <v>10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1">
        <v>116</v>
      </c>
      <c r="BQ98" s="4">
        <v>4</v>
      </c>
      <c r="BR98" s="4">
        <v>0</v>
      </c>
      <c r="BS98" s="4">
        <v>0</v>
      </c>
      <c r="BT98" s="4">
        <v>1</v>
      </c>
      <c r="BU98" s="4">
        <v>1</v>
      </c>
      <c r="BV98" s="4">
        <v>0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1</v>
      </c>
      <c r="CZ98" s="4">
        <v>0</v>
      </c>
      <c r="DA98" s="4">
        <v>1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1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2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2</v>
      </c>
      <c r="EE98" s="4">
        <v>0</v>
      </c>
      <c r="EF98" s="4">
        <v>0</v>
      </c>
      <c r="EG98" s="4">
        <v>1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1">
        <v>3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1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1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1">
        <v>1</v>
      </c>
      <c r="GD98" s="4">
        <v>0</v>
      </c>
      <c r="GE98" s="4">
        <v>0</v>
      </c>
      <c r="GF98" s="4">
        <v>1</v>
      </c>
      <c r="GG98" s="4">
        <v>0</v>
      </c>
      <c r="GH98" s="1">
        <v>1</v>
      </c>
      <c r="GI98" s="1">
        <v>1</v>
      </c>
      <c r="GJ98" s="4">
        <v>0</v>
      </c>
      <c r="GK98" s="4">
        <v>0</v>
      </c>
      <c r="GL98" s="4">
        <v>0</v>
      </c>
      <c r="GM98" s="4">
        <v>0</v>
      </c>
      <c r="GO98" s="4">
        <f t="shared" si="2"/>
        <v>36</v>
      </c>
      <c r="GP98" s="4">
        <f t="shared" si="3"/>
        <v>191</v>
      </c>
    </row>
    <row r="99" spans="1:222" x14ac:dyDescent="0.3">
      <c r="A99" s="10" t="s">
        <v>711</v>
      </c>
      <c r="B99" s="1">
        <v>2</v>
      </c>
      <c r="C99" s="4">
        <v>0</v>
      </c>
      <c r="D99" s="1">
        <v>1</v>
      </c>
      <c r="E99" s="4">
        <v>0</v>
      </c>
      <c r="F99" s="4">
        <v>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</v>
      </c>
      <c r="AC99" s="4">
        <v>0</v>
      </c>
      <c r="AD99" s="4">
        <v>0</v>
      </c>
      <c r="AE99" s="4">
        <v>5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1">
        <v>1</v>
      </c>
      <c r="AN99" s="1">
        <v>1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1">
        <v>1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1">
        <v>5</v>
      </c>
      <c r="BC99" s="4">
        <v>0</v>
      </c>
      <c r="BD99" s="4">
        <v>0</v>
      </c>
      <c r="BE99" s="4">
        <v>2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1">
        <v>4</v>
      </c>
      <c r="BQ99" s="4">
        <v>0</v>
      </c>
      <c r="BR99" s="4">
        <v>0</v>
      </c>
      <c r="BS99" s="4">
        <v>0</v>
      </c>
      <c r="BT99" s="4">
        <v>1</v>
      </c>
      <c r="BU99" s="4">
        <v>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1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1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1">
        <v>3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1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1</v>
      </c>
      <c r="GB99" s="4">
        <v>0</v>
      </c>
      <c r="GC99" s="1">
        <v>1</v>
      </c>
      <c r="GD99" s="4">
        <v>0</v>
      </c>
      <c r="GE99" s="4">
        <v>0</v>
      </c>
      <c r="GF99" s="4">
        <v>1</v>
      </c>
      <c r="GG99" s="4">
        <v>0</v>
      </c>
      <c r="GH99" s="1">
        <v>1</v>
      </c>
      <c r="GI99" s="1">
        <v>1</v>
      </c>
      <c r="GJ99" s="4">
        <v>0</v>
      </c>
      <c r="GK99" s="4">
        <v>0</v>
      </c>
      <c r="GL99" s="4">
        <v>0</v>
      </c>
      <c r="GM99" s="4">
        <v>0</v>
      </c>
      <c r="GO99" s="4">
        <f t="shared" si="2"/>
        <v>25</v>
      </c>
      <c r="GP99" s="4">
        <f t="shared" si="3"/>
        <v>40</v>
      </c>
    </row>
    <row r="100" spans="1:222" x14ac:dyDescent="0.3">
      <c r="A100" s="10" t="s">
        <v>712</v>
      </c>
      <c r="B100" s="1">
        <v>5</v>
      </c>
      <c r="C100" s="4">
        <v>2</v>
      </c>
      <c r="D100" s="1">
        <v>1</v>
      </c>
      <c r="E100" s="4">
        <v>1</v>
      </c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1</v>
      </c>
      <c r="P100" s="4">
        <v>0</v>
      </c>
      <c r="Q100" s="4">
        <v>0</v>
      </c>
      <c r="R100" s="4">
        <v>0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1">
        <v>1</v>
      </c>
      <c r="AN100" s="1">
        <v>1</v>
      </c>
      <c r="AO100" s="4">
        <v>0</v>
      </c>
      <c r="AP100" s="4">
        <v>0</v>
      </c>
      <c r="AQ100" s="4">
        <v>0</v>
      </c>
      <c r="AR100" s="4">
        <v>1</v>
      </c>
      <c r="AS100" s="4">
        <v>0</v>
      </c>
      <c r="AT100" s="1">
        <v>1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1">
        <v>8</v>
      </c>
      <c r="BC100" s="4">
        <v>0</v>
      </c>
      <c r="BD100" s="4">
        <v>0</v>
      </c>
      <c r="BE100" s="4">
        <v>2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1</v>
      </c>
      <c r="BM100" s="4">
        <v>0</v>
      </c>
      <c r="BN100" s="4">
        <v>0</v>
      </c>
      <c r="BO100" s="4">
        <v>0</v>
      </c>
      <c r="BP100" s="1">
        <v>1</v>
      </c>
      <c r="BQ100" s="4">
        <v>1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1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1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1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1">
        <v>6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1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1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1</v>
      </c>
      <c r="GB100" s="4">
        <v>0</v>
      </c>
      <c r="GC100" s="1">
        <v>1</v>
      </c>
      <c r="GD100" s="4">
        <v>0</v>
      </c>
      <c r="GE100" s="4">
        <v>0</v>
      </c>
      <c r="GF100" s="4">
        <v>1</v>
      </c>
      <c r="GG100" s="4">
        <v>0</v>
      </c>
      <c r="GH100" s="1">
        <v>1</v>
      </c>
      <c r="GI100" s="1">
        <v>0</v>
      </c>
      <c r="GJ100" s="4">
        <v>0</v>
      </c>
      <c r="GK100" s="4">
        <v>0</v>
      </c>
      <c r="GL100" s="4">
        <v>0</v>
      </c>
      <c r="GM100" s="4">
        <v>0</v>
      </c>
      <c r="GO100" s="4">
        <f t="shared" si="2"/>
        <v>30</v>
      </c>
      <c r="GP100" s="4">
        <f t="shared" si="3"/>
        <v>47</v>
      </c>
    </row>
    <row r="101" spans="1:222" x14ac:dyDescent="0.3">
      <c r="A101" s="10" t="s">
        <v>713</v>
      </c>
      <c r="B101" s="1">
        <v>2</v>
      </c>
      <c r="C101" s="4">
        <v>0</v>
      </c>
      <c r="D101" s="1">
        <v>1</v>
      </c>
      <c r="E101" s="4">
        <v>0</v>
      </c>
      <c r="F101" s="4">
        <v>1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0</v>
      </c>
      <c r="AL101" s="4">
        <v>0</v>
      </c>
      <c r="AM101" s="1">
        <v>1</v>
      </c>
      <c r="AN101" s="1">
        <v>1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1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1">
        <v>13</v>
      </c>
      <c r="BC101" s="4">
        <v>0</v>
      </c>
      <c r="BD101" s="4">
        <v>6</v>
      </c>
      <c r="BE101" s="4">
        <v>2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1">
        <v>7</v>
      </c>
      <c r="BQ101" s="4">
        <v>0</v>
      </c>
      <c r="BR101" s="4">
        <v>0</v>
      </c>
      <c r="BS101" s="4">
        <v>0</v>
      </c>
      <c r="BT101" s="4">
        <v>1</v>
      </c>
      <c r="BU101" s="4">
        <v>1</v>
      </c>
      <c r="BV101" s="4">
        <v>0</v>
      </c>
      <c r="BW101" s="4">
        <v>0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1</v>
      </c>
      <c r="CW101" s="4">
        <v>0</v>
      </c>
      <c r="CX101" s="4">
        <v>0</v>
      </c>
      <c r="CY101" s="4">
        <v>0</v>
      </c>
      <c r="CZ101" s="4">
        <v>0</v>
      </c>
      <c r="DA101" s="4">
        <v>1</v>
      </c>
      <c r="DB101" s="4">
        <v>1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1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1</v>
      </c>
      <c r="EX101" s="4">
        <v>3</v>
      </c>
      <c r="EY101" s="4">
        <v>0</v>
      </c>
      <c r="EZ101" s="4">
        <v>0</v>
      </c>
      <c r="FA101" s="4">
        <v>0</v>
      </c>
      <c r="FB101" s="1">
        <v>4</v>
      </c>
      <c r="FC101" s="4">
        <v>0</v>
      </c>
      <c r="FD101" s="4">
        <v>1</v>
      </c>
      <c r="FE101" s="4">
        <v>0</v>
      </c>
      <c r="FF101" s="4">
        <v>0</v>
      </c>
      <c r="FG101" s="4">
        <v>0</v>
      </c>
      <c r="FH101" s="4">
        <v>1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1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1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1">
        <v>1</v>
      </c>
      <c r="GD101" s="4">
        <v>0</v>
      </c>
      <c r="GE101" s="4">
        <v>0</v>
      </c>
      <c r="GF101" s="4">
        <v>1</v>
      </c>
      <c r="GG101" s="4">
        <v>0</v>
      </c>
      <c r="GH101" s="1">
        <v>1</v>
      </c>
      <c r="GI101" s="1">
        <v>1</v>
      </c>
      <c r="GJ101" s="4">
        <v>0</v>
      </c>
      <c r="GK101" s="4">
        <v>0</v>
      </c>
      <c r="GL101" s="4">
        <v>0</v>
      </c>
      <c r="GM101" s="4">
        <v>0</v>
      </c>
      <c r="GO101" s="4">
        <f t="shared" si="2"/>
        <v>33</v>
      </c>
      <c r="GP101" s="4">
        <f t="shared" si="3"/>
        <v>62</v>
      </c>
    </row>
    <row r="102" spans="1:222" x14ac:dyDescent="0.3"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O102" s="1"/>
      <c r="AP102" s="1"/>
      <c r="AQ102" s="1"/>
      <c r="AR102" s="1"/>
      <c r="AS102" s="1"/>
      <c r="AU102" s="1"/>
      <c r="AV102" s="1"/>
      <c r="AW102" s="1"/>
      <c r="AX102" s="1"/>
      <c r="AY102" s="1"/>
      <c r="AZ102" s="1"/>
      <c r="BA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Q102" s="1"/>
      <c r="BR102" s="1"/>
      <c r="BS102" s="1"/>
      <c r="BT102" s="1"/>
      <c r="BU102" s="1"/>
      <c r="BV102" s="1"/>
      <c r="BW102" s="1"/>
      <c r="BX102" s="1"/>
      <c r="BY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D102" s="1"/>
      <c r="GE102" s="1"/>
      <c r="GF102" s="1"/>
      <c r="GG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</row>
    <row r="103" spans="1:222" x14ac:dyDescent="0.3"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O103" s="1"/>
      <c r="AP103" s="1"/>
      <c r="AQ103" s="1"/>
      <c r="AR103" s="1"/>
      <c r="AS103" s="1"/>
      <c r="AU103" s="1"/>
      <c r="AV103" s="1"/>
      <c r="AW103" s="1"/>
      <c r="AX103" s="1"/>
      <c r="AY103" s="1"/>
      <c r="AZ103" s="1"/>
      <c r="BA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Q103" s="1"/>
      <c r="BR103" s="1"/>
      <c r="BS103" s="1"/>
      <c r="BT103" s="1"/>
      <c r="BU103" s="1"/>
      <c r="BV103" s="1"/>
      <c r="BW103" s="1"/>
      <c r="BX103" s="1"/>
      <c r="BY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D103" s="1"/>
      <c r="GE103" s="1"/>
      <c r="GF103" s="1"/>
      <c r="GG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</row>
    <row r="104" spans="1:222" ht="17.399999999999999" x14ac:dyDescent="0.45">
      <c r="A104" s="7" t="s">
        <v>550</v>
      </c>
      <c r="B104" s="11">
        <f t="shared" ref="B104:BT104" si="4">COUNTIF(B2:B101,0)</f>
        <v>0</v>
      </c>
      <c r="C104" s="1">
        <f t="shared" si="4"/>
        <v>75</v>
      </c>
      <c r="D104" s="11">
        <f t="shared" si="4"/>
        <v>0</v>
      </c>
      <c r="E104" s="1">
        <f t="shared" si="4"/>
        <v>30</v>
      </c>
      <c r="F104" s="12">
        <f t="shared" si="4"/>
        <v>1</v>
      </c>
      <c r="G104" s="1">
        <f t="shared" si="4"/>
        <v>99</v>
      </c>
      <c r="H104" s="1">
        <f t="shared" si="4"/>
        <v>99</v>
      </c>
      <c r="I104" s="1">
        <f t="shared" si="4"/>
        <v>58</v>
      </c>
      <c r="J104" s="1">
        <f t="shared" si="4"/>
        <v>44</v>
      </c>
      <c r="K104" s="1">
        <f t="shared" si="4"/>
        <v>96</v>
      </c>
      <c r="L104" s="1">
        <f t="shared" si="4"/>
        <v>99</v>
      </c>
      <c r="M104" s="1">
        <f t="shared" si="4"/>
        <v>99</v>
      </c>
      <c r="N104" s="1">
        <f t="shared" si="4"/>
        <v>99</v>
      </c>
      <c r="O104" s="1">
        <f t="shared" si="4"/>
        <v>75</v>
      </c>
      <c r="P104" s="1">
        <f t="shared" si="4"/>
        <v>99</v>
      </c>
      <c r="Q104" s="1">
        <f t="shared" si="4"/>
        <v>99</v>
      </c>
      <c r="R104" s="1">
        <f t="shared" si="4"/>
        <v>94</v>
      </c>
      <c r="S104" s="1">
        <f t="shared" si="4"/>
        <v>64</v>
      </c>
      <c r="T104" s="1">
        <f t="shared" si="4"/>
        <v>99</v>
      </c>
      <c r="U104" s="1">
        <f t="shared" si="4"/>
        <v>98</v>
      </c>
      <c r="V104" s="1">
        <f t="shared" si="4"/>
        <v>81</v>
      </c>
      <c r="W104" s="1">
        <f t="shared" si="4"/>
        <v>99</v>
      </c>
      <c r="X104" s="1">
        <f t="shared" si="4"/>
        <v>99</v>
      </c>
      <c r="Y104" s="1">
        <f t="shared" si="4"/>
        <v>65</v>
      </c>
      <c r="Z104" s="1">
        <f t="shared" si="4"/>
        <v>82</v>
      </c>
      <c r="AA104" s="1">
        <f t="shared" si="4"/>
        <v>74</v>
      </c>
      <c r="AB104" s="1">
        <f t="shared" si="4"/>
        <v>95</v>
      </c>
      <c r="AC104" s="1">
        <f t="shared" si="4"/>
        <v>98</v>
      </c>
      <c r="AD104" s="1">
        <f t="shared" si="4"/>
        <v>98</v>
      </c>
      <c r="AE104" s="1">
        <f t="shared" si="4"/>
        <v>96</v>
      </c>
      <c r="AF104" s="1">
        <f t="shared" si="4"/>
        <v>89</v>
      </c>
      <c r="AG104" s="1">
        <f t="shared" si="4"/>
        <v>95</v>
      </c>
      <c r="AH104" s="1">
        <f t="shared" si="4"/>
        <v>61</v>
      </c>
      <c r="AI104" s="1">
        <f t="shared" si="4"/>
        <v>99</v>
      </c>
      <c r="AJ104" s="1">
        <f t="shared" si="4"/>
        <v>99</v>
      </c>
      <c r="AK104" s="1">
        <f t="shared" si="4"/>
        <v>99</v>
      </c>
      <c r="AL104" s="1"/>
      <c r="AM104" s="11">
        <f t="shared" si="4"/>
        <v>0</v>
      </c>
      <c r="AN104" s="12">
        <f t="shared" si="4"/>
        <v>8</v>
      </c>
      <c r="AO104" s="1">
        <f t="shared" si="4"/>
        <v>92</v>
      </c>
      <c r="AP104" s="1">
        <f t="shared" si="4"/>
        <v>99</v>
      </c>
      <c r="AQ104" s="1">
        <f t="shared" si="4"/>
        <v>92</v>
      </c>
      <c r="AR104" s="1">
        <f t="shared" si="4"/>
        <v>74</v>
      </c>
      <c r="AS104" s="1">
        <f t="shared" si="4"/>
        <v>99</v>
      </c>
      <c r="AT104" s="11">
        <f t="shared" si="4"/>
        <v>0</v>
      </c>
      <c r="AU104" s="1">
        <f t="shared" si="4"/>
        <v>99</v>
      </c>
      <c r="AV104" s="1">
        <f t="shared" si="4"/>
        <v>99</v>
      </c>
      <c r="AW104" s="1">
        <f t="shared" si="4"/>
        <v>99</v>
      </c>
      <c r="AX104" s="1">
        <f t="shared" si="4"/>
        <v>99</v>
      </c>
      <c r="AY104" s="1">
        <f t="shared" si="4"/>
        <v>99</v>
      </c>
      <c r="AZ104" s="1">
        <f t="shared" si="4"/>
        <v>99</v>
      </c>
      <c r="BA104" s="1">
        <f t="shared" si="4"/>
        <v>99</v>
      </c>
      <c r="BB104" s="11">
        <f t="shared" si="4"/>
        <v>0</v>
      </c>
      <c r="BC104" s="1">
        <f t="shared" si="4"/>
        <v>96</v>
      </c>
      <c r="BD104" s="1">
        <f t="shared" si="4"/>
        <v>48</v>
      </c>
      <c r="BE104" s="13">
        <f t="shared" si="4"/>
        <v>11</v>
      </c>
      <c r="BF104" s="1">
        <f t="shared" si="4"/>
        <v>83</v>
      </c>
      <c r="BG104" s="1">
        <f t="shared" si="4"/>
        <v>98</v>
      </c>
      <c r="BH104" s="1">
        <f t="shared" si="4"/>
        <v>99</v>
      </c>
      <c r="BI104" s="1">
        <f t="shared" si="4"/>
        <v>99</v>
      </c>
      <c r="BJ104" s="1">
        <f t="shared" si="4"/>
        <v>95</v>
      </c>
      <c r="BK104" s="1">
        <f t="shared" si="4"/>
        <v>71</v>
      </c>
      <c r="BL104" s="1">
        <f t="shared" si="4"/>
        <v>94</v>
      </c>
      <c r="BM104" s="1">
        <f t="shared" si="4"/>
        <v>99</v>
      </c>
      <c r="BN104" s="1">
        <f t="shared" si="4"/>
        <v>93</v>
      </c>
      <c r="BO104" s="1">
        <f t="shared" si="4"/>
        <v>99</v>
      </c>
      <c r="BP104" s="12">
        <f t="shared" si="4"/>
        <v>2</v>
      </c>
      <c r="BQ104" s="1">
        <f t="shared" si="4"/>
        <v>22</v>
      </c>
      <c r="BR104" s="1">
        <f t="shared" si="4"/>
        <v>94</v>
      </c>
      <c r="BS104" s="1">
        <f t="shared" si="4"/>
        <v>98</v>
      </c>
      <c r="BT104" s="1">
        <f t="shared" si="4"/>
        <v>32</v>
      </c>
      <c r="BU104" s="1">
        <f t="shared" ref="BU104:EL104" si="5">COUNTIF(BU2:BU101,0)</f>
        <v>33</v>
      </c>
      <c r="BV104" s="1">
        <f t="shared" si="5"/>
        <v>99</v>
      </c>
      <c r="BW104" s="1">
        <f t="shared" si="5"/>
        <v>90</v>
      </c>
      <c r="BX104" s="1">
        <f t="shared" si="5"/>
        <v>99</v>
      </c>
      <c r="BY104" s="1">
        <f t="shared" si="5"/>
        <v>98</v>
      </c>
      <c r="BZ104" s="13">
        <f t="shared" si="5"/>
        <v>20</v>
      </c>
      <c r="CA104" s="1">
        <f t="shared" si="5"/>
        <v>99</v>
      </c>
      <c r="CB104" s="1">
        <f t="shared" si="5"/>
        <v>72</v>
      </c>
      <c r="CC104" s="1">
        <f t="shared" si="5"/>
        <v>93</v>
      </c>
      <c r="CD104" s="1">
        <f t="shared" si="5"/>
        <v>99</v>
      </c>
      <c r="CE104" s="1">
        <f t="shared" si="5"/>
        <v>99</v>
      </c>
      <c r="CF104" s="1">
        <f t="shared" si="5"/>
        <v>89</v>
      </c>
      <c r="CG104" s="1">
        <f t="shared" si="5"/>
        <v>98</v>
      </c>
      <c r="CH104" s="1">
        <f t="shared" si="5"/>
        <v>69</v>
      </c>
      <c r="CI104" s="1">
        <f t="shared" si="5"/>
        <v>76</v>
      </c>
      <c r="CJ104" s="1">
        <f t="shared" si="5"/>
        <v>98</v>
      </c>
      <c r="CK104" s="1">
        <f t="shared" si="5"/>
        <v>99</v>
      </c>
      <c r="CL104" s="1">
        <f t="shared" si="5"/>
        <v>99</v>
      </c>
      <c r="CM104" s="1">
        <f t="shared" si="5"/>
        <v>96</v>
      </c>
      <c r="CN104" s="1">
        <f t="shared" si="5"/>
        <v>96</v>
      </c>
      <c r="CO104" s="1">
        <f t="shared" si="5"/>
        <v>99</v>
      </c>
      <c r="CP104" s="1">
        <f t="shared" si="5"/>
        <v>93</v>
      </c>
      <c r="CQ104" s="1">
        <f t="shared" si="5"/>
        <v>98</v>
      </c>
      <c r="CR104" s="1">
        <f t="shared" si="5"/>
        <v>98</v>
      </c>
      <c r="CS104" s="1">
        <f t="shared" si="5"/>
        <v>99</v>
      </c>
      <c r="CT104" s="1">
        <f t="shared" si="5"/>
        <v>99</v>
      </c>
      <c r="CU104" s="1">
        <f t="shared" si="5"/>
        <v>46</v>
      </c>
      <c r="CV104" s="1">
        <f t="shared" si="5"/>
        <v>38</v>
      </c>
      <c r="CW104" s="1">
        <f t="shared" si="5"/>
        <v>98</v>
      </c>
      <c r="CX104" s="1">
        <f t="shared" si="5"/>
        <v>88</v>
      </c>
      <c r="CY104" s="1">
        <f t="shared" si="5"/>
        <v>98</v>
      </c>
      <c r="CZ104" s="1">
        <f t="shared" si="5"/>
        <v>97</v>
      </c>
      <c r="DA104" s="11">
        <f t="shared" si="5"/>
        <v>0</v>
      </c>
      <c r="DB104" s="1">
        <f t="shared" si="5"/>
        <v>99</v>
      </c>
      <c r="DC104" s="1">
        <f t="shared" si="5"/>
        <v>98</v>
      </c>
      <c r="DD104" s="1">
        <f t="shared" si="5"/>
        <v>99</v>
      </c>
      <c r="DE104" s="1">
        <f t="shared" si="5"/>
        <v>98</v>
      </c>
      <c r="DF104" s="1">
        <f t="shared" si="5"/>
        <v>97</v>
      </c>
      <c r="DG104" s="1">
        <f t="shared" si="5"/>
        <v>96</v>
      </c>
      <c r="DH104" s="1">
        <f t="shared" si="5"/>
        <v>84</v>
      </c>
      <c r="DI104" s="1">
        <f t="shared" si="5"/>
        <v>95</v>
      </c>
      <c r="DJ104" s="1">
        <f t="shared" si="5"/>
        <v>99</v>
      </c>
      <c r="DK104" s="1">
        <f t="shared" si="5"/>
        <v>99</v>
      </c>
      <c r="DL104" s="1">
        <f t="shared" si="5"/>
        <v>99</v>
      </c>
      <c r="DM104" s="1">
        <f t="shared" si="5"/>
        <v>81</v>
      </c>
      <c r="DN104" s="1">
        <f t="shared" si="5"/>
        <v>94</v>
      </c>
      <c r="DO104" s="1">
        <f t="shared" si="5"/>
        <v>99</v>
      </c>
      <c r="DP104" s="1">
        <f t="shared" si="5"/>
        <v>99</v>
      </c>
      <c r="DQ104" s="1">
        <f t="shared" si="5"/>
        <v>99</v>
      </c>
      <c r="DR104" s="1">
        <f t="shared" si="5"/>
        <v>99</v>
      </c>
      <c r="DS104" s="1">
        <f t="shared" si="5"/>
        <v>31</v>
      </c>
      <c r="DT104" s="1">
        <f t="shared" si="5"/>
        <v>97</v>
      </c>
      <c r="DU104" s="1">
        <f t="shared" si="5"/>
        <v>99</v>
      </c>
      <c r="DV104" s="1">
        <f t="shared" si="5"/>
        <v>99</v>
      </c>
      <c r="DW104" s="1">
        <f t="shared" si="5"/>
        <v>99</v>
      </c>
      <c r="DX104" s="1">
        <f t="shared" si="5"/>
        <v>98</v>
      </c>
      <c r="DY104" s="1">
        <f t="shared" si="5"/>
        <v>89</v>
      </c>
      <c r="DZ104" s="1">
        <f t="shared" si="5"/>
        <v>99</v>
      </c>
      <c r="EA104" s="1">
        <f t="shared" si="5"/>
        <v>98</v>
      </c>
      <c r="EB104" s="1">
        <f t="shared" si="5"/>
        <v>99</v>
      </c>
      <c r="EC104" s="1">
        <f t="shared" si="5"/>
        <v>98</v>
      </c>
      <c r="ED104" s="1">
        <f t="shared" si="5"/>
        <v>33</v>
      </c>
      <c r="EE104" s="1">
        <f t="shared" si="5"/>
        <v>99</v>
      </c>
      <c r="EF104" s="1">
        <f t="shared" si="5"/>
        <v>99</v>
      </c>
      <c r="EG104" s="1">
        <f t="shared" si="5"/>
        <v>89</v>
      </c>
      <c r="EH104" s="1">
        <f t="shared" si="5"/>
        <v>99</v>
      </c>
      <c r="EI104" s="1">
        <f t="shared" si="5"/>
        <v>89</v>
      </c>
      <c r="EJ104" s="1">
        <f t="shared" si="5"/>
        <v>93</v>
      </c>
      <c r="EK104" s="1">
        <f t="shared" si="5"/>
        <v>99</v>
      </c>
      <c r="EL104" s="1">
        <f t="shared" si="5"/>
        <v>98</v>
      </c>
      <c r="EM104" s="1">
        <f t="shared" ref="EM104:GL104" si="6">COUNTIF(EM2:EM101,0)</f>
        <v>99</v>
      </c>
      <c r="EN104" s="1">
        <f t="shared" si="6"/>
        <v>96</v>
      </c>
      <c r="EO104" s="1">
        <f t="shared" si="6"/>
        <v>98</v>
      </c>
      <c r="EP104" s="1">
        <f t="shared" si="6"/>
        <v>49</v>
      </c>
      <c r="EQ104" s="1">
        <f t="shared" si="6"/>
        <v>99</v>
      </c>
      <c r="ER104" s="1">
        <f t="shared" si="6"/>
        <v>74</v>
      </c>
      <c r="ES104" s="1">
        <f t="shared" si="6"/>
        <v>99</v>
      </c>
      <c r="ET104" s="1">
        <f t="shared" si="6"/>
        <v>98</v>
      </c>
      <c r="EU104" s="1">
        <f t="shared" si="6"/>
        <v>99</v>
      </c>
      <c r="EV104" s="1">
        <f t="shared" si="6"/>
        <v>99</v>
      </c>
      <c r="EW104" s="1">
        <f t="shared" si="6"/>
        <v>45</v>
      </c>
      <c r="EX104" s="1">
        <f t="shared" si="6"/>
        <v>45</v>
      </c>
      <c r="EY104" s="1">
        <f t="shared" si="6"/>
        <v>96</v>
      </c>
      <c r="EZ104" s="1">
        <f t="shared" si="6"/>
        <v>99</v>
      </c>
      <c r="FA104" s="1">
        <f t="shared" si="6"/>
        <v>97</v>
      </c>
      <c r="FB104" s="12">
        <f t="shared" si="6"/>
        <v>7</v>
      </c>
      <c r="FC104" s="1">
        <f t="shared" si="6"/>
        <v>99</v>
      </c>
      <c r="FD104" s="1">
        <f t="shared" si="6"/>
        <v>49</v>
      </c>
      <c r="FE104" s="1">
        <f t="shared" si="6"/>
        <v>99</v>
      </c>
      <c r="FF104" s="1">
        <f t="shared" si="6"/>
        <v>98</v>
      </c>
      <c r="FG104" s="1">
        <f t="shared" si="6"/>
        <v>97</v>
      </c>
      <c r="FH104" s="1">
        <f t="shared" si="6"/>
        <v>43</v>
      </c>
      <c r="FI104" s="1">
        <f t="shared" si="6"/>
        <v>99</v>
      </c>
      <c r="FJ104" s="1">
        <f t="shared" si="6"/>
        <v>97</v>
      </c>
      <c r="FK104" s="1">
        <f t="shared" si="6"/>
        <v>94</v>
      </c>
      <c r="FL104" s="1">
        <f t="shared" si="6"/>
        <v>98</v>
      </c>
      <c r="FM104" s="1">
        <f t="shared" si="6"/>
        <v>96</v>
      </c>
      <c r="FN104" s="1">
        <f t="shared" si="6"/>
        <v>99</v>
      </c>
      <c r="FO104" s="1">
        <f t="shared" si="6"/>
        <v>35</v>
      </c>
      <c r="FP104" s="1">
        <f t="shared" si="6"/>
        <v>99</v>
      </c>
      <c r="FQ104" s="1">
        <f t="shared" si="6"/>
        <v>98</v>
      </c>
      <c r="FR104" s="1">
        <f t="shared" si="6"/>
        <v>99</v>
      </c>
      <c r="FS104" s="1">
        <f t="shared" si="6"/>
        <v>99</v>
      </c>
      <c r="FT104" s="1">
        <f t="shared" si="6"/>
        <v>82</v>
      </c>
      <c r="FU104" s="1">
        <f t="shared" si="6"/>
        <v>99</v>
      </c>
      <c r="FV104" s="1">
        <f t="shared" si="6"/>
        <v>65</v>
      </c>
      <c r="FW104" s="1">
        <f t="shared" si="6"/>
        <v>97</v>
      </c>
      <c r="FX104" s="1">
        <f t="shared" si="6"/>
        <v>94</v>
      </c>
      <c r="FY104" s="1">
        <f t="shared" si="6"/>
        <v>98</v>
      </c>
      <c r="FZ104" s="1">
        <f t="shared" si="6"/>
        <v>99</v>
      </c>
      <c r="GA104" s="1">
        <f t="shared" si="6"/>
        <v>60</v>
      </c>
      <c r="GB104" s="1">
        <f t="shared" si="6"/>
        <v>72</v>
      </c>
      <c r="GC104" s="11">
        <f t="shared" si="6"/>
        <v>0</v>
      </c>
      <c r="GD104" s="1">
        <f t="shared" si="6"/>
        <v>99</v>
      </c>
      <c r="GE104" s="1">
        <f t="shared" si="6"/>
        <v>72</v>
      </c>
      <c r="GF104" s="12">
        <f t="shared" si="6"/>
        <v>3</v>
      </c>
      <c r="GG104" s="1">
        <f t="shared" si="6"/>
        <v>87</v>
      </c>
      <c r="GH104" s="11">
        <f t="shared" si="6"/>
        <v>0</v>
      </c>
      <c r="GI104" s="12">
        <f t="shared" si="6"/>
        <v>6</v>
      </c>
      <c r="GJ104" s="1">
        <f t="shared" si="6"/>
        <v>98</v>
      </c>
      <c r="GK104" s="1">
        <f t="shared" si="6"/>
        <v>99</v>
      </c>
      <c r="GL104" s="1">
        <f t="shared" si="6"/>
        <v>99</v>
      </c>
      <c r="GM104" s="1">
        <f t="shared" ref="GM104" si="7">COUNTIF(GM2:GM101,0)</f>
        <v>97</v>
      </c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</row>
    <row r="105" spans="1:222" x14ac:dyDescent="0.3">
      <c r="A105" s="8" t="s">
        <v>551</v>
      </c>
      <c r="B105" s="11">
        <f t="shared" ref="B105" si="8">((100-B104)/100)*100</f>
        <v>100</v>
      </c>
      <c r="C105" s="1">
        <f t="shared" ref="C105" si="9">((100-C104)/100)*100</f>
        <v>25</v>
      </c>
      <c r="D105" s="11">
        <f t="shared" ref="D105" si="10">((100-D104)/100)*100</f>
        <v>100</v>
      </c>
      <c r="E105" s="1">
        <f t="shared" ref="E105" si="11">((100-E104)/100)*100</f>
        <v>70</v>
      </c>
      <c r="F105" s="12">
        <f t="shared" ref="F105" si="12">((100-F104)/100)*100</f>
        <v>99</v>
      </c>
      <c r="G105" s="1">
        <f t="shared" ref="G105:H105" si="13">((100-G104)/100)*100</f>
        <v>1</v>
      </c>
      <c r="H105" s="1">
        <f t="shared" si="13"/>
        <v>1</v>
      </c>
      <c r="I105" s="1">
        <f t="shared" ref="I105" si="14">((100-I104)/100)*100</f>
        <v>42</v>
      </c>
      <c r="J105" s="1">
        <f t="shared" ref="J105" si="15">((100-J104)/100)*100</f>
        <v>56.000000000000007</v>
      </c>
      <c r="K105" s="1">
        <f t="shared" ref="K105" si="16">((100-K104)/100)*100</f>
        <v>4</v>
      </c>
      <c r="L105" s="1">
        <f t="shared" ref="L105" si="17">((100-L104)/100)*100</f>
        <v>1</v>
      </c>
      <c r="M105" s="1">
        <f t="shared" ref="M105:N105" si="18">((100-M104)/100)*100</f>
        <v>1</v>
      </c>
      <c r="N105" s="1">
        <f t="shared" si="18"/>
        <v>1</v>
      </c>
      <c r="O105" s="1">
        <f t="shared" ref="O105:P105" si="19">((100-O104)/100)*100</f>
        <v>25</v>
      </c>
      <c r="P105" s="1">
        <f t="shared" si="19"/>
        <v>1</v>
      </c>
      <c r="Q105" s="1">
        <f t="shared" ref="Q105" si="20">((100-Q104)/100)*100</f>
        <v>1</v>
      </c>
      <c r="R105" s="1">
        <f t="shared" ref="R105" si="21">((100-R104)/100)*100</f>
        <v>6</v>
      </c>
      <c r="S105" s="1">
        <f t="shared" ref="S105" si="22">((100-S104)/100)*100</f>
        <v>36</v>
      </c>
      <c r="T105" s="1">
        <f t="shared" ref="T105" si="23">((100-T104)/100)*100</f>
        <v>1</v>
      </c>
      <c r="U105" s="1">
        <f t="shared" ref="U105" si="24">((100-U104)/100)*100</f>
        <v>2</v>
      </c>
      <c r="V105" s="1">
        <f t="shared" ref="V105" si="25">((100-V104)/100)*100</f>
        <v>19</v>
      </c>
      <c r="W105" s="1">
        <f t="shared" ref="W105" si="26">((100-W104)/100)*100</f>
        <v>1</v>
      </c>
      <c r="X105" s="1">
        <f t="shared" ref="X105" si="27">((100-X104)/100)*100</f>
        <v>1</v>
      </c>
      <c r="Y105" s="1">
        <f t="shared" ref="Y105" si="28">((100-Y104)/100)*100</f>
        <v>35</v>
      </c>
      <c r="Z105" s="1">
        <f t="shared" ref="Z105" si="29">((100-Z104)/100)*100</f>
        <v>18</v>
      </c>
      <c r="AA105" s="1">
        <f t="shared" ref="AA105" si="30">((100-AA104)/100)*100</f>
        <v>26</v>
      </c>
      <c r="AB105" s="1">
        <f t="shared" ref="AB105" si="31">((100-AB104)/100)*100</f>
        <v>5</v>
      </c>
      <c r="AC105" s="1">
        <f t="shared" ref="AC105" si="32">((100-AC104)/100)*100</f>
        <v>2</v>
      </c>
      <c r="AD105" s="1">
        <f t="shared" ref="AD105" si="33">((100-AD104)/100)*100</f>
        <v>2</v>
      </c>
      <c r="AE105" s="1">
        <f t="shared" ref="AE105" si="34">((100-AE104)/100)*100</f>
        <v>4</v>
      </c>
      <c r="AF105" s="1">
        <f t="shared" ref="AF105" si="35">((100-AF104)/100)*100</f>
        <v>11</v>
      </c>
      <c r="AG105" s="1">
        <f t="shared" ref="AG105" si="36">((100-AG104)/100)*100</f>
        <v>5</v>
      </c>
      <c r="AH105" s="1">
        <f t="shared" ref="AH105" si="37">((100-AH104)/100)*100</f>
        <v>39</v>
      </c>
      <c r="AI105" s="1">
        <f t="shared" ref="AI105" si="38">((100-AI104)/100)*100</f>
        <v>1</v>
      </c>
      <c r="AJ105" s="1">
        <f t="shared" ref="AJ105:AK105" si="39">((100-AJ104)/100)*100</f>
        <v>1</v>
      </c>
      <c r="AK105" s="1">
        <f t="shared" si="39"/>
        <v>1</v>
      </c>
      <c r="AL105" s="1"/>
      <c r="AM105" s="11">
        <f t="shared" ref="AM105" si="40">((100-AM104)/100)*100</f>
        <v>100</v>
      </c>
      <c r="AN105" s="12">
        <f t="shared" ref="AN105" si="41">((100-AN104)/100)*100</f>
        <v>92</v>
      </c>
      <c r="AO105" s="1">
        <f t="shared" ref="AO105" si="42">((100-AO104)/100)*100</f>
        <v>8</v>
      </c>
      <c r="AP105" s="1">
        <f t="shared" ref="AP105" si="43">((100-AP104)/100)*100</f>
        <v>1</v>
      </c>
      <c r="AQ105" s="1">
        <f t="shared" ref="AQ105" si="44">((100-AQ104)/100)*100</f>
        <v>8</v>
      </c>
      <c r="AR105" s="1">
        <f t="shared" ref="AR105:AS105" si="45">((100-AR104)/100)*100</f>
        <v>26</v>
      </c>
      <c r="AS105" s="1">
        <f t="shared" si="45"/>
        <v>1</v>
      </c>
      <c r="AT105" s="11">
        <f t="shared" ref="AT105" si="46">((100-AT104)/100)*100</f>
        <v>100</v>
      </c>
      <c r="AU105" s="1">
        <f t="shared" ref="AU105" si="47">((100-AU104)/100)*100</f>
        <v>1</v>
      </c>
      <c r="AV105" s="1">
        <f t="shared" ref="AV105" si="48">((100-AV104)/100)*100</f>
        <v>1</v>
      </c>
      <c r="AW105" s="1">
        <f t="shared" ref="AW105" si="49">((100-AW104)/100)*100</f>
        <v>1</v>
      </c>
      <c r="AX105" s="1">
        <f t="shared" ref="AX105" si="50">((100-AX104)/100)*100</f>
        <v>1</v>
      </c>
      <c r="AY105" s="1">
        <f t="shared" ref="AY105" si="51">((100-AY104)/100)*100</f>
        <v>1</v>
      </c>
      <c r="AZ105" s="1">
        <f t="shared" ref="AZ105" si="52">((100-AZ104)/100)*100</f>
        <v>1</v>
      </c>
      <c r="BA105" s="1">
        <f t="shared" ref="BA105" si="53">((100-BA104)/100)*100</f>
        <v>1</v>
      </c>
      <c r="BB105" s="11">
        <f t="shared" ref="BB105" si="54">((100-BB104)/100)*100</f>
        <v>100</v>
      </c>
      <c r="BC105" s="1">
        <f t="shared" ref="BC105" si="55">((100-BC104)/100)*100</f>
        <v>4</v>
      </c>
      <c r="BD105" s="1">
        <f t="shared" ref="BD105" si="56">((100-BD104)/100)*100</f>
        <v>52</v>
      </c>
      <c r="BE105" s="13">
        <f t="shared" ref="BE105" si="57">((100-BE104)/100)*100</f>
        <v>89</v>
      </c>
      <c r="BF105" s="1">
        <f t="shared" ref="BF105" si="58">((100-BF104)/100)*100</f>
        <v>17</v>
      </c>
      <c r="BG105" s="1">
        <f t="shared" ref="BG105" si="59">((100-BG104)/100)*100</f>
        <v>2</v>
      </c>
      <c r="BH105" s="1">
        <f t="shared" ref="BH105" si="60">((100-BH104)/100)*100</f>
        <v>1</v>
      </c>
      <c r="BI105" s="1">
        <f t="shared" ref="BI105" si="61">((100-BI104)/100)*100</f>
        <v>1</v>
      </c>
      <c r="BJ105" s="1">
        <f t="shared" ref="BJ105" si="62">((100-BJ104)/100)*100</f>
        <v>5</v>
      </c>
      <c r="BK105" s="1">
        <f t="shared" ref="BK105" si="63">((100-BK104)/100)*100</f>
        <v>28.999999999999996</v>
      </c>
      <c r="BL105" s="1">
        <f t="shared" ref="BL105:BM105" si="64">((100-BL104)/100)*100</f>
        <v>6</v>
      </c>
      <c r="BM105" s="1">
        <f t="shared" si="64"/>
        <v>1</v>
      </c>
      <c r="BN105" s="1">
        <f t="shared" ref="BN105" si="65">((100-BN104)/100)*100</f>
        <v>7.0000000000000009</v>
      </c>
      <c r="BO105" s="1">
        <f t="shared" ref="BO105" si="66">((100-BO104)/100)*100</f>
        <v>1</v>
      </c>
      <c r="BP105" s="12">
        <f t="shared" ref="BP105" si="67">((100-BP104)/100)*100</f>
        <v>98</v>
      </c>
      <c r="BQ105" s="1">
        <f t="shared" ref="BQ105" si="68">((100-BQ104)/100)*100</f>
        <v>78</v>
      </c>
      <c r="BR105" s="1">
        <f t="shared" ref="BR105" si="69">((100-BR104)/100)*100</f>
        <v>6</v>
      </c>
      <c r="BS105" s="1">
        <f t="shared" ref="BS105" si="70">((100-BS104)/100)*100</f>
        <v>2</v>
      </c>
      <c r="BT105" s="1">
        <f t="shared" ref="BT105" si="71">((100-BT104)/100)*100</f>
        <v>68</v>
      </c>
      <c r="BU105" s="1">
        <f t="shared" ref="BU105" si="72">((100-BU104)/100)*100</f>
        <v>67</v>
      </c>
      <c r="BV105" s="1">
        <f t="shared" ref="BV105" si="73">((100-BV104)/100)*100</f>
        <v>1</v>
      </c>
      <c r="BW105" s="1">
        <f t="shared" ref="BW105" si="74">((100-BW104)/100)*100</f>
        <v>10</v>
      </c>
      <c r="BX105" s="1">
        <f t="shared" ref="BX105:BY105" si="75">((100-BX104)/100)*100</f>
        <v>1</v>
      </c>
      <c r="BY105" s="1">
        <f t="shared" si="75"/>
        <v>2</v>
      </c>
      <c r="BZ105" s="13">
        <f t="shared" ref="BZ105" si="76">((100-BZ104)/100)*100</f>
        <v>80</v>
      </c>
      <c r="CA105" s="1">
        <f t="shared" ref="CA105" si="77">((100-CA104)/100)*100</f>
        <v>1</v>
      </c>
      <c r="CB105" s="1">
        <f t="shared" ref="CB105" si="78">((100-CB104)/100)*100</f>
        <v>28.000000000000004</v>
      </c>
      <c r="CC105" s="1">
        <f t="shared" ref="CC105" si="79">((100-CC104)/100)*100</f>
        <v>7.0000000000000009</v>
      </c>
      <c r="CD105" s="1">
        <f t="shared" ref="CD105" si="80">((100-CD104)/100)*100</f>
        <v>1</v>
      </c>
      <c r="CE105" s="1">
        <f t="shared" ref="CE105" si="81">((100-CE104)/100)*100</f>
        <v>1</v>
      </c>
      <c r="CF105" s="1">
        <f t="shared" ref="CF105" si="82">((100-CF104)/100)*100</f>
        <v>11</v>
      </c>
      <c r="CG105" s="1">
        <f t="shared" ref="CG105" si="83">((100-CG104)/100)*100</f>
        <v>2</v>
      </c>
      <c r="CH105" s="1">
        <f t="shared" ref="CH105" si="84">((100-CH104)/100)*100</f>
        <v>31</v>
      </c>
      <c r="CI105" s="1">
        <f t="shared" ref="CI105" si="85">((100-CI104)/100)*100</f>
        <v>24</v>
      </c>
      <c r="CJ105" s="1">
        <f t="shared" ref="CJ105" si="86">((100-CJ104)/100)*100</f>
        <v>2</v>
      </c>
      <c r="CK105" s="1">
        <f t="shared" ref="CK105:CL105" si="87">((100-CK104)/100)*100</f>
        <v>1</v>
      </c>
      <c r="CL105" s="1">
        <f t="shared" si="87"/>
        <v>1</v>
      </c>
      <c r="CM105" s="1">
        <f t="shared" ref="CM105" si="88">((100-CM104)/100)*100</f>
        <v>4</v>
      </c>
      <c r="CN105" s="1">
        <f t="shared" ref="CN105" si="89">((100-CN104)/100)*100</f>
        <v>4</v>
      </c>
      <c r="CO105" s="1">
        <f t="shared" ref="CO105" si="90">((100-CO104)/100)*100</f>
        <v>1</v>
      </c>
      <c r="CP105" s="1">
        <f t="shared" ref="CP105" si="91">((100-CP104)/100)*100</f>
        <v>7.0000000000000009</v>
      </c>
      <c r="CQ105" s="1">
        <f t="shared" ref="CQ105" si="92">((100-CQ104)/100)*100</f>
        <v>2</v>
      </c>
      <c r="CR105" s="1">
        <f t="shared" ref="CR105" si="93">((100-CR104)/100)*100</f>
        <v>2</v>
      </c>
      <c r="CS105" s="1">
        <f t="shared" ref="CS105:CT105" si="94">((100-CS104)/100)*100</f>
        <v>1</v>
      </c>
      <c r="CT105" s="1">
        <f t="shared" si="94"/>
        <v>1</v>
      </c>
      <c r="CU105" s="1">
        <f t="shared" ref="CU105" si="95">((100-CU104)/100)*100</f>
        <v>54</v>
      </c>
      <c r="CV105" s="1">
        <f t="shared" ref="CV105" si="96">((100-CV104)/100)*100</f>
        <v>62</v>
      </c>
      <c r="CW105" s="1">
        <f t="shared" ref="CW105" si="97">((100-CW104)/100)*100</f>
        <v>2</v>
      </c>
      <c r="CX105" s="1">
        <f t="shared" ref="CX105" si="98">((100-CX104)/100)*100</f>
        <v>12</v>
      </c>
      <c r="CY105" s="1">
        <f t="shared" ref="CY105" si="99">((100-CY104)/100)*100</f>
        <v>2</v>
      </c>
      <c r="CZ105" s="1">
        <f t="shared" ref="CZ105" si="100">((100-CZ104)/100)*100</f>
        <v>3</v>
      </c>
      <c r="DA105" s="11">
        <f t="shared" ref="DA105:DB105" si="101">((100-DA104)/100)*100</f>
        <v>100</v>
      </c>
      <c r="DB105" s="1">
        <f t="shared" si="101"/>
        <v>1</v>
      </c>
      <c r="DC105" s="1">
        <f t="shared" ref="DC105" si="102">((100-DC104)/100)*100</f>
        <v>2</v>
      </c>
      <c r="DD105" s="1">
        <f t="shared" ref="DD105" si="103">((100-DD104)/100)*100</f>
        <v>1</v>
      </c>
      <c r="DE105" s="1">
        <f t="shared" ref="DE105" si="104">((100-DE104)/100)*100</f>
        <v>2</v>
      </c>
      <c r="DF105" s="1">
        <f t="shared" ref="DF105" si="105">((100-DF104)/100)*100</f>
        <v>3</v>
      </c>
      <c r="DG105" s="1">
        <f t="shared" ref="DG105" si="106">((100-DG104)/100)*100</f>
        <v>4</v>
      </c>
      <c r="DH105" s="1">
        <f t="shared" ref="DH105" si="107">((100-DH104)/100)*100</f>
        <v>16</v>
      </c>
      <c r="DI105" s="1">
        <f t="shared" ref="DI105" si="108">((100-DI104)/100)*100</f>
        <v>5</v>
      </c>
      <c r="DJ105" s="1">
        <f t="shared" ref="DJ105" si="109">((100-DJ104)/100)*100</f>
        <v>1</v>
      </c>
      <c r="DK105" s="1">
        <f t="shared" ref="DK105" si="110">((100-DK104)/100)*100</f>
        <v>1</v>
      </c>
      <c r="DL105" s="1">
        <f t="shared" ref="DL105" si="111">((100-DL104)/100)*100</f>
        <v>1</v>
      </c>
      <c r="DM105" s="1">
        <f t="shared" ref="DM105" si="112">((100-DM104)/100)*100</f>
        <v>19</v>
      </c>
      <c r="DN105" s="1">
        <f t="shared" ref="DN105" si="113">((100-DN104)/100)*100</f>
        <v>6</v>
      </c>
      <c r="DO105" s="1">
        <f t="shared" ref="DO105" si="114">((100-DO104)/100)*100</f>
        <v>1</v>
      </c>
      <c r="DP105" s="1">
        <f t="shared" ref="DP105" si="115">((100-DP104)/100)*100</f>
        <v>1</v>
      </c>
      <c r="DQ105" s="1">
        <f t="shared" ref="DQ105" si="116">((100-DQ104)/100)*100</f>
        <v>1</v>
      </c>
      <c r="DR105" s="1">
        <f t="shared" ref="DR105" si="117">((100-DR104)/100)*100</f>
        <v>1</v>
      </c>
      <c r="DS105" s="1">
        <f t="shared" ref="DS105" si="118">((100-DS104)/100)*100</f>
        <v>69</v>
      </c>
      <c r="DT105" s="1">
        <f t="shared" ref="DT105" si="119">((100-DT104)/100)*100</f>
        <v>3</v>
      </c>
      <c r="DU105" s="1">
        <f t="shared" ref="DU105" si="120">((100-DU104)/100)*100</f>
        <v>1</v>
      </c>
      <c r="DV105" s="1">
        <f t="shared" ref="DV105:DW105" si="121">((100-DV104)/100)*100</f>
        <v>1</v>
      </c>
      <c r="DW105" s="1">
        <f t="shared" si="121"/>
        <v>1</v>
      </c>
      <c r="DX105" s="1">
        <f t="shared" ref="DX105" si="122">((100-DX104)/100)*100</f>
        <v>2</v>
      </c>
      <c r="DY105" s="1">
        <f t="shared" ref="DY105" si="123">((100-DY104)/100)*100</f>
        <v>11</v>
      </c>
      <c r="DZ105" s="1">
        <f t="shared" ref="DZ105" si="124">((100-DZ104)/100)*100</f>
        <v>1</v>
      </c>
      <c r="EA105" s="1">
        <f t="shared" ref="EA105" si="125">((100-EA104)/100)*100</f>
        <v>2</v>
      </c>
      <c r="EB105" s="1">
        <f t="shared" ref="EB105:EC105" si="126">((100-EB104)/100)*100</f>
        <v>1</v>
      </c>
      <c r="EC105" s="1">
        <f t="shared" si="126"/>
        <v>2</v>
      </c>
      <c r="ED105" s="1">
        <f t="shared" ref="ED105" si="127">((100-ED104)/100)*100</f>
        <v>67</v>
      </c>
      <c r="EE105" s="1">
        <f t="shared" ref="EE105" si="128">((100-EE104)/100)*100</f>
        <v>1</v>
      </c>
      <c r="EF105" s="1">
        <f t="shared" ref="EF105" si="129">((100-EF104)/100)*100</f>
        <v>1</v>
      </c>
      <c r="EG105" s="1">
        <f t="shared" ref="EG105" si="130">((100-EG104)/100)*100</f>
        <v>11</v>
      </c>
      <c r="EH105" s="1">
        <f t="shared" ref="EH105" si="131">((100-EH104)/100)*100</f>
        <v>1</v>
      </c>
      <c r="EI105" s="1">
        <f t="shared" ref="EI105" si="132">((100-EI104)/100)*100</f>
        <v>11</v>
      </c>
      <c r="EJ105" s="1">
        <f t="shared" ref="EJ105" si="133">((100-EJ104)/100)*100</f>
        <v>7.0000000000000009</v>
      </c>
      <c r="EK105" s="1">
        <f t="shared" ref="EK105" si="134">((100-EK104)/100)*100</f>
        <v>1</v>
      </c>
      <c r="EL105" s="1">
        <f t="shared" ref="EL105" si="135">((100-EL104)/100)*100</f>
        <v>2</v>
      </c>
      <c r="EM105" s="1">
        <f t="shared" ref="EM105" si="136">((100-EM104)/100)*100</f>
        <v>1</v>
      </c>
      <c r="EN105" s="1">
        <f t="shared" ref="EN105" si="137">((100-EN104)/100)*100</f>
        <v>4</v>
      </c>
      <c r="EO105" s="1">
        <f t="shared" ref="EO105" si="138">((100-EO104)/100)*100</f>
        <v>2</v>
      </c>
      <c r="EP105" s="1">
        <f t="shared" ref="EP105" si="139">((100-EP104)/100)*100</f>
        <v>51</v>
      </c>
      <c r="EQ105" s="1">
        <f t="shared" ref="EQ105" si="140">((100-EQ104)/100)*100</f>
        <v>1</v>
      </c>
      <c r="ER105" s="1">
        <f t="shared" ref="ER105" si="141">((100-ER104)/100)*100</f>
        <v>26</v>
      </c>
      <c r="ES105" s="1">
        <f t="shared" ref="ES105" si="142">((100-ES104)/100)*100</f>
        <v>1</v>
      </c>
      <c r="ET105" s="1">
        <f t="shared" ref="ET105" si="143">((100-ET104)/100)*100</f>
        <v>2</v>
      </c>
      <c r="EU105" s="1">
        <f t="shared" ref="EU105" si="144">((100-EU104)/100)*100</f>
        <v>1</v>
      </c>
      <c r="EV105" s="1">
        <f t="shared" ref="EV105" si="145">((100-EV104)/100)*100</f>
        <v>1</v>
      </c>
      <c r="EW105" s="1">
        <f t="shared" ref="EW105" si="146">((100-EW104)/100)*100</f>
        <v>55.000000000000007</v>
      </c>
      <c r="EX105" s="1">
        <f t="shared" ref="EX105" si="147">((100-EX104)/100)*100</f>
        <v>55.000000000000007</v>
      </c>
      <c r="EY105" s="1">
        <f t="shared" ref="EY105" si="148">((100-EY104)/100)*100</f>
        <v>4</v>
      </c>
      <c r="EZ105" s="1">
        <f t="shared" ref="EZ105" si="149">((100-EZ104)/100)*100</f>
        <v>1</v>
      </c>
      <c r="FA105" s="1">
        <f t="shared" ref="FA105" si="150">((100-FA104)/100)*100</f>
        <v>3</v>
      </c>
      <c r="FB105" s="12">
        <f t="shared" ref="FB105" si="151">((100-FB104)/100)*100</f>
        <v>93</v>
      </c>
      <c r="FC105" s="1">
        <f t="shared" ref="FC105" si="152">((100-FC104)/100)*100</f>
        <v>1</v>
      </c>
      <c r="FD105" s="1">
        <f t="shared" ref="FD105" si="153">((100-FD104)/100)*100</f>
        <v>51</v>
      </c>
      <c r="FE105" s="1">
        <f t="shared" ref="FE105" si="154">((100-FE104)/100)*100</f>
        <v>1</v>
      </c>
      <c r="FF105" s="1">
        <f t="shared" ref="FF105" si="155">((100-FF104)/100)*100</f>
        <v>2</v>
      </c>
      <c r="FG105" s="1">
        <f t="shared" ref="FG105" si="156">((100-FG104)/100)*100</f>
        <v>3</v>
      </c>
      <c r="FH105" s="1">
        <f t="shared" ref="FH105" si="157">((100-FH104)/100)*100</f>
        <v>56.999999999999993</v>
      </c>
      <c r="FI105" s="1">
        <f t="shared" ref="FI105" si="158">((100-FI104)/100)*100</f>
        <v>1</v>
      </c>
      <c r="FJ105" s="1">
        <f t="shared" ref="FJ105" si="159">((100-FJ104)/100)*100</f>
        <v>3</v>
      </c>
      <c r="FK105" s="1">
        <f t="shared" ref="FK105" si="160">((100-FK104)/100)*100</f>
        <v>6</v>
      </c>
      <c r="FL105" s="1">
        <f t="shared" ref="FL105" si="161">((100-FL104)/100)*100</f>
        <v>2</v>
      </c>
      <c r="FM105" s="1">
        <f t="shared" ref="FM105" si="162">((100-FM104)/100)*100</f>
        <v>4</v>
      </c>
      <c r="FN105" s="1">
        <f t="shared" ref="FN105" si="163">((100-FN104)/100)*100</f>
        <v>1</v>
      </c>
      <c r="FO105" s="1">
        <f t="shared" ref="FO105" si="164">((100-FO104)/100)*100</f>
        <v>65</v>
      </c>
      <c r="FP105" s="1">
        <f t="shared" ref="FP105" si="165">((100-FP104)/100)*100</f>
        <v>1</v>
      </c>
      <c r="FQ105" s="1">
        <f t="shared" ref="FQ105" si="166">((100-FQ104)/100)*100</f>
        <v>2</v>
      </c>
      <c r="FR105" s="1">
        <f t="shared" ref="FR105" si="167">((100-FR104)/100)*100</f>
        <v>1</v>
      </c>
      <c r="FS105" s="1">
        <f t="shared" ref="FS105" si="168">((100-FS104)/100)*100</f>
        <v>1</v>
      </c>
      <c r="FT105" s="1">
        <f t="shared" ref="FT105" si="169">((100-FT104)/100)*100</f>
        <v>18</v>
      </c>
      <c r="FU105" s="1">
        <f t="shared" ref="FU105" si="170">((100-FU104)/100)*100</f>
        <v>1</v>
      </c>
      <c r="FV105" s="1">
        <f t="shared" ref="FV105" si="171">((100-FV104)/100)*100</f>
        <v>35</v>
      </c>
      <c r="FW105" s="1">
        <f t="shared" ref="FW105" si="172">((100-FW104)/100)*100</f>
        <v>3</v>
      </c>
      <c r="FX105" s="1">
        <f t="shared" ref="FX105" si="173">((100-FX104)/100)*100</f>
        <v>6</v>
      </c>
      <c r="FY105" s="1">
        <f t="shared" ref="FY105" si="174">((100-FY104)/100)*100</f>
        <v>2</v>
      </c>
      <c r="FZ105" s="1">
        <f t="shared" ref="FZ105" si="175">((100-FZ104)/100)*100</f>
        <v>1</v>
      </c>
      <c r="GA105" s="1">
        <f t="shared" ref="GA105" si="176">((100-GA104)/100)*100</f>
        <v>40</v>
      </c>
      <c r="GB105" s="1">
        <f t="shared" ref="GB105" si="177">((100-GB104)/100)*100</f>
        <v>28.000000000000004</v>
      </c>
      <c r="GC105" s="11">
        <f t="shared" ref="GC105" si="178">((100-GC104)/100)*100</f>
        <v>100</v>
      </c>
      <c r="GD105" s="1">
        <f t="shared" ref="GD105" si="179">((100-GD104)/100)*100</f>
        <v>1</v>
      </c>
      <c r="GE105" s="1">
        <f t="shared" ref="GE105" si="180">((100-GE104)/100)*100</f>
        <v>28.000000000000004</v>
      </c>
      <c r="GF105" s="12">
        <f t="shared" ref="GF105" si="181">((100-GF104)/100)*100</f>
        <v>97</v>
      </c>
      <c r="GG105" s="1">
        <f t="shared" ref="GG105" si="182">((100-GG104)/100)*100</f>
        <v>13</v>
      </c>
      <c r="GH105" s="11">
        <f t="shared" ref="GH105" si="183">((100-GH104)/100)*100</f>
        <v>100</v>
      </c>
      <c r="GI105" s="12">
        <f t="shared" ref="GI105:GJ105" si="184">((100-GI104)/100)*100</f>
        <v>94</v>
      </c>
      <c r="GJ105" s="1">
        <f t="shared" si="184"/>
        <v>2</v>
      </c>
      <c r="GK105" s="1">
        <f t="shared" ref="GK105" si="185">((100-GK104)/100)*100</f>
        <v>1</v>
      </c>
      <c r="GL105" s="1">
        <f t="shared" ref="GL105" si="186">((100-GL104)/100)*100</f>
        <v>1</v>
      </c>
      <c r="GM105" s="1">
        <f t="shared" ref="GM105" si="187">((100-GM104)/100)*100</f>
        <v>3</v>
      </c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</row>
    <row r="106" spans="1:222" x14ac:dyDescent="0.3"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O106" s="1"/>
      <c r="AP106" s="1"/>
      <c r="AQ106" s="1"/>
      <c r="AR106" s="1"/>
      <c r="AS106" s="1"/>
      <c r="AU106" s="1"/>
      <c r="AV106" s="1"/>
      <c r="AW106" s="1"/>
      <c r="AX106" s="1"/>
      <c r="AY106" s="1"/>
      <c r="AZ106" s="1"/>
      <c r="BA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Q106" s="1"/>
      <c r="BR106" s="1"/>
      <c r="BS106" s="1"/>
      <c r="BT106" s="1"/>
      <c r="BU106" s="1"/>
      <c r="BV106" s="1"/>
      <c r="BW106" s="1"/>
      <c r="BX106" s="1"/>
      <c r="BY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D106" s="1"/>
      <c r="GE106" s="1"/>
      <c r="GF106" s="1"/>
      <c r="GG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</row>
    <row r="107" spans="1:222" x14ac:dyDescent="0.3">
      <c r="A107" s="9" t="s">
        <v>599</v>
      </c>
      <c r="B107" s="1">
        <f t="shared" ref="B107:BM107" si="188">SUM(B2:B101)/100</f>
        <v>3.21</v>
      </c>
      <c r="C107" s="1">
        <f t="shared" si="188"/>
        <v>0.28999999999999998</v>
      </c>
      <c r="D107" s="1">
        <f t="shared" si="188"/>
        <v>1.07</v>
      </c>
      <c r="E107" s="1">
        <f t="shared" si="188"/>
        <v>0.76</v>
      </c>
      <c r="F107" s="1">
        <f t="shared" si="188"/>
        <v>1.0900000000000001</v>
      </c>
      <c r="G107" s="1">
        <f t="shared" si="188"/>
        <v>0.01</v>
      </c>
      <c r="H107" s="1">
        <f t="shared" si="188"/>
        <v>0.01</v>
      </c>
      <c r="I107" s="1">
        <f t="shared" si="188"/>
        <v>0.56000000000000005</v>
      </c>
      <c r="J107" s="1">
        <f t="shared" si="188"/>
        <v>0.63</v>
      </c>
      <c r="K107" s="1">
        <f t="shared" si="188"/>
        <v>7.0000000000000007E-2</v>
      </c>
      <c r="L107" s="1">
        <f t="shared" si="188"/>
        <v>0.01</v>
      </c>
      <c r="M107" s="1">
        <f t="shared" si="188"/>
        <v>0.01</v>
      </c>
      <c r="N107" s="1">
        <f t="shared" si="188"/>
        <v>0.01</v>
      </c>
      <c r="O107" s="1">
        <f t="shared" si="188"/>
        <v>0.52</v>
      </c>
      <c r="P107" s="1">
        <f t="shared" si="188"/>
        <v>0.01</v>
      </c>
      <c r="Q107" s="1">
        <f t="shared" si="188"/>
        <v>0.01</v>
      </c>
      <c r="R107" s="1">
        <f t="shared" si="188"/>
        <v>0.09</v>
      </c>
      <c r="S107" s="1">
        <f t="shared" si="188"/>
        <v>0.65</v>
      </c>
      <c r="T107" s="1">
        <f t="shared" si="188"/>
        <v>0.01</v>
      </c>
      <c r="U107" s="1">
        <f t="shared" si="188"/>
        <v>0.02</v>
      </c>
      <c r="V107" s="1">
        <f t="shared" si="188"/>
        <v>0.19</v>
      </c>
      <c r="W107" s="1">
        <f t="shared" si="188"/>
        <v>0.01</v>
      </c>
      <c r="X107" s="1">
        <f t="shared" si="188"/>
        <v>0.01</v>
      </c>
      <c r="Y107" s="1">
        <f t="shared" si="188"/>
        <v>0.56000000000000005</v>
      </c>
      <c r="Z107" s="1">
        <f t="shared" si="188"/>
        <v>0.21</v>
      </c>
      <c r="AA107" s="1">
        <f t="shared" si="188"/>
        <v>1.25</v>
      </c>
      <c r="AB107" s="1">
        <f t="shared" si="188"/>
        <v>7.0000000000000007E-2</v>
      </c>
      <c r="AC107" s="1">
        <f t="shared" si="188"/>
        <v>0.04</v>
      </c>
      <c r="AD107" s="1">
        <f t="shared" si="188"/>
        <v>0.02</v>
      </c>
      <c r="AE107" s="1">
        <f t="shared" si="188"/>
        <v>0.1</v>
      </c>
      <c r="AF107" s="1">
        <f t="shared" si="188"/>
        <v>0.15</v>
      </c>
      <c r="AG107" s="1">
        <f t="shared" si="188"/>
        <v>0.06</v>
      </c>
      <c r="AH107" s="1">
        <f t="shared" si="188"/>
        <v>0.52</v>
      </c>
      <c r="AI107" s="1">
        <f t="shared" si="188"/>
        <v>0.01</v>
      </c>
      <c r="AJ107" s="1">
        <f t="shared" si="188"/>
        <v>0.01</v>
      </c>
      <c r="AK107" s="1">
        <f t="shared" si="188"/>
        <v>0.01</v>
      </c>
      <c r="AL107" s="1">
        <f t="shared" si="188"/>
        <v>0.13</v>
      </c>
      <c r="AM107" s="1">
        <f t="shared" si="188"/>
        <v>1.03</v>
      </c>
      <c r="AN107" s="1">
        <f t="shared" si="188"/>
        <v>1.06</v>
      </c>
      <c r="AO107" s="1">
        <f t="shared" si="188"/>
        <v>0.08</v>
      </c>
      <c r="AP107" s="1">
        <f t="shared" si="188"/>
        <v>0.01</v>
      </c>
      <c r="AQ107" s="1">
        <f t="shared" si="188"/>
        <v>0.08</v>
      </c>
      <c r="AR107" s="1">
        <f t="shared" si="188"/>
        <v>0.39</v>
      </c>
      <c r="AS107" s="1">
        <f t="shared" si="188"/>
        <v>0.01</v>
      </c>
      <c r="AT107" s="1">
        <f t="shared" si="188"/>
        <v>1.1000000000000001</v>
      </c>
      <c r="AU107" s="1">
        <f t="shared" si="188"/>
        <v>0.01</v>
      </c>
      <c r="AV107" s="1">
        <f t="shared" si="188"/>
        <v>0.01</v>
      </c>
      <c r="AW107" s="1">
        <f t="shared" si="188"/>
        <v>0.01</v>
      </c>
      <c r="AX107" s="1">
        <f t="shared" si="188"/>
        <v>0.01</v>
      </c>
      <c r="AY107" s="1">
        <f t="shared" si="188"/>
        <v>0.01</v>
      </c>
      <c r="AZ107" s="1">
        <f t="shared" si="188"/>
        <v>0.01</v>
      </c>
      <c r="BA107" s="1">
        <f t="shared" si="188"/>
        <v>0.01</v>
      </c>
      <c r="BB107" s="1">
        <f t="shared" si="188"/>
        <v>12.32</v>
      </c>
      <c r="BC107" s="1">
        <f t="shared" si="188"/>
        <v>0.15</v>
      </c>
      <c r="BD107" s="1">
        <f t="shared" si="188"/>
        <v>3.1</v>
      </c>
      <c r="BE107" s="1">
        <f t="shared" si="188"/>
        <v>1.89</v>
      </c>
      <c r="BF107" s="1">
        <f t="shared" si="188"/>
        <v>0.17</v>
      </c>
      <c r="BG107" s="1">
        <f t="shared" si="188"/>
        <v>0.02</v>
      </c>
      <c r="BH107" s="1">
        <f t="shared" si="188"/>
        <v>0.01</v>
      </c>
      <c r="BI107" s="1">
        <f t="shared" si="188"/>
        <v>0.01</v>
      </c>
      <c r="BJ107" s="1">
        <f t="shared" si="188"/>
        <v>0.05</v>
      </c>
      <c r="BK107" s="1">
        <f t="shared" si="188"/>
        <v>0.28999999999999998</v>
      </c>
      <c r="BL107" s="1">
        <f t="shared" si="188"/>
        <v>0.06</v>
      </c>
      <c r="BM107" s="1">
        <f t="shared" si="188"/>
        <v>0.01</v>
      </c>
      <c r="BN107" s="1">
        <f t="shared" ref="BN107:DY107" si="189">SUM(BN2:BN101)/100</f>
        <v>7.0000000000000007E-2</v>
      </c>
      <c r="BO107" s="1">
        <f t="shared" si="189"/>
        <v>0.01</v>
      </c>
      <c r="BP107" s="1">
        <f t="shared" si="189"/>
        <v>10.86</v>
      </c>
      <c r="BQ107" s="1">
        <f t="shared" si="189"/>
        <v>5.0199999999999996</v>
      </c>
      <c r="BR107" s="1">
        <f t="shared" si="189"/>
        <v>0.06</v>
      </c>
      <c r="BS107" s="1">
        <f t="shared" si="189"/>
        <v>0.12</v>
      </c>
      <c r="BT107" s="1">
        <f t="shared" si="189"/>
        <v>0.69</v>
      </c>
      <c r="BU107" s="1">
        <f t="shared" si="189"/>
        <v>0.77</v>
      </c>
      <c r="BV107" s="1">
        <f t="shared" si="189"/>
        <v>0.01</v>
      </c>
      <c r="BW107" s="1">
        <f t="shared" si="189"/>
        <v>0.15</v>
      </c>
      <c r="BX107" s="1">
        <f t="shared" si="189"/>
        <v>0.01</v>
      </c>
      <c r="BY107" s="1">
        <f t="shared" si="189"/>
        <v>0.02</v>
      </c>
      <c r="BZ107" s="1">
        <f t="shared" si="189"/>
        <v>0.81</v>
      </c>
      <c r="CA107" s="1">
        <f t="shared" si="189"/>
        <v>0.01</v>
      </c>
      <c r="CB107" s="1">
        <f t="shared" si="189"/>
        <v>0.34</v>
      </c>
      <c r="CC107" s="1">
        <f t="shared" si="189"/>
        <v>0.08</v>
      </c>
      <c r="CD107" s="1">
        <f t="shared" si="189"/>
        <v>0.02</v>
      </c>
      <c r="CE107" s="1">
        <f t="shared" si="189"/>
        <v>0.01</v>
      </c>
      <c r="CF107" s="1">
        <f t="shared" si="189"/>
        <v>0.12</v>
      </c>
      <c r="CG107" s="1">
        <f t="shared" si="189"/>
        <v>0.03</v>
      </c>
      <c r="CH107" s="1">
        <f t="shared" si="189"/>
        <v>0.6</v>
      </c>
      <c r="CI107" s="1">
        <f t="shared" si="189"/>
        <v>0.26</v>
      </c>
      <c r="CJ107" s="1">
        <f t="shared" si="189"/>
        <v>0.04</v>
      </c>
      <c r="CK107" s="1">
        <f t="shared" si="189"/>
        <v>0.04</v>
      </c>
      <c r="CL107" s="1">
        <f t="shared" si="189"/>
        <v>0.01</v>
      </c>
      <c r="CM107" s="1">
        <f t="shared" si="189"/>
        <v>0.04</v>
      </c>
      <c r="CN107" s="1">
        <f t="shared" si="189"/>
        <v>0.04</v>
      </c>
      <c r="CO107" s="1">
        <f t="shared" si="189"/>
        <v>0.01</v>
      </c>
      <c r="CP107" s="1">
        <f t="shared" si="189"/>
        <v>7.0000000000000007E-2</v>
      </c>
      <c r="CQ107" s="1">
        <f t="shared" si="189"/>
        <v>0.02</v>
      </c>
      <c r="CR107" s="1">
        <f t="shared" si="189"/>
        <v>0.02</v>
      </c>
      <c r="CS107" s="1">
        <f t="shared" si="189"/>
        <v>0.01</v>
      </c>
      <c r="CT107" s="1">
        <f t="shared" si="189"/>
        <v>0.01</v>
      </c>
      <c r="CU107" s="1">
        <f t="shared" si="189"/>
        <v>0.56000000000000005</v>
      </c>
      <c r="CV107" s="1">
        <f t="shared" si="189"/>
        <v>0.64</v>
      </c>
      <c r="CW107" s="1">
        <f t="shared" si="189"/>
        <v>0.02</v>
      </c>
      <c r="CX107" s="1">
        <f t="shared" si="189"/>
        <v>0.19</v>
      </c>
      <c r="CY107" s="1">
        <f t="shared" si="189"/>
        <v>0.02</v>
      </c>
      <c r="CZ107" s="1">
        <f t="shared" si="189"/>
        <v>0.03</v>
      </c>
      <c r="DA107" s="1">
        <f t="shared" si="189"/>
        <v>1.22</v>
      </c>
      <c r="DB107" s="1">
        <f t="shared" si="189"/>
        <v>0.01</v>
      </c>
      <c r="DC107" s="1">
        <f t="shared" si="189"/>
        <v>0.03</v>
      </c>
      <c r="DD107" s="1">
        <f t="shared" si="189"/>
        <v>0.01</v>
      </c>
      <c r="DE107" s="1">
        <f t="shared" si="189"/>
        <v>0.02</v>
      </c>
      <c r="DF107" s="1">
        <f t="shared" si="189"/>
        <v>0.03</v>
      </c>
      <c r="DG107" s="1">
        <f t="shared" si="189"/>
        <v>0.04</v>
      </c>
      <c r="DH107" s="1">
        <f t="shared" si="189"/>
        <v>0.16</v>
      </c>
      <c r="DI107" s="1">
        <f t="shared" si="189"/>
        <v>0.05</v>
      </c>
      <c r="DJ107" s="1">
        <f t="shared" si="189"/>
        <v>0.01</v>
      </c>
      <c r="DK107" s="1">
        <f t="shared" si="189"/>
        <v>0.01</v>
      </c>
      <c r="DL107" s="1">
        <f t="shared" si="189"/>
        <v>0.01</v>
      </c>
      <c r="DM107" s="1">
        <f t="shared" si="189"/>
        <v>0.19</v>
      </c>
      <c r="DN107" s="1">
        <f t="shared" si="189"/>
        <v>0.06</v>
      </c>
      <c r="DO107" s="1">
        <f t="shared" si="189"/>
        <v>0.01</v>
      </c>
      <c r="DP107" s="1">
        <f t="shared" si="189"/>
        <v>0.01</v>
      </c>
      <c r="DQ107" s="1">
        <f t="shared" si="189"/>
        <v>0.01</v>
      </c>
      <c r="DR107" s="1">
        <f t="shared" si="189"/>
        <v>0.01</v>
      </c>
      <c r="DS107" s="1">
        <f t="shared" si="189"/>
        <v>1.78</v>
      </c>
      <c r="DT107" s="1">
        <f t="shared" si="189"/>
        <v>0.03</v>
      </c>
      <c r="DU107" s="1">
        <f t="shared" si="189"/>
        <v>0.01</v>
      </c>
      <c r="DV107" s="1">
        <f t="shared" si="189"/>
        <v>0.01</v>
      </c>
      <c r="DW107" s="1">
        <f t="shared" si="189"/>
        <v>0.01</v>
      </c>
      <c r="DX107" s="1">
        <f t="shared" si="189"/>
        <v>0.02</v>
      </c>
      <c r="DY107" s="1">
        <f t="shared" si="189"/>
        <v>0.11</v>
      </c>
      <c r="DZ107" s="1">
        <f t="shared" ref="DZ107:GK107" si="190">SUM(DZ2:DZ101)/100</f>
        <v>0.01</v>
      </c>
      <c r="EA107" s="1">
        <f t="shared" si="190"/>
        <v>0.02</v>
      </c>
      <c r="EB107" s="1">
        <f t="shared" si="190"/>
        <v>0.01</v>
      </c>
      <c r="EC107" s="1">
        <f t="shared" si="190"/>
        <v>0.02</v>
      </c>
      <c r="ED107" s="1">
        <f t="shared" si="190"/>
        <v>0.82</v>
      </c>
      <c r="EE107" s="1">
        <f t="shared" si="190"/>
        <v>0.03</v>
      </c>
      <c r="EF107" s="1">
        <f t="shared" si="190"/>
        <v>0.01</v>
      </c>
      <c r="EG107" s="1">
        <f t="shared" si="190"/>
        <v>0.15</v>
      </c>
      <c r="EH107" s="1">
        <f t="shared" si="190"/>
        <v>0.01</v>
      </c>
      <c r="EI107" s="1">
        <f t="shared" si="190"/>
        <v>0.52</v>
      </c>
      <c r="EJ107" s="1">
        <f t="shared" si="190"/>
        <v>0.12</v>
      </c>
      <c r="EK107" s="1">
        <f t="shared" si="190"/>
        <v>0.01</v>
      </c>
      <c r="EL107" s="1">
        <f t="shared" si="190"/>
        <v>0.02</v>
      </c>
      <c r="EM107" s="1">
        <f t="shared" si="190"/>
        <v>0.01</v>
      </c>
      <c r="EN107" s="1">
        <f t="shared" si="190"/>
        <v>0.04</v>
      </c>
      <c r="EO107" s="1">
        <f t="shared" si="190"/>
        <v>0.02</v>
      </c>
      <c r="EP107" s="1">
        <f t="shared" si="190"/>
        <v>0.53</v>
      </c>
      <c r="EQ107" s="1">
        <f t="shared" si="190"/>
        <v>0.01</v>
      </c>
      <c r="ER107" s="1">
        <f t="shared" si="190"/>
        <v>0.27</v>
      </c>
      <c r="ES107" s="1">
        <f t="shared" si="190"/>
        <v>0.01</v>
      </c>
      <c r="ET107" s="1">
        <f t="shared" si="190"/>
        <v>0.02</v>
      </c>
      <c r="EU107" s="1">
        <f t="shared" si="190"/>
        <v>0.01</v>
      </c>
      <c r="EV107" s="1">
        <f t="shared" si="190"/>
        <v>0.01</v>
      </c>
      <c r="EW107" s="1">
        <f t="shared" si="190"/>
        <v>0.55000000000000004</v>
      </c>
      <c r="EX107" s="1">
        <f t="shared" si="190"/>
        <v>1.35</v>
      </c>
      <c r="EY107" s="1">
        <f t="shared" si="190"/>
        <v>7.0000000000000007E-2</v>
      </c>
      <c r="EZ107" s="1">
        <f t="shared" si="190"/>
        <v>0.01</v>
      </c>
      <c r="FA107" s="1">
        <f t="shared" si="190"/>
        <v>0.03</v>
      </c>
      <c r="FB107" s="1">
        <f t="shared" si="190"/>
        <v>4.8499999999999996</v>
      </c>
      <c r="FC107" s="1">
        <f t="shared" si="190"/>
        <v>0.01</v>
      </c>
      <c r="FD107" s="1">
        <f t="shared" si="190"/>
        <v>0.52</v>
      </c>
      <c r="FE107" s="1">
        <f t="shared" si="190"/>
        <v>0.01</v>
      </c>
      <c r="FF107" s="1">
        <f t="shared" si="190"/>
        <v>0.02</v>
      </c>
      <c r="FG107" s="1">
        <f t="shared" si="190"/>
        <v>0.03</v>
      </c>
      <c r="FH107" s="1">
        <f t="shared" si="190"/>
        <v>0.56999999999999995</v>
      </c>
      <c r="FI107" s="1">
        <f t="shared" si="190"/>
        <v>0.01</v>
      </c>
      <c r="FJ107" s="1">
        <f t="shared" si="190"/>
        <v>0.03</v>
      </c>
      <c r="FK107" s="1">
        <f t="shared" si="190"/>
        <v>0.06</v>
      </c>
      <c r="FL107" s="1">
        <f t="shared" si="190"/>
        <v>0.02</v>
      </c>
      <c r="FM107" s="1">
        <f t="shared" si="190"/>
        <v>0.1</v>
      </c>
      <c r="FN107" s="1">
        <f t="shared" si="190"/>
        <v>0.01</v>
      </c>
      <c r="FO107" s="1">
        <f t="shared" si="190"/>
        <v>4.6100000000000003</v>
      </c>
      <c r="FP107" s="1">
        <f t="shared" si="190"/>
        <v>0.01</v>
      </c>
      <c r="FQ107" s="1">
        <f t="shared" si="190"/>
        <v>0.02</v>
      </c>
      <c r="FR107" s="1">
        <f t="shared" si="190"/>
        <v>0.01</v>
      </c>
      <c r="FS107" s="1">
        <f t="shared" si="190"/>
        <v>0.01</v>
      </c>
      <c r="FT107" s="1">
        <f t="shared" si="190"/>
        <v>0.26</v>
      </c>
      <c r="FU107" s="1">
        <f t="shared" si="190"/>
        <v>0.01</v>
      </c>
      <c r="FV107" s="1">
        <f t="shared" si="190"/>
        <v>0.42</v>
      </c>
      <c r="FW107" s="1">
        <f t="shared" si="190"/>
        <v>0.03</v>
      </c>
      <c r="FX107" s="1">
        <f t="shared" si="190"/>
        <v>7.0000000000000007E-2</v>
      </c>
      <c r="FY107" s="1">
        <f t="shared" si="190"/>
        <v>0.02</v>
      </c>
      <c r="FZ107" s="1">
        <f t="shared" si="190"/>
        <v>0.01</v>
      </c>
      <c r="GA107" s="1">
        <f t="shared" si="190"/>
        <v>0.4</v>
      </c>
      <c r="GB107" s="1">
        <f t="shared" si="190"/>
        <v>0.28000000000000003</v>
      </c>
      <c r="GC107" s="1">
        <f t="shared" si="190"/>
        <v>1</v>
      </c>
      <c r="GD107" s="1">
        <f t="shared" si="190"/>
        <v>0.01</v>
      </c>
      <c r="GE107" s="1">
        <f t="shared" si="190"/>
        <v>0.28000000000000003</v>
      </c>
      <c r="GF107" s="1">
        <f t="shared" si="190"/>
        <v>0.98</v>
      </c>
      <c r="GG107" s="1">
        <f t="shared" si="190"/>
        <v>0.13</v>
      </c>
      <c r="GH107" s="1">
        <f t="shared" si="190"/>
        <v>1</v>
      </c>
      <c r="GI107" s="1">
        <f t="shared" si="190"/>
        <v>0.95</v>
      </c>
      <c r="GJ107" s="1">
        <f t="shared" si="190"/>
        <v>0.02</v>
      </c>
      <c r="GK107" s="1">
        <f t="shared" si="190"/>
        <v>0.01</v>
      </c>
      <c r="GL107" s="1">
        <f t="shared" ref="GL107:GM107" si="191">SUM(GL2:GL101)/100</f>
        <v>0.01</v>
      </c>
      <c r="GM107" s="1">
        <f t="shared" si="191"/>
        <v>0.03</v>
      </c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</row>
    <row r="108" spans="1:222" x14ac:dyDescent="0.3">
      <c r="A108" s="9" t="s">
        <v>603</v>
      </c>
      <c r="B108" s="4">
        <f t="shared" ref="B108:BM108" si="192">_xlfn.VAR.S(B2:B101)</f>
        <v>1.3998989898989891</v>
      </c>
      <c r="C108" s="4">
        <f t="shared" si="192"/>
        <v>0.28878787878787876</v>
      </c>
      <c r="D108" s="4">
        <f t="shared" si="192"/>
        <v>6.5757575757575806E-2</v>
      </c>
      <c r="E108" s="4">
        <f t="shared" si="192"/>
        <v>0.3256565656565657</v>
      </c>
      <c r="F108" s="4">
        <f t="shared" si="192"/>
        <v>0.40595959595959591</v>
      </c>
      <c r="G108" s="4">
        <f t="shared" si="192"/>
        <v>0.01</v>
      </c>
      <c r="H108" s="4">
        <f t="shared" si="192"/>
        <v>0.01</v>
      </c>
      <c r="I108" s="4">
        <f t="shared" si="192"/>
        <v>0.67313131313131314</v>
      </c>
      <c r="J108" s="4">
        <f t="shared" si="192"/>
        <v>0.51828282828282835</v>
      </c>
      <c r="K108" s="4">
        <f t="shared" si="192"/>
        <v>0.12636363636363637</v>
      </c>
      <c r="L108" s="4">
        <f t="shared" si="192"/>
        <v>0.01</v>
      </c>
      <c r="M108" s="4">
        <f t="shared" si="192"/>
        <v>0.01</v>
      </c>
      <c r="N108" s="4">
        <f t="shared" si="192"/>
        <v>0.01</v>
      </c>
      <c r="O108" s="4">
        <f t="shared" si="192"/>
        <v>1.5248484848484849</v>
      </c>
      <c r="P108" s="4">
        <f t="shared" si="192"/>
        <v>0.01</v>
      </c>
      <c r="Q108" s="4">
        <f t="shared" si="192"/>
        <v>0.01</v>
      </c>
      <c r="R108" s="4">
        <f t="shared" si="192"/>
        <v>0.16353535353535356</v>
      </c>
      <c r="S108" s="4">
        <f t="shared" si="192"/>
        <v>1.6035353535353536</v>
      </c>
      <c r="T108" s="4">
        <f t="shared" si="192"/>
        <v>0.01</v>
      </c>
      <c r="U108" s="4">
        <f t="shared" si="192"/>
        <v>1.9797979797979797E-2</v>
      </c>
      <c r="V108" s="4">
        <f t="shared" si="192"/>
        <v>0.15545454545454546</v>
      </c>
      <c r="W108" s="4">
        <f t="shared" si="192"/>
        <v>0.01</v>
      </c>
      <c r="X108" s="4">
        <f t="shared" si="192"/>
        <v>0.01</v>
      </c>
      <c r="Y108" s="4">
        <f t="shared" si="192"/>
        <v>1.8448484848484847</v>
      </c>
      <c r="Z108" s="4">
        <f t="shared" si="192"/>
        <v>0.22818181818181818</v>
      </c>
      <c r="AA108" s="4">
        <f t="shared" si="192"/>
        <v>19.098484848484848</v>
      </c>
      <c r="AB108" s="4">
        <f t="shared" si="192"/>
        <v>0.10616161616161617</v>
      </c>
      <c r="AC108" s="4">
        <f t="shared" si="192"/>
        <v>9.9393939393939396E-2</v>
      </c>
      <c r="AD108" s="4">
        <f t="shared" si="192"/>
        <v>1.9797979797979797E-2</v>
      </c>
      <c r="AE108" s="4">
        <f t="shared" si="192"/>
        <v>0.35353535353535354</v>
      </c>
      <c r="AF108" s="4">
        <f t="shared" si="192"/>
        <v>0.33080808080808083</v>
      </c>
      <c r="AG108" s="4">
        <f t="shared" si="192"/>
        <v>7.7171717171717169E-2</v>
      </c>
      <c r="AH108" s="4">
        <f t="shared" si="192"/>
        <v>0.67636363636363639</v>
      </c>
      <c r="AI108" s="4">
        <f t="shared" si="192"/>
        <v>0.01</v>
      </c>
      <c r="AJ108" s="4">
        <f t="shared" si="192"/>
        <v>0.01</v>
      </c>
      <c r="AK108" s="4">
        <f t="shared" si="192"/>
        <v>0.01</v>
      </c>
      <c r="AL108" s="4">
        <f t="shared" si="192"/>
        <v>1.69</v>
      </c>
      <c r="AM108" s="4">
        <f t="shared" si="192"/>
        <v>4.9595959595959561E-2</v>
      </c>
      <c r="AN108" s="4">
        <f t="shared" si="192"/>
        <v>0.25898989898989899</v>
      </c>
      <c r="AO108" s="4">
        <f t="shared" si="192"/>
        <v>7.434343434343435E-2</v>
      </c>
      <c r="AP108" s="4">
        <f t="shared" si="192"/>
        <v>0.01</v>
      </c>
      <c r="AQ108" s="4">
        <f t="shared" si="192"/>
        <v>7.434343434343435E-2</v>
      </c>
      <c r="AR108" s="4">
        <f t="shared" si="192"/>
        <v>1.2504040404040404</v>
      </c>
      <c r="AS108" s="4">
        <f t="shared" si="192"/>
        <v>0.01</v>
      </c>
      <c r="AT108" s="4">
        <f t="shared" si="192"/>
        <v>0.13131313131313133</v>
      </c>
      <c r="AU108" s="4">
        <f t="shared" si="192"/>
        <v>0.01</v>
      </c>
      <c r="AV108" s="4">
        <f t="shared" si="192"/>
        <v>0.01</v>
      </c>
      <c r="AW108" s="4">
        <f t="shared" si="192"/>
        <v>0.01</v>
      </c>
      <c r="AX108" s="4">
        <f t="shared" si="192"/>
        <v>0.01</v>
      </c>
      <c r="AY108" s="4">
        <f t="shared" si="192"/>
        <v>0.01</v>
      </c>
      <c r="AZ108" s="4">
        <f t="shared" si="192"/>
        <v>0.01</v>
      </c>
      <c r="BA108" s="4">
        <f t="shared" si="192"/>
        <v>0.01</v>
      </c>
      <c r="BB108" s="4">
        <f t="shared" si="192"/>
        <v>20.603636363636365</v>
      </c>
      <c r="BC108" s="4">
        <f t="shared" si="192"/>
        <v>1.0782828282828283</v>
      </c>
      <c r="BD108" s="4">
        <f t="shared" si="192"/>
        <v>9</v>
      </c>
      <c r="BE108" s="4">
        <f t="shared" si="192"/>
        <v>4.2201010101010104</v>
      </c>
      <c r="BF108" s="4">
        <f t="shared" si="192"/>
        <v>0.14252525252525253</v>
      </c>
      <c r="BG108" s="4">
        <f t="shared" si="192"/>
        <v>1.9797979797979797E-2</v>
      </c>
      <c r="BH108" s="4">
        <f t="shared" si="192"/>
        <v>0.01</v>
      </c>
      <c r="BI108" s="4">
        <f t="shared" si="192"/>
        <v>0.01</v>
      </c>
      <c r="BJ108" s="4">
        <f t="shared" si="192"/>
        <v>4.7979797979797977E-2</v>
      </c>
      <c r="BK108" s="4">
        <f t="shared" si="192"/>
        <v>0.20797979797979799</v>
      </c>
      <c r="BL108" s="4">
        <f t="shared" si="192"/>
        <v>5.6969696969696969E-2</v>
      </c>
      <c r="BM108" s="4">
        <f t="shared" si="192"/>
        <v>0.01</v>
      </c>
      <c r="BN108" s="4">
        <f t="shared" ref="BN108:DY108" si="193">_xlfn.VAR.S(BN2:BN101)</f>
        <v>6.5757575757575751E-2</v>
      </c>
      <c r="BO108" s="4">
        <f t="shared" si="193"/>
        <v>0.01</v>
      </c>
      <c r="BP108" s="4">
        <f t="shared" si="193"/>
        <v>205.8589898989899</v>
      </c>
      <c r="BQ108" s="4">
        <f t="shared" si="193"/>
        <v>24.201616161616162</v>
      </c>
      <c r="BR108" s="4">
        <f t="shared" si="193"/>
        <v>5.6969696969696969E-2</v>
      </c>
      <c r="BS108" s="4">
        <f t="shared" si="193"/>
        <v>1.2177777777777778</v>
      </c>
      <c r="BT108" s="4">
        <f t="shared" si="193"/>
        <v>0.23626262626262626</v>
      </c>
      <c r="BU108" s="4">
        <f t="shared" si="193"/>
        <v>0.44151515151515153</v>
      </c>
      <c r="BV108" s="4">
        <f t="shared" si="193"/>
        <v>0.01</v>
      </c>
      <c r="BW108" s="4">
        <f t="shared" si="193"/>
        <v>0.27020202020202022</v>
      </c>
      <c r="BX108" s="4">
        <f t="shared" si="193"/>
        <v>0.01</v>
      </c>
      <c r="BY108" s="4">
        <f t="shared" si="193"/>
        <v>1.9797979797979797E-2</v>
      </c>
      <c r="BZ108" s="4">
        <f t="shared" si="193"/>
        <v>0.17565656565656565</v>
      </c>
      <c r="CA108" s="4">
        <f t="shared" si="193"/>
        <v>0.01</v>
      </c>
      <c r="CB108" s="4">
        <f t="shared" si="193"/>
        <v>0.42868686868686867</v>
      </c>
      <c r="CC108" s="4">
        <f t="shared" si="193"/>
        <v>9.4545454545454544E-2</v>
      </c>
      <c r="CD108" s="4">
        <f t="shared" si="193"/>
        <v>0.04</v>
      </c>
      <c r="CE108" s="4">
        <f t="shared" si="193"/>
        <v>0.01</v>
      </c>
      <c r="CF108" s="4">
        <f t="shared" si="193"/>
        <v>0.12686868686868688</v>
      </c>
      <c r="CG108" s="4">
        <f t="shared" si="193"/>
        <v>4.9595959595959596E-2</v>
      </c>
      <c r="CH108" s="4">
        <f t="shared" si="193"/>
        <v>2</v>
      </c>
      <c r="CI108" s="4">
        <f t="shared" si="193"/>
        <v>0.23474747474747476</v>
      </c>
      <c r="CJ108" s="4">
        <f t="shared" si="193"/>
        <v>7.9191919191919188E-2</v>
      </c>
      <c r="CK108" s="4">
        <f t="shared" si="193"/>
        <v>0.16</v>
      </c>
      <c r="CL108" s="4">
        <f t="shared" si="193"/>
        <v>0.01</v>
      </c>
      <c r="CM108" s="4">
        <f t="shared" si="193"/>
        <v>3.8787878787878788E-2</v>
      </c>
      <c r="CN108" s="4">
        <f t="shared" si="193"/>
        <v>3.8787878787878788E-2</v>
      </c>
      <c r="CO108" s="4">
        <f t="shared" si="193"/>
        <v>0.01</v>
      </c>
      <c r="CP108" s="4">
        <f t="shared" si="193"/>
        <v>6.5757575757575751E-2</v>
      </c>
      <c r="CQ108" s="4">
        <f t="shared" si="193"/>
        <v>1.9797979797979797E-2</v>
      </c>
      <c r="CR108" s="4">
        <f t="shared" si="193"/>
        <v>1.9797979797979797E-2</v>
      </c>
      <c r="CS108" s="4">
        <f t="shared" si="193"/>
        <v>0.01</v>
      </c>
      <c r="CT108" s="4">
        <f t="shared" si="193"/>
        <v>0.01</v>
      </c>
      <c r="CU108" s="4">
        <f t="shared" si="193"/>
        <v>0.28929292929292932</v>
      </c>
      <c r="CV108" s="4">
        <f t="shared" si="193"/>
        <v>0.27313131313131311</v>
      </c>
      <c r="CW108" s="4">
        <f t="shared" si="193"/>
        <v>1.9797979797979797E-2</v>
      </c>
      <c r="CX108" s="4">
        <f t="shared" si="193"/>
        <v>0.29686868686868689</v>
      </c>
      <c r="CY108" s="4">
        <f t="shared" si="193"/>
        <v>1.9797979797979797E-2</v>
      </c>
      <c r="CZ108" s="4">
        <f t="shared" si="193"/>
        <v>2.9393939393939396E-2</v>
      </c>
      <c r="DA108" s="4">
        <f t="shared" si="193"/>
        <v>0.27434343434343433</v>
      </c>
      <c r="DB108" s="4">
        <f t="shared" si="193"/>
        <v>0.01</v>
      </c>
      <c r="DC108" s="4">
        <f t="shared" si="193"/>
        <v>4.9595959595959596E-2</v>
      </c>
      <c r="DD108" s="4">
        <f t="shared" si="193"/>
        <v>0.01</v>
      </c>
      <c r="DE108" s="4">
        <f t="shared" si="193"/>
        <v>1.9797979797979797E-2</v>
      </c>
      <c r="DF108" s="4">
        <f t="shared" si="193"/>
        <v>2.9393939393939396E-2</v>
      </c>
      <c r="DG108" s="4">
        <f t="shared" si="193"/>
        <v>3.8787878787878788E-2</v>
      </c>
      <c r="DH108" s="4">
        <f t="shared" si="193"/>
        <v>0.13575757575757574</v>
      </c>
      <c r="DI108" s="4">
        <f t="shared" si="193"/>
        <v>4.7979797979797977E-2</v>
      </c>
      <c r="DJ108" s="4">
        <f t="shared" si="193"/>
        <v>0.01</v>
      </c>
      <c r="DK108" s="4">
        <f t="shared" si="193"/>
        <v>0.01</v>
      </c>
      <c r="DL108" s="4">
        <f t="shared" si="193"/>
        <v>0.01</v>
      </c>
      <c r="DM108" s="4">
        <f t="shared" si="193"/>
        <v>0.15545454545454546</v>
      </c>
      <c r="DN108" s="4">
        <f t="shared" si="193"/>
        <v>5.6969696969696969E-2</v>
      </c>
      <c r="DO108" s="4">
        <f t="shared" si="193"/>
        <v>0.01</v>
      </c>
      <c r="DP108" s="4">
        <f t="shared" si="193"/>
        <v>0.01</v>
      </c>
      <c r="DQ108" s="4">
        <f t="shared" si="193"/>
        <v>0.01</v>
      </c>
      <c r="DR108" s="4">
        <f t="shared" si="193"/>
        <v>0.01</v>
      </c>
      <c r="DS108" s="4">
        <f t="shared" si="193"/>
        <v>4.0925252525252525</v>
      </c>
      <c r="DT108" s="4">
        <f t="shared" si="193"/>
        <v>2.9393939393939396E-2</v>
      </c>
      <c r="DU108" s="4">
        <f t="shared" si="193"/>
        <v>0.01</v>
      </c>
      <c r="DV108" s="4">
        <f t="shared" si="193"/>
        <v>0.01</v>
      </c>
      <c r="DW108" s="4">
        <f t="shared" si="193"/>
        <v>0.01</v>
      </c>
      <c r="DX108" s="4">
        <f t="shared" si="193"/>
        <v>1.9797979797979797E-2</v>
      </c>
      <c r="DY108" s="4">
        <f t="shared" si="193"/>
        <v>9.8888888888888873E-2</v>
      </c>
      <c r="DZ108" s="4">
        <f t="shared" ref="DZ108:GK108" si="194">_xlfn.VAR.S(DZ2:DZ101)</f>
        <v>0.01</v>
      </c>
      <c r="EA108" s="4">
        <f t="shared" si="194"/>
        <v>1.9797979797979797E-2</v>
      </c>
      <c r="EB108" s="4">
        <f t="shared" si="194"/>
        <v>0.01</v>
      </c>
      <c r="EC108" s="4">
        <f t="shared" si="194"/>
        <v>1.9797979797979797E-2</v>
      </c>
      <c r="ED108" s="4">
        <f t="shared" si="194"/>
        <v>0.49252525252525259</v>
      </c>
      <c r="EE108" s="4">
        <f t="shared" si="194"/>
        <v>0.09</v>
      </c>
      <c r="EF108" s="4">
        <f t="shared" si="194"/>
        <v>0.01</v>
      </c>
      <c r="EG108" s="4">
        <f t="shared" si="194"/>
        <v>0.20959595959595959</v>
      </c>
      <c r="EH108" s="4">
        <f t="shared" si="194"/>
        <v>0.01</v>
      </c>
      <c r="EI108" s="4">
        <f t="shared" si="194"/>
        <v>7.6662626262626263</v>
      </c>
      <c r="EJ108" s="4">
        <f t="shared" si="194"/>
        <v>0.26828282828282829</v>
      </c>
      <c r="EK108" s="4">
        <f t="shared" si="194"/>
        <v>0.01</v>
      </c>
      <c r="EL108" s="4">
        <f t="shared" si="194"/>
        <v>1.9797979797979797E-2</v>
      </c>
      <c r="EM108" s="4">
        <f t="shared" si="194"/>
        <v>0.01</v>
      </c>
      <c r="EN108" s="4">
        <f t="shared" si="194"/>
        <v>3.8787878787878788E-2</v>
      </c>
      <c r="EO108" s="4">
        <f t="shared" si="194"/>
        <v>1.9797979797979797E-2</v>
      </c>
      <c r="EP108" s="4">
        <f t="shared" si="194"/>
        <v>0.31222222222222223</v>
      </c>
      <c r="EQ108" s="4">
        <f t="shared" si="194"/>
        <v>0.01</v>
      </c>
      <c r="ER108" s="4">
        <f t="shared" si="194"/>
        <v>0.21929292929292929</v>
      </c>
      <c r="ES108" s="4">
        <f t="shared" si="194"/>
        <v>0.01</v>
      </c>
      <c r="ET108" s="4">
        <f t="shared" si="194"/>
        <v>1.9797979797979797E-2</v>
      </c>
      <c r="EU108" s="4">
        <f t="shared" si="194"/>
        <v>0.01</v>
      </c>
      <c r="EV108" s="4">
        <f t="shared" si="194"/>
        <v>0.01</v>
      </c>
      <c r="EW108" s="4">
        <f t="shared" si="194"/>
        <v>0.25</v>
      </c>
      <c r="EX108" s="4">
        <f t="shared" si="194"/>
        <v>1.8055555555555556</v>
      </c>
      <c r="EY108" s="4">
        <f t="shared" si="194"/>
        <v>0.14656565656565657</v>
      </c>
      <c r="EZ108" s="4">
        <f t="shared" si="194"/>
        <v>0.01</v>
      </c>
      <c r="FA108" s="4">
        <f t="shared" si="194"/>
        <v>2.9393939393939396E-2</v>
      </c>
      <c r="FB108" s="4">
        <f t="shared" si="194"/>
        <v>5.583333333333333</v>
      </c>
      <c r="FC108" s="4">
        <f t="shared" si="194"/>
        <v>0.01</v>
      </c>
      <c r="FD108" s="4">
        <f t="shared" si="194"/>
        <v>0.27232323232323236</v>
      </c>
      <c r="FE108" s="4">
        <f t="shared" si="194"/>
        <v>0.01</v>
      </c>
      <c r="FF108" s="4">
        <f t="shared" si="194"/>
        <v>1.9797979797979797E-2</v>
      </c>
      <c r="FG108" s="4">
        <f t="shared" si="194"/>
        <v>2.9393939393939396E-2</v>
      </c>
      <c r="FH108" s="4">
        <f t="shared" si="194"/>
        <v>0.24757575757575756</v>
      </c>
      <c r="FI108" s="4">
        <f t="shared" si="194"/>
        <v>0.01</v>
      </c>
      <c r="FJ108" s="4">
        <f t="shared" si="194"/>
        <v>2.9393939393939396E-2</v>
      </c>
      <c r="FK108" s="4">
        <f t="shared" si="194"/>
        <v>5.6969696969696969E-2</v>
      </c>
      <c r="FL108" s="4">
        <f t="shared" si="194"/>
        <v>1.9797979797979797E-2</v>
      </c>
      <c r="FM108" s="4">
        <f t="shared" si="194"/>
        <v>0.29292929292929293</v>
      </c>
      <c r="FN108" s="4">
        <f t="shared" si="194"/>
        <v>0.01</v>
      </c>
      <c r="FO108" s="4">
        <f t="shared" si="194"/>
        <v>64.220101010101004</v>
      </c>
      <c r="FP108" s="4">
        <f t="shared" si="194"/>
        <v>0.01</v>
      </c>
      <c r="FQ108" s="4">
        <f t="shared" si="194"/>
        <v>1.9797979797979797E-2</v>
      </c>
      <c r="FR108" s="4">
        <f t="shared" si="194"/>
        <v>0.01</v>
      </c>
      <c r="FS108" s="4">
        <f t="shared" si="194"/>
        <v>0.01</v>
      </c>
      <c r="FT108" s="4">
        <f t="shared" si="194"/>
        <v>0.46093588950731806</v>
      </c>
      <c r="FU108" s="4">
        <f t="shared" si="194"/>
        <v>0.01</v>
      </c>
      <c r="FV108" s="4">
        <f t="shared" si="194"/>
        <v>0.44808080808080808</v>
      </c>
      <c r="FW108" s="4">
        <f t="shared" si="194"/>
        <v>2.9393939393939396E-2</v>
      </c>
      <c r="FX108" s="4">
        <f t="shared" si="194"/>
        <v>8.5959595959595958E-2</v>
      </c>
      <c r="FY108" s="4">
        <f t="shared" si="194"/>
        <v>1.9797979797979797E-2</v>
      </c>
      <c r="FZ108" s="4">
        <f t="shared" si="194"/>
        <v>0.01</v>
      </c>
      <c r="GA108" s="4">
        <f t="shared" si="194"/>
        <v>0.24242424242424243</v>
      </c>
      <c r="GB108" s="4">
        <f t="shared" si="194"/>
        <v>0.20363636363636364</v>
      </c>
      <c r="GC108" s="4">
        <f t="shared" si="194"/>
        <v>0</v>
      </c>
      <c r="GD108" s="4">
        <f t="shared" si="194"/>
        <v>0.01</v>
      </c>
      <c r="GE108" s="4">
        <f t="shared" si="194"/>
        <v>0.20363636363636364</v>
      </c>
      <c r="GF108" s="4">
        <f t="shared" si="194"/>
        <v>3.9999999999999938E-2</v>
      </c>
      <c r="GG108" s="4">
        <f t="shared" si="194"/>
        <v>0.11424242424242424</v>
      </c>
      <c r="GH108" s="4">
        <f t="shared" si="194"/>
        <v>0</v>
      </c>
      <c r="GI108" s="4">
        <f t="shared" si="194"/>
        <v>6.8181818181818177E-2</v>
      </c>
      <c r="GJ108" s="4">
        <f t="shared" si="194"/>
        <v>1.9797979797979797E-2</v>
      </c>
      <c r="GK108" s="4">
        <f t="shared" si="194"/>
        <v>0.01</v>
      </c>
      <c r="GL108" s="4">
        <f t="shared" ref="GL108:GM108" si="195">_xlfn.VAR.S(GL2:GL101)</f>
        <v>0.01</v>
      </c>
      <c r="GM108" s="4">
        <f t="shared" si="195"/>
        <v>2.9393939393939396E-2</v>
      </c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</row>
    <row r="109" spans="1:222" x14ac:dyDescent="0.3">
      <c r="A109" s="9" t="s">
        <v>600</v>
      </c>
      <c r="B109" s="1">
        <f>SQRT(B108)</f>
        <v>1.1831732712916521</v>
      </c>
      <c r="C109" s="1">
        <f t="shared" ref="C109:BN109" si="196">SQRT(C108)</f>
        <v>0.53738987596332588</v>
      </c>
      <c r="D109" s="1">
        <f t="shared" si="196"/>
        <v>0.2564323999762429</v>
      </c>
      <c r="E109" s="1">
        <f t="shared" si="196"/>
        <v>0.57066326818585911</v>
      </c>
      <c r="F109" s="1">
        <f t="shared" si="196"/>
        <v>0.63714958680014533</v>
      </c>
      <c r="G109" s="1">
        <f t="shared" si="196"/>
        <v>0.1</v>
      </c>
      <c r="H109" s="1">
        <f t="shared" si="196"/>
        <v>0.1</v>
      </c>
      <c r="I109" s="1">
        <f t="shared" si="196"/>
        <v>0.82044580145876367</v>
      </c>
      <c r="J109" s="1">
        <f t="shared" si="196"/>
        <v>0.71991862615355939</v>
      </c>
      <c r="K109" s="1">
        <f t="shared" si="196"/>
        <v>0.35547663265485729</v>
      </c>
      <c r="L109" s="1">
        <f t="shared" si="196"/>
        <v>0.1</v>
      </c>
      <c r="M109" s="1">
        <f t="shared" si="196"/>
        <v>0.1</v>
      </c>
      <c r="N109" s="1">
        <f t="shared" si="196"/>
        <v>0.1</v>
      </c>
      <c r="O109" s="1">
        <f t="shared" si="196"/>
        <v>1.2348475553073281</v>
      </c>
      <c r="P109" s="1">
        <f t="shared" si="196"/>
        <v>0.1</v>
      </c>
      <c r="Q109" s="1">
        <f t="shared" si="196"/>
        <v>0.1</v>
      </c>
      <c r="R109" s="1">
        <f t="shared" si="196"/>
        <v>0.40439504637835705</v>
      </c>
      <c r="S109" s="1">
        <f t="shared" si="196"/>
        <v>1.2663077641455704</v>
      </c>
      <c r="T109" s="1">
        <f t="shared" si="196"/>
        <v>0.1</v>
      </c>
      <c r="U109" s="1">
        <f t="shared" si="196"/>
        <v>0.14070529413628968</v>
      </c>
      <c r="V109" s="1">
        <f t="shared" si="196"/>
        <v>0.39427724440366257</v>
      </c>
      <c r="W109" s="1">
        <f t="shared" si="196"/>
        <v>0.1</v>
      </c>
      <c r="X109" s="1">
        <f t="shared" si="196"/>
        <v>0.1</v>
      </c>
      <c r="Y109" s="1">
        <f t="shared" si="196"/>
        <v>1.3582519960774895</v>
      </c>
      <c r="Z109" s="1">
        <f t="shared" si="196"/>
        <v>0.47768380565162366</v>
      </c>
      <c r="AA109" s="1">
        <f t="shared" si="196"/>
        <v>4.3701813290165488</v>
      </c>
      <c r="AB109" s="1">
        <f t="shared" si="196"/>
        <v>0.32582451743479368</v>
      </c>
      <c r="AC109" s="1">
        <f t="shared" si="196"/>
        <v>0.31526804372460493</v>
      </c>
      <c r="AD109" s="1">
        <f t="shared" si="196"/>
        <v>0.14070529413628968</v>
      </c>
      <c r="AE109" s="1">
        <f t="shared" si="196"/>
        <v>0.59458839001056318</v>
      </c>
      <c r="AF109" s="1">
        <f t="shared" si="196"/>
        <v>0.57515917866976685</v>
      </c>
      <c r="AG109" s="1">
        <f t="shared" si="196"/>
        <v>0.2777979790634143</v>
      </c>
      <c r="AH109" s="1">
        <f t="shared" si="196"/>
        <v>0.82241330021081027</v>
      </c>
      <c r="AI109" s="1">
        <f t="shared" si="196"/>
        <v>0.1</v>
      </c>
      <c r="AJ109" s="1">
        <f t="shared" si="196"/>
        <v>0.1</v>
      </c>
      <c r="AK109" s="1">
        <f t="shared" si="196"/>
        <v>0.1</v>
      </c>
      <c r="AL109" s="1">
        <f t="shared" si="196"/>
        <v>1.3</v>
      </c>
      <c r="AM109" s="1">
        <f t="shared" si="196"/>
        <v>0.22270150335361358</v>
      </c>
      <c r="AN109" s="1">
        <f t="shared" si="196"/>
        <v>0.50891050194498733</v>
      </c>
      <c r="AO109" s="1">
        <f t="shared" si="196"/>
        <v>0.27265992434429076</v>
      </c>
      <c r="AP109" s="1">
        <f t="shared" si="196"/>
        <v>0.1</v>
      </c>
      <c r="AQ109" s="1">
        <f t="shared" si="196"/>
        <v>0.27265992434429076</v>
      </c>
      <c r="AR109" s="1">
        <f t="shared" si="196"/>
        <v>1.1182146665126693</v>
      </c>
      <c r="AS109" s="1">
        <f t="shared" si="196"/>
        <v>0.1</v>
      </c>
      <c r="AT109" s="1">
        <f t="shared" si="196"/>
        <v>0.36237153766973934</v>
      </c>
      <c r="AU109" s="1">
        <f t="shared" si="196"/>
        <v>0.1</v>
      </c>
      <c r="AV109" s="1">
        <f t="shared" si="196"/>
        <v>0.1</v>
      </c>
      <c r="AW109" s="1">
        <f t="shared" si="196"/>
        <v>0.1</v>
      </c>
      <c r="AX109" s="1">
        <f t="shared" si="196"/>
        <v>0.1</v>
      </c>
      <c r="AY109" s="1">
        <f t="shared" si="196"/>
        <v>0.1</v>
      </c>
      <c r="AZ109" s="1">
        <f t="shared" si="196"/>
        <v>0.1</v>
      </c>
      <c r="BA109" s="1">
        <f t="shared" si="196"/>
        <v>0.1</v>
      </c>
      <c r="BB109" s="1">
        <f t="shared" si="196"/>
        <v>4.5391228628047031</v>
      </c>
      <c r="BC109" s="1">
        <f t="shared" si="196"/>
        <v>1.0384039812533599</v>
      </c>
      <c r="BD109" s="1">
        <f t="shared" si="196"/>
        <v>3</v>
      </c>
      <c r="BE109" s="1">
        <f t="shared" si="196"/>
        <v>2.0542884437442104</v>
      </c>
      <c r="BF109" s="1">
        <f t="shared" si="196"/>
        <v>0.3775251680686369</v>
      </c>
      <c r="BG109" s="1">
        <f t="shared" si="196"/>
        <v>0.14070529413628968</v>
      </c>
      <c r="BH109" s="1">
        <f t="shared" si="196"/>
        <v>0.1</v>
      </c>
      <c r="BI109" s="1">
        <f t="shared" si="196"/>
        <v>0.1</v>
      </c>
      <c r="BJ109" s="1">
        <f t="shared" si="196"/>
        <v>0.21904291355759031</v>
      </c>
      <c r="BK109" s="1">
        <f t="shared" si="196"/>
        <v>0.45604802157206864</v>
      </c>
      <c r="BL109" s="1">
        <f t="shared" si="196"/>
        <v>0.23868325657594203</v>
      </c>
      <c r="BM109" s="1">
        <f t="shared" si="196"/>
        <v>0.1</v>
      </c>
      <c r="BN109" s="1">
        <f t="shared" si="196"/>
        <v>0.25643239997624279</v>
      </c>
      <c r="BO109" s="1">
        <f t="shared" ref="BO109:DZ109" si="197">SQRT(BO108)</f>
        <v>0.1</v>
      </c>
      <c r="BP109" s="1">
        <f t="shared" si="197"/>
        <v>14.347786933844185</v>
      </c>
      <c r="BQ109" s="1">
        <f t="shared" si="197"/>
        <v>4.9195138135405374</v>
      </c>
      <c r="BR109" s="1">
        <f t="shared" si="197"/>
        <v>0.23868325657594203</v>
      </c>
      <c r="BS109" s="1">
        <f t="shared" si="197"/>
        <v>1.1035296904831233</v>
      </c>
      <c r="BT109" s="1">
        <f t="shared" si="197"/>
        <v>0.48606854070452477</v>
      </c>
      <c r="BU109" s="1">
        <f t="shared" si="197"/>
        <v>0.66446606498387228</v>
      </c>
      <c r="BV109" s="1">
        <f t="shared" si="197"/>
        <v>0.1</v>
      </c>
      <c r="BW109" s="1">
        <f t="shared" si="197"/>
        <v>0.51980959995177101</v>
      </c>
      <c r="BX109" s="1">
        <f t="shared" si="197"/>
        <v>0.1</v>
      </c>
      <c r="BY109" s="1">
        <f t="shared" si="197"/>
        <v>0.14070529413628968</v>
      </c>
      <c r="BZ109" s="1">
        <f t="shared" si="197"/>
        <v>0.41911402464790609</v>
      </c>
      <c r="CA109" s="1">
        <f t="shared" si="197"/>
        <v>0.1</v>
      </c>
      <c r="CB109" s="1">
        <f t="shared" si="197"/>
        <v>0.65474183361602045</v>
      </c>
      <c r="CC109" s="1">
        <f t="shared" si="197"/>
        <v>0.30748244591432294</v>
      </c>
      <c r="CD109" s="1">
        <f t="shared" si="197"/>
        <v>0.2</v>
      </c>
      <c r="CE109" s="1">
        <f t="shared" si="197"/>
        <v>0.1</v>
      </c>
      <c r="CF109" s="1">
        <f t="shared" si="197"/>
        <v>0.35618630921006339</v>
      </c>
      <c r="CG109" s="1">
        <f t="shared" si="197"/>
        <v>0.22270150335361366</v>
      </c>
      <c r="CH109" s="1">
        <f t="shared" si="197"/>
        <v>1.4142135623730951</v>
      </c>
      <c r="CI109" s="1">
        <f t="shared" si="197"/>
        <v>0.48450745582237925</v>
      </c>
      <c r="CJ109" s="1">
        <f t="shared" si="197"/>
        <v>0.28141058827257937</v>
      </c>
      <c r="CK109" s="1">
        <f t="shared" si="197"/>
        <v>0.4</v>
      </c>
      <c r="CL109" s="1">
        <f t="shared" si="197"/>
        <v>0.1</v>
      </c>
      <c r="CM109" s="1">
        <f t="shared" si="197"/>
        <v>0.19694638556693236</v>
      </c>
      <c r="CN109" s="1">
        <f t="shared" si="197"/>
        <v>0.19694638556693236</v>
      </c>
      <c r="CO109" s="1">
        <f t="shared" si="197"/>
        <v>0.1</v>
      </c>
      <c r="CP109" s="1">
        <f t="shared" si="197"/>
        <v>0.25643239997624279</v>
      </c>
      <c r="CQ109" s="1">
        <f t="shared" si="197"/>
        <v>0.14070529413628968</v>
      </c>
      <c r="CR109" s="1">
        <f t="shared" si="197"/>
        <v>0.14070529413628968</v>
      </c>
      <c r="CS109" s="1">
        <f t="shared" si="197"/>
        <v>0.1</v>
      </c>
      <c r="CT109" s="1">
        <f t="shared" si="197"/>
        <v>0.1</v>
      </c>
      <c r="CU109" s="1">
        <f t="shared" si="197"/>
        <v>0.53785958138991008</v>
      </c>
      <c r="CV109" s="1">
        <f t="shared" si="197"/>
        <v>0.52261966393479031</v>
      </c>
      <c r="CW109" s="1">
        <f t="shared" si="197"/>
        <v>0.14070529413628968</v>
      </c>
      <c r="CX109" s="1">
        <f t="shared" si="197"/>
        <v>0.54485657458517178</v>
      </c>
      <c r="CY109" s="1">
        <f t="shared" si="197"/>
        <v>0.14070529413628968</v>
      </c>
      <c r="CZ109" s="1">
        <f t="shared" si="197"/>
        <v>0.17144660799776529</v>
      </c>
      <c r="DA109" s="1">
        <f t="shared" si="197"/>
        <v>0.52377803919545385</v>
      </c>
      <c r="DB109" s="1">
        <f t="shared" si="197"/>
        <v>0.1</v>
      </c>
      <c r="DC109" s="1">
        <f t="shared" si="197"/>
        <v>0.22270150335361366</v>
      </c>
      <c r="DD109" s="1">
        <f t="shared" si="197"/>
        <v>0.1</v>
      </c>
      <c r="DE109" s="1">
        <f t="shared" si="197"/>
        <v>0.14070529413628968</v>
      </c>
      <c r="DF109" s="1">
        <f t="shared" si="197"/>
        <v>0.17144660799776529</v>
      </c>
      <c r="DG109" s="1">
        <f t="shared" si="197"/>
        <v>0.19694638556693236</v>
      </c>
      <c r="DH109" s="1">
        <f t="shared" si="197"/>
        <v>0.36845294917747062</v>
      </c>
      <c r="DI109" s="1">
        <f t="shared" si="197"/>
        <v>0.21904291355759031</v>
      </c>
      <c r="DJ109" s="1">
        <f t="shared" si="197"/>
        <v>0.1</v>
      </c>
      <c r="DK109" s="1">
        <f t="shared" si="197"/>
        <v>0.1</v>
      </c>
      <c r="DL109" s="1">
        <f t="shared" si="197"/>
        <v>0.1</v>
      </c>
      <c r="DM109" s="1">
        <f t="shared" si="197"/>
        <v>0.39427724440366257</v>
      </c>
      <c r="DN109" s="1">
        <f t="shared" si="197"/>
        <v>0.23868325657594203</v>
      </c>
      <c r="DO109" s="1">
        <f t="shared" si="197"/>
        <v>0.1</v>
      </c>
      <c r="DP109" s="1">
        <f t="shared" si="197"/>
        <v>0.1</v>
      </c>
      <c r="DQ109" s="1">
        <f t="shared" si="197"/>
        <v>0.1</v>
      </c>
      <c r="DR109" s="1">
        <f t="shared" si="197"/>
        <v>0.1</v>
      </c>
      <c r="DS109" s="1">
        <f t="shared" si="197"/>
        <v>2.0229990737825987</v>
      </c>
      <c r="DT109" s="1">
        <f t="shared" si="197"/>
        <v>0.17144660799776529</v>
      </c>
      <c r="DU109" s="1">
        <f t="shared" si="197"/>
        <v>0.1</v>
      </c>
      <c r="DV109" s="1">
        <f t="shared" si="197"/>
        <v>0.1</v>
      </c>
      <c r="DW109" s="1">
        <f t="shared" si="197"/>
        <v>0.1</v>
      </c>
      <c r="DX109" s="1">
        <f t="shared" si="197"/>
        <v>0.14070529413628968</v>
      </c>
      <c r="DY109" s="1">
        <f t="shared" si="197"/>
        <v>0.31446603773522008</v>
      </c>
      <c r="DZ109" s="1">
        <f t="shared" si="197"/>
        <v>0.1</v>
      </c>
      <c r="EA109" s="1">
        <f t="shared" ref="EA109:GL109" si="198">SQRT(EA108)</f>
        <v>0.14070529413628968</v>
      </c>
      <c r="EB109" s="1">
        <f t="shared" si="198"/>
        <v>0.1</v>
      </c>
      <c r="EC109" s="1">
        <f t="shared" si="198"/>
        <v>0.14070529413628968</v>
      </c>
      <c r="ED109" s="1">
        <f t="shared" si="198"/>
        <v>0.70180143382957871</v>
      </c>
      <c r="EE109" s="1">
        <f t="shared" si="198"/>
        <v>0.3</v>
      </c>
      <c r="EF109" s="1">
        <f t="shared" si="198"/>
        <v>0.1</v>
      </c>
      <c r="EG109" s="1">
        <f t="shared" si="198"/>
        <v>0.45781651302236748</v>
      </c>
      <c r="EH109" s="1">
        <f t="shared" si="198"/>
        <v>0.1</v>
      </c>
      <c r="EI109" s="1">
        <f t="shared" si="198"/>
        <v>2.7688016588883042</v>
      </c>
      <c r="EJ109" s="1">
        <f t="shared" si="198"/>
        <v>0.51796025743567264</v>
      </c>
      <c r="EK109" s="1">
        <f t="shared" si="198"/>
        <v>0.1</v>
      </c>
      <c r="EL109" s="1">
        <f t="shared" si="198"/>
        <v>0.14070529413628968</v>
      </c>
      <c r="EM109" s="1">
        <f t="shared" si="198"/>
        <v>0.1</v>
      </c>
      <c r="EN109" s="1">
        <f t="shared" si="198"/>
        <v>0.19694638556693236</v>
      </c>
      <c r="EO109" s="1">
        <f t="shared" si="198"/>
        <v>0.14070529413628968</v>
      </c>
      <c r="EP109" s="1">
        <f t="shared" si="198"/>
        <v>0.55876848714134031</v>
      </c>
      <c r="EQ109" s="1">
        <f t="shared" si="198"/>
        <v>0.1</v>
      </c>
      <c r="ER109" s="1">
        <f t="shared" si="198"/>
        <v>0.46828722947879892</v>
      </c>
      <c r="ES109" s="1">
        <f t="shared" si="198"/>
        <v>0.1</v>
      </c>
      <c r="ET109" s="1">
        <f t="shared" si="198"/>
        <v>0.14070529413628968</v>
      </c>
      <c r="EU109" s="1">
        <f t="shared" si="198"/>
        <v>0.1</v>
      </c>
      <c r="EV109" s="1">
        <f t="shared" si="198"/>
        <v>0.1</v>
      </c>
      <c r="EW109" s="1">
        <f t="shared" si="198"/>
        <v>0.5</v>
      </c>
      <c r="EX109" s="1">
        <f t="shared" si="198"/>
        <v>1.3437096247164249</v>
      </c>
      <c r="EY109" s="1">
        <f t="shared" si="198"/>
        <v>0.38283894337652818</v>
      </c>
      <c r="EZ109" s="1">
        <f t="shared" si="198"/>
        <v>0.1</v>
      </c>
      <c r="FA109" s="1">
        <f t="shared" si="198"/>
        <v>0.17144660799776529</v>
      </c>
      <c r="FB109" s="1">
        <f t="shared" si="198"/>
        <v>2.3629078131263039</v>
      </c>
      <c r="FC109" s="1">
        <f t="shared" si="198"/>
        <v>0.1</v>
      </c>
      <c r="FD109" s="1">
        <f t="shared" si="198"/>
        <v>0.5218459852516184</v>
      </c>
      <c r="FE109" s="1">
        <f t="shared" si="198"/>
        <v>0.1</v>
      </c>
      <c r="FF109" s="1">
        <f t="shared" si="198"/>
        <v>0.14070529413628968</v>
      </c>
      <c r="FG109" s="1">
        <f t="shared" si="198"/>
        <v>0.17144660799776529</v>
      </c>
      <c r="FH109" s="1">
        <f t="shared" si="198"/>
        <v>0.49756985195624298</v>
      </c>
      <c r="FI109" s="1">
        <f t="shared" si="198"/>
        <v>0.1</v>
      </c>
      <c r="FJ109" s="1">
        <f t="shared" si="198"/>
        <v>0.17144660799776529</v>
      </c>
      <c r="FK109" s="1">
        <f t="shared" si="198"/>
        <v>0.23868325657594203</v>
      </c>
      <c r="FL109" s="1">
        <f t="shared" si="198"/>
        <v>0.14070529413628968</v>
      </c>
      <c r="FM109" s="1">
        <f t="shared" si="198"/>
        <v>0.54122942725732581</v>
      </c>
      <c r="FN109" s="1">
        <f t="shared" si="198"/>
        <v>0.1</v>
      </c>
      <c r="FO109" s="1">
        <f t="shared" si="198"/>
        <v>8.013744506165704</v>
      </c>
      <c r="FP109" s="1">
        <f t="shared" si="198"/>
        <v>0.1</v>
      </c>
      <c r="FQ109" s="1">
        <f t="shared" si="198"/>
        <v>0.14070529413628968</v>
      </c>
      <c r="FR109" s="1">
        <f t="shared" si="198"/>
        <v>0.1</v>
      </c>
      <c r="FS109" s="1">
        <f t="shared" si="198"/>
        <v>0.1</v>
      </c>
      <c r="FT109" s="1">
        <f t="shared" si="198"/>
        <v>0.67892259463602922</v>
      </c>
      <c r="FU109" s="1">
        <f t="shared" si="198"/>
        <v>0.1</v>
      </c>
      <c r="FV109" s="1">
        <f t="shared" si="198"/>
        <v>0.66938838358669484</v>
      </c>
      <c r="FW109" s="1">
        <f t="shared" si="198"/>
        <v>0.17144660799776529</v>
      </c>
      <c r="FX109" s="1">
        <f t="shared" si="198"/>
        <v>0.29318866956210288</v>
      </c>
      <c r="FY109" s="1">
        <f t="shared" si="198"/>
        <v>0.14070529413628968</v>
      </c>
      <c r="FZ109" s="1">
        <f t="shared" si="198"/>
        <v>0.1</v>
      </c>
      <c r="GA109" s="1">
        <f t="shared" si="198"/>
        <v>0.49236596391733095</v>
      </c>
      <c r="GB109" s="1">
        <f t="shared" si="198"/>
        <v>0.45126085985421299</v>
      </c>
      <c r="GC109" s="1">
        <f t="shared" si="198"/>
        <v>0</v>
      </c>
      <c r="GD109" s="1">
        <f t="shared" si="198"/>
        <v>0.1</v>
      </c>
      <c r="GE109" s="1">
        <f t="shared" si="198"/>
        <v>0.45126085985421299</v>
      </c>
      <c r="GF109" s="1">
        <f t="shared" si="198"/>
        <v>0.19999999999999984</v>
      </c>
      <c r="GG109" s="1">
        <f t="shared" si="198"/>
        <v>0.33799766898963113</v>
      </c>
      <c r="GH109" s="1">
        <f t="shared" si="198"/>
        <v>0</v>
      </c>
      <c r="GI109" s="1">
        <f t="shared" si="198"/>
        <v>0.26111648393354675</v>
      </c>
      <c r="GJ109" s="1">
        <f t="shared" si="198"/>
        <v>0.14070529413628968</v>
      </c>
      <c r="GK109" s="1">
        <f t="shared" si="198"/>
        <v>0.1</v>
      </c>
      <c r="GL109" s="1">
        <f t="shared" si="198"/>
        <v>0.1</v>
      </c>
      <c r="GM109" s="1">
        <f t="shared" ref="GM109" si="199">SQRT(GM108)</f>
        <v>0.17144660799776529</v>
      </c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</row>
    <row r="110" spans="1:222" x14ac:dyDescent="0.3">
      <c r="B110" s="4"/>
      <c r="C110" s="4"/>
      <c r="D110" s="4"/>
      <c r="E110" s="4"/>
      <c r="F110" s="4"/>
      <c r="G110" s="4"/>
      <c r="I110" s="4"/>
      <c r="J110" s="4"/>
      <c r="K110" s="4"/>
      <c r="L110" s="4"/>
      <c r="M110" s="4"/>
      <c r="O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M110" s="4"/>
      <c r="AN110" s="4"/>
      <c r="AO110" s="4"/>
      <c r="AP110" s="4"/>
      <c r="AQ110" s="4"/>
      <c r="AR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M110" s="4"/>
      <c r="CN110" s="4"/>
      <c r="CO110" s="4"/>
      <c r="CP110" s="4"/>
      <c r="CQ110" s="4"/>
      <c r="CR110" s="4"/>
      <c r="CS110" s="4"/>
      <c r="CU110" s="4"/>
      <c r="CV110" s="4"/>
      <c r="CW110" s="4"/>
      <c r="CX110" s="4"/>
      <c r="CY110" s="4"/>
      <c r="CZ110" s="4"/>
      <c r="DA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X110" s="4"/>
      <c r="DY110" s="4"/>
      <c r="DZ110" s="4"/>
      <c r="EA110" s="4"/>
      <c r="EB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</row>
    <row r="111" spans="1:222" x14ac:dyDescent="0.3">
      <c r="A111" s="9" t="s">
        <v>602</v>
      </c>
      <c r="B111" s="4">
        <f>MODE(B2:B101)</f>
        <v>3</v>
      </c>
      <c r="C111" s="4">
        <f t="shared" ref="C111:BN111" si="200">MODE(C2:C101)</f>
        <v>0</v>
      </c>
      <c r="D111" s="4">
        <f t="shared" si="200"/>
        <v>1</v>
      </c>
      <c r="E111" s="4">
        <f t="shared" si="200"/>
        <v>1</v>
      </c>
      <c r="F111" s="4">
        <f t="shared" si="200"/>
        <v>1</v>
      </c>
      <c r="G111" s="4">
        <f t="shared" si="200"/>
        <v>0</v>
      </c>
      <c r="H111" s="4">
        <f t="shared" si="200"/>
        <v>0</v>
      </c>
      <c r="I111" s="4">
        <f t="shared" si="200"/>
        <v>0</v>
      </c>
      <c r="J111" s="4">
        <f t="shared" si="200"/>
        <v>1</v>
      </c>
      <c r="K111" s="4">
        <f t="shared" si="200"/>
        <v>0</v>
      </c>
      <c r="L111" s="4">
        <f t="shared" si="200"/>
        <v>0</v>
      </c>
      <c r="M111" s="4">
        <f t="shared" si="200"/>
        <v>0</v>
      </c>
      <c r="N111" s="4">
        <f t="shared" si="200"/>
        <v>0</v>
      </c>
      <c r="O111" s="4">
        <f t="shared" si="200"/>
        <v>0</v>
      </c>
      <c r="P111" s="4">
        <f t="shared" si="200"/>
        <v>0</v>
      </c>
      <c r="Q111" s="4">
        <f t="shared" si="200"/>
        <v>0</v>
      </c>
      <c r="R111" s="4">
        <f t="shared" si="200"/>
        <v>0</v>
      </c>
      <c r="S111" s="4">
        <f t="shared" si="200"/>
        <v>0</v>
      </c>
      <c r="T111" s="4">
        <f t="shared" si="200"/>
        <v>0</v>
      </c>
      <c r="U111" s="4">
        <f t="shared" si="200"/>
        <v>0</v>
      </c>
      <c r="V111" s="4">
        <f t="shared" si="200"/>
        <v>0</v>
      </c>
      <c r="W111" s="4">
        <f t="shared" si="200"/>
        <v>0</v>
      </c>
      <c r="X111" s="4">
        <f t="shared" si="200"/>
        <v>0</v>
      </c>
      <c r="Y111" s="4">
        <f t="shared" si="200"/>
        <v>0</v>
      </c>
      <c r="Z111" s="4">
        <f t="shared" si="200"/>
        <v>0</v>
      </c>
      <c r="AA111" s="4">
        <f t="shared" si="200"/>
        <v>0</v>
      </c>
      <c r="AB111" s="4">
        <f t="shared" si="200"/>
        <v>0</v>
      </c>
      <c r="AC111" s="4">
        <f t="shared" si="200"/>
        <v>0</v>
      </c>
      <c r="AD111" s="4">
        <f t="shared" si="200"/>
        <v>0</v>
      </c>
      <c r="AE111" s="4">
        <f t="shared" si="200"/>
        <v>0</v>
      </c>
      <c r="AF111" s="4">
        <f t="shared" si="200"/>
        <v>0</v>
      </c>
      <c r="AG111" s="4">
        <f t="shared" si="200"/>
        <v>0</v>
      </c>
      <c r="AH111" s="4">
        <f t="shared" si="200"/>
        <v>0</v>
      </c>
      <c r="AI111" s="4">
        <f t="shared" si="200"/>
        <v>0</v>
      </c>
      <c r="AJ111" s="4">
        <f t="shared" si="200"/>
        <v>0</v>
      </c>
      <c r="AK111" s="4">
        <f t="shared" si="200"/>
        <v>0</v>
      </c>
      <c r="AL111" s="4">
        <f t="shared" si="200"/>
        <v>0</v>
      </c>
      <c r="AM111" s="4">
        <f t="shared" si="200"/>
        <v>1</v>
      </c>
      <c r="AN111" s="4">
        <f t="shared" si="200"/>
        <v>1</v>
      </c>
      <c r="AO111" s="4">
        <f t="shared" si="200"/>
        <v>0</v>
      </c>
      <c r="AP111" s="4">
        <f t="shared" si="200"/>
        <v>0</v>
      </c>
      <c r="AQ111" s="4">
        <f t="shared" si="200"/>
        <v>0</v>
      </c>
      <c r="AR111" s="4">
        <f t="shared" si="200"/>
        <v>0</v>
      </c>
      <c r="AS111" s="4">
        <f t="shared" si="200"/>
        <v>0</v>
      </c>
      <c r="AT111" s="4">
        <f t="shared" si="200"/>
        <v>1</v>
      </c>
      <c r="AU111" s="4">
        <f t="shared" si="200"/>
        <v>0</v>
      </c>
      <c r="AV111" s="4">
        <f t="shared" si="200"/>
        <v>0</v>
      </c>
      <c r="AW111" s="4">
        <f t="shared" si="200"/>
        <v>0</v>
      </c>
      <c r="AX111" s="4">
        <f t="shared" si="200"/>
        <v>0</v>
      </c>
      <c r="AY111" s="4">
        <f t="shared" si="200"/>
        <v>0</v>
      </c>
      <c r="AZ111" s="4">
        <f t="shared" si="200"/>
        <v>0</v>
      </c>
      <c r="BA111" s="4">
        <f t="shared" si="200"/>
        <v>0</v>
      </c>
      <c r="BB111" s="4">
        <f t="shared" si="200"/>
        <v>15</v>
      </c>
      <c r="BC111" s="4">
        <f t="shared" si="200"/>
        <v>0</v>
      </c>
      <c r="BD111" s="4">
        <f t="shared" si="200"/>
        <v>6</v>
      </c>
      <c r="BE111" s="4">
        <f t="shared" si="200"/>
        <v>2</v>
      </c>
      <c r="BF111" s="4">
        <f t="shared" si="200"/>
        <v>0</v>
      </c>
      <c r="BG111" s="4">
        <f t="shared" si="200"/>
        <v>0</v>
      </c>
      <c r="BH111" s="4">
        <f t="shared" si="200"/>
        <v>0</v>
      </c>
      <c r="BI111" s="4">
        <f t="shared" si="200"/>
        <v>0</v>
      </c>
      <c r="BJ111" s="4">
        <f t="shared" si="200"/>
        <v>0</v>
      </c>
      <c r="BK111" s="4">
        <f t="shared" si="200"/>
        <v>0</v>
      </c>
      <c r="BL111" s="4">
        <f t="shared" si="200"/>
        <v>0</v>
      </c>
      <c r="BM111" s="4">
        <f t="shared" si="200"/>
        <v>0</v>
      </c>
      <c r="BN111" s="4">
        <f t="shared" si="200"/>
        <v>0</v>
      </c>
      <c r="BO111" s="4">
        <f t="shared" ref="BO111:DZ111" si="201">MODE(BO2:BO101)</f>
        <v>0</v>
      </c>
      <c r="BP111" s="4">
        <f t="shared" si="201"/>
        <v>3</v>
      </c>
      <c r="BQ111" s="4">
        <f t="shared" si="201"/>
        <v>0</v>
      </c>
      <c r="BR111" s="4">
        <f t="shared" si="201"/>
        <v>0</v>
      </c>
      <c r="BS111" s="4">
        <f t="shared" si="201"/>
        <v>0</v>
      </c>
      <c r="BT111" s="4">
        <f t="shared" si="201"/>
        <v>1</v>
      </c>
      <c r="BU111" s="4">
        <f t="shared" si="201"/>
        <v>1</v>
      </c>
      <c r="BV111" s="4">
        <f t="shared" si="201"/>
        <v>0</v>
      </c>
      <c r="BW111" s="4">
        <f t="shared" si="201"/>
        <v>0</v>
      </c>
      <c r="BX111" s="4">
        <f t="shared" si="201"/>
        <v>0</v>
      </c>
      <c r="BY111" s="4">
        <f t="shared" si="201"/>
        <v>0</v>
      </c>
      <c r="BZ111" s="4">
        <f t="shared" si="201"/>
        <v>1</v>
      </c>
      <c r="CA111" s="4">
        <f t="shared" si="201"/>
        <v>0</v>
      </c>
      <c r="CB111" s="4">
        <f t="shared" si="201"/>
        <v>0</v>
      </c>
      <c r="CC111" s="4">
        <f t="shared" si="201"/>
        <v>0</v>
      </c>
      <c r="CD111" s="4">
        <f t="shared" si="201"/>
        <v>0</v>
      </c>
      <c r="CE111" s="4">
        <f t="shared" si="201"/>
        <v>0</v>
      </c>
      <c r="CF111" s="4">
        <f t="shared" si="201"/>
        <v>0</v>
      </c>
      <c r="CG111" s="4">
        <f t="shared" si="201"/>
        <v>0</v>
      </c>
      <c r="CH111" s="4">
        <f t="shared" si="201"/>
        <v>0</v>
      </c>
      <c r="CI111" s="4">
        <f t="shared" si="201"/>
        <v>0</v>
      </c>
      <c r="CJ111" s="4">
        <f t="shared" si="201"/>
        <v>0</v>
      </c>
      <c r="CK111" s="4">
        <f t="shared" si="201"/>
        <v>0</v>
      </c>
      <c r="CL111" s="4">
        <f t="shared" si="201"/>
        <v>0</v>
      </c>
      <c r="CM111" s="4">
        <f t="shared" si="201"/>
        <v>0</v>
      </c>
      <c r="CN111" s="4">
        <f t="shared" si="201"/>
        <v>0</v>
      </c>
      <c r="CO111" s="4">
        <f t="shared" si="201"/>
        <v>0</v>
      </c>
      <c r="CP111" s="4">
        <f t="shared" si="201"/>
        <v>0</v>
      </c>
      <c r="CQ111" s="4">
        <f t="shared" si="201"/>
        <v>0</v>
      </c>
      <c r="CR111" s="4">
        <f t="shared" si="201"/>
        <v>0</v>
      </c>
      <c r="CS111" s="4">
        <f t="shared" si="201"/>
        <v>0</v>
      </c>
      <c r="CT111" s="4">
        <f t="shared" si="201"/>
        <v>0</v>
      </c>
      <c r="CU111" s="4">
        <f t="shared" si="201"/>
        <v>1</v>
      </c>
      <c r="CV111" s="4">
        <f t="shared" si="201"/>
        <v>1</v>
      </c>
      <c r="CW111" s="4">
        <f t="shared" si="201"/>
        <v>0</v>
      </c>
      <c r="CX111" s="4">
        <f t="shared" si="201"/>
        <v>0</v>
      </c>
      <c r="CY111" s="4">
        <f t="shared" si="201"/>
        <v>0</v>
      </c>
      <c r="CZ111" s="4">
        <f t="shared" si="201"/>
        <v>0</v>
      </c>
      <c r="DA111" s="4">
        <f t="shared" si="201"/>
        <v>1</v>
      </c>
      <c r="DB111" s="4">
        <f t="shared" si="201"/>
        <v>0</v>
      </c>
      <c r="DC111" s="4">
        <f t="shared" si="201"/>
        <v>0</v>
      </c>
      <c r="DD111" s="4">
        <f t="shared" si="201"/>
        <v>0</v>
      </c>
      <c r="DE111" s="4">
        <f t="shared" si="201"/>
        <v>0</v>
      </c>
      <c r="DF111" s="4">
        <f t="shared" si="201"/>
        <v>0</v>
      </c>
      <c r="DG111" s="4">
        <f t="shared" si="201"/>
        <v>0</v>
      </c>
      <c r="DH111" s="4">
        <f t="shared" si="201"/>
        <v>0</v>
      </c>
      <c r="DI111" s="4">
        <f t="shared" si="201"/>
        <v>0</v>
      </c>
      <c r="DJ111" s="4">
        <f t="shared" si="201"/>
        <v>0</v>
      </c>
      <c r="DK111" s="4">
        <f t="shared" si="201"/>
        <v>0</v>
      </c>
      <c r="DL111" s="4">
        <f t="shared" si="201"/>
        <v>0</v>
      </c>
      <c r="DM111" s="4">
        <f t="shared" si="201"/>
        <v>0</v>
      </c>
      <c r="DN111" s="4">
        <f t="shared" si="201"/>
        <v>0</v>
      </c>
      <c r="DO111" s="4">
        <f t="shared" si="201"/>
        <v>0</v>
      </c>
      <c r="DP111" s="4">
        <f t="shared" si="201"/>
        <v>0</v>
      </c>
      <c r="DQ111" s="4">
        <f t="shared" si="201"/>
        <v>0</v>
      </c>
      <c r="DR111" s="4">
        <f t="shared" si="201"/>
        <v>0</v>
      </c>
      <c r="DS111" s="4">
        <f t="shared" si="201"/>
        <v>1</v>
      </c>
      <c r="DT111" s="4">
        <f t="shared" si="201"/>
        <v>0</v>
      </c>
      <c r="DU111" s="4">
        <f t="shared" si="201"/>
        <v>0</v>
      </c>
      <c r="DV111" s="4">
        <f t="shared" si="201"/>
        <v>0</v>
      </c>
      <c r="DW111" s="4">
        <f t="shared" si="201"/>
        <v>0</v>
      </c>
      <c r="DX111" s="4">
        <f t="shared" si="201"/>
        <v>0</v>
      </c>
      <c r="DY111" s="4">
        <f t="shared" si="201"/>
        <v>0</v>
      </c>
      <c r="DZ111" s="4">
        <f t="shared" si="201"/>
        <v>0</v>
      </c>
      <c r="EA111" s="4">
        <f t="shared" ref="EA111:GL111" si="202">MODE(EA2:EA101)</f>
        <v>0</v>
      </c>
      <c r="EB111" s="4">
        <f t="shared" si="202"/>
        <v>0</v>
      </c>
      <c r="EC111" s="4">
        <f t="shared" si="202"/>
        <v>0</v>
      </c>
      <c r="ED111" s="4">
        <f t="shared" si="202"/>
        <v>1</v>
      </c>
      <c r="EE111" s="4">
        <f t="shared" si="202"/>
        <v>0</v>
      </c>
      <c r="EF111" s="4">
        <f t="shared" si="202"/>
        <v>0</v>
      </c>
      <c r="EG111" s="4">
        <f t="shared" si="202"/>
        <v>0</v>
      </c>
      <c r="EH111" s="4">
        <f t="shared" si="202"/>
        <v>0</v>
      </c>
      <c r="EI111" s="4">
        <f t="shared" si="202"/>
        <v>0</v>
      </c>
      <c r="EJ111" s="4">
        <f t="shared" si="202"/>
        <v>0</v>
      </c>
      <c r="EK111" s="4">
        <f t="shared" si="202"/>
        <v>0</v>
      </c>
      <c r="EL111" s="4">
        <f t="shared" si="202"/>
        <v>0</v>
      </c>
      <c r="EM111" s="4">
        <f t="shared" si="202"/>
        <v>0</v>
      </c>
      <c r="EN111" s="4">
        <f t="shared" si="202"/>
        <v>0</v>
      </c>
      <c r="EO111" s="4">
        <f t="shared" si="202"/>
        <v>0</v>
      </c>
      <c r="EP111" s="4">
        <f t="shared" si="202"/>
        <v>1</v>
      </c>
      <c r="EQ111" s="4">
        <f t="shared" si="202"/>
        <v>0</v>
      </c>
      <c r="ER111" s="4">
        <f t="shared" si="202"/>
        <v>0</v>
      </c>
      <c r="ES111" s="4">
        <f t="shared" si="202"/>
        <v>0</v>
      </c>
      <c r="ET111" s="4">
        <f t="shared" si="202"/>
        <v>0</v>
      </c>
      <c r="EU111" s="4">
        <f t="shared" si="202"/>
        <v>0</v>
      </c>
      <c r="EV111" s="4">
        <f t="shared" si="202"/>
        <v>0</v>
      </c>
      <c r="EW111" s="4">
        <f t="shared" si="202"/>
        <v>1</v>
      </c>
      <c r="EX111" s="4">
        <f t="shared" si="202"/>
        <v>0</v>
      </c>
      <c r="EY111" s="4">
        <f t="shared" si="202"/>
        <v>0</v>
      </c>
      <c r="EZ111" s="4">
        <f t="shared" si="202"/>
        <v>0</v>
      </c>
      <c r="FA111" s="4">
        <f t="shared" si="202"/>
        <v>0</v>
      </c>
      <c r="FB111" s="4">
        <f t="shared" si="202"/>
        <v>4</v>
      </c>
      <c r="FC111" s="4">
        <f t="shared" si="202"/>
        <v>0</v>
      </c>
      <c r="FD111" s="4">
        <f t="shared" si="202"/>
        <v>1</v>
      </c>
      <c r="FE111" s="4">
        <f t="shared" si="202"/>
        <v>0</v>
      </c>
      <c r="FF111" s="4">
        <f t="shared" si="202"/>
        <v>0</v>
      </c>
      <c r="FG111" s="4">
        <f t="shared" si="202"/>
        <v>0</v>
      </c>
      <c r="FH111" s="4">
        <f t="shared" si="202"/>
        <v>1</v>
      </c>
      <c r="FI111" s="4">
        <f t="shared" si="202"/>
        <v>0</v>
      </c>
      <c r="FJ111" s="4">
        <f t="shared" si="202"/>
        <v>0</v>
      </c>
      <c r="FK111" s="4">
        <f t="shared" si="202"/>
        <v>0</v>
      </c>
      <c r="FL111" s="4">
        <f t="shared" si="202"/>
        <v>0</v>
      </c>
      <c r="FM111" s="4">
        <f t="shared" si="202"/>
        <v>0</v>
      </c>
      <c r="FN111" s="4">
        <f t="shared" si="202"/>
        <v>0</v>
      </c>
      <c r="FO111" s="4">
        <f t="shared" si="202"/>
        <v>0</v>
      </c>
      <c r="FP111" s="4">
        <f t="shared" si="202"/>
        <v>0</v>
      </c>
      <c r="FQ111" s="4">
        <f t="shared" si="202"/>
        <v>0</v>
      </c>
      <c r="FR111" s="4">
        <f t="shared" si="202"/>
        <v>0</v>
      </c>
      <c r="FS111" s="4">
        <f t="shared" si="202"/>
        <v>0</v>
      </c>
      <c r="FT111" s="4">
        <f t="shared" si="202"/>
        <v>0</v>
      </c>
      <c r="FU111" s="4">
        <f t="shared" si="202"/>
        <v>0</v>
      </c>
      <c r="FV111" s="4">
        <f t="shared" si="202"/>
        <v>0</v>
      </c>
      <c r="FW111" s="4">
        <f t="shared" si="202"/>
        <v>0</v>
      </c>
      <c r="FX111" s="4">
        <f t="shared" si="202"/>
        <v>0</v>
      </c>
      <c r="FY111" s="4">
        <f t="shared" si="202"/>
        <v>0</v>
      </c>
      <c r="FZ111" s="4">
        <f t="shared" si="202"/>
        <v>0</v>
      </c>
      <c r="GA111" s="4">
        <f t="shared" si="202"/>
        <v>0</v>
      </c>
      <c r="GB111" s="4">
        <f t="shared" si="202"/>
        <v>0</v>
      </c>
      <c r="GC111" s="4">
        <f t="shared" si="202"/>
        <v>1</v>
      </c>
      <c r="GD111" s="4">
        <f t="shared" si="202"/>
        <v>0</v>
      </c>
      <c r="GE111" s="4">
        <f t="shared" si="202"/>
        <v>0</v>
      </c>
      <c r="GF111" s="4">
        <f t="shared" si="202"/>
        <v>1</v>
      </c>
      <c r="GG111" s="4">
        <f t="shared" si="202"/>
        <v>0</v>
      </c>
      <c r="GH111" s="4">
        <f t="shared" si="202"/>
        <v>1</v>
      </c>
      <c r="GI111" s="4">
        <f t="shared" si="202"/>
        <v>1</v>
      </c>
      <c r="GJ111" s="4">
        <f t="shared" si="202"/>
        <v>0</v>
      </c>
      <c r="GK111" s="4">
        <f t="shared" si="202"/>
        <v>0</v>
      </c>
      <c r="GL111" s="4">
        <f t="shared" si="202"/>
        <v>0</v>
      </c>
      <c r="GM111" s="4">
        <f t="shared" ref="GM111" si="203">MODE(GM2:GM101)</f>
        <v>0</v>
      </c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</row>
    <row r="112" spans="1:222" x14ac:dyDescent="0.3">
      <c r="A112" s="9" t="s">
        <v>601</v>
      </c>
      <c r="B112" s="4">
        <f>MEDIAN(B2:B101)</f>
        <v>3</v>
      </c>
      <c r="C112" s="4">
        <f t="shared" ref="C112:BN112" si="204">MEDIAN(C2:C101)</f>
        <v>0</v>
      </c>
      <c r="D112" s="4">
        <f t="shared" si="204"/>
        <v>1</v>
      </c>
      <c r="E112" s="4">
        <f t="shared" si="204"/>
        <v>1</v>
      </c>
      <c r="F112" s="4">
        <f t="shared" si="204"/>
        <v>1</v>
      </c>
      <c r="G112" s="4">
        <f t="shared" si="204"/>
        <v>0</v>
      </c>
      <c r="H112" s="4">
        <f t="shared" si="204"/>
        <v>0</v>
      </c>
      <c r="I112" s="4">
        <f t="shared" si="204"/>
        <v>0</v>
      </c>
      <c r="J112" s="4">
        <f t="shared" si="204"/>
        <v>1</v>
      </c>
      <c r="K112" s="4">
        <f t="shared" si="204"/>
        <v>0</v>
      </c>
      <c r="L112" s="4">
        <f t="shared" si="204"/>
        <v>0</v>
      </c>
      <c r="M112" s="4">
        <f t="shared" si="204"/>
        <v>0</v>
      </c>
      <c r="N112" s="4">
        <f t="shared" si="204"/>
        <v>0</v>
      </c>
      <c r="O112" s="4">
        <f t="shared" si="204"/>
        <v>0</v>
      </c>
      <c r="P112" s="4">
        <f t="shared" si="204"/>
        <v>0</v>
      </c>
      <c r="Q112" s="4">
        <f t="shared" si="204"/>
        <v>0</v>
      </c>
      <c r="R112" s="4">
        <f t="shared" si="204"/>
        <v>0</v>
      </c>
      <c r="S112" s="4">
        <f t="shared" si="204"/>
        <v>0</v>
      </c>
      <c r="T112" s="4">
        <f t="shared" si="204"/>
        <v>0</v>
      </c>
      <c r="U112" s="4">
        <f t="shared" si="204"/>
        <v>0</v>
      </c>
      <c r="V112" s="4">
        <f t="shared" si="204"/>
        <v>0</v>
      </c>
      <c r="W112" s="4">
        <f t="shared" si="204"/>
        <v>0</v>
      </c>
      <c r="X112" s="4">
        <f t="shared" si="204"/>
        <v>0</v>
      </c>
      <c r="Y112" s="4">
        <f t="shared" si="204"/>
        <v>0</v>
      </c>
      <c r="Z112" s="4">
        <f t="shared" si="204"/>
        <v>0</v>
      </c>
      <c r="AA112" s="4">
        <f t="shared" si="204"/>
        <v>0</v>
      </c>
      <c r="AB112" s="4">
        <f t="shared" si="204"/>
        <v>0</v>
      </c>
      <c r="AC112" s="4">
        <f t="shared" si="204"/>
        <v>0</v>
      </c>
      <c r="AD112" s="4">
        <f t="shared" si="204"/>
        <v>0</v>
      </c>
      <c r="AE112" s="4">
        <f t="shared" si="204"/>
        <v>0</v>
      </c>
      <c r="AF112" s="4">
        <f t="shared" si="204"/>
        <v>0</v>
      </c>
      <c r="AG112" s="4">
        <f t="shared" si="204"/>
        <v>0</v>
      </c>
      <c r="AH112" s="4">
        <f t="shared" si="204"/>
        <v>0</v>
      </c>
      <c r="AI112" s="4">
        <f t="shared" si="204"/>
        <v>0</v>
      </c>
      <c r="AJ112" s="4">
        <f t="shared" si="204"/>
        <v>0</v>
      </c>
      <c r="AK112" s="4">
        <f t="shared" si="204"/>
        <v>0</v>
      </c>
      <c r="AL112" s="4">
        <f t="shared" si="204"/>
        <v>0</v>
      </c>
      <c r="AM112" s="4">
        <f t="shared" si="204"/>
        <v>1</v>
      </c>
      <c r="AN112" s="4">
        <f t="shared" si="204"/>
        <v>1</v>
      </c>
      <c r="AO112" s="4">
        <f t="shared" si="204"/>
        <v>0</v>
      </c>
      <c r="AP112" s="4">
        <f t="shared" si="204"/>
        <v>0</v>
      </c>
      <c r="AQ112" s="4">
        <f t="shared" si="204"/>
        <v>0</v>
      </c>
      <c r="AR112" s="4">
        <f t="shared" si="204"/>
        <v>0</v>
      </c>
      <c r="AS112" s="4">
        <f t="shared" si="204"/>
        <v>0</v>
      </c>
      <c r="AT112" s="4">
        <f t="shared" si="204"/>
        <v>1</v>
      </c>
      <c r="AU112" s="4">
        <f t="shared" si="204"/>
        <v>0</v>
      </c>
      <c r="AV112" s="4">
        <f t="shared" si="204"/>
        <v>0</v>
      </c>
      <c r="AW112" s="4">
        <f t="shared" si="204"/>
        <v>0</v>
      </c>
      <c r="AX112" s="4">
        <f t="shared" si="204"/>
        <v>0</v>
      </c>
      <c r="AY112" s="4">
        <f t="shared" si="204"/>
        <v>0</v>
      </c>
      <c r="AZ112" s="4">
        <f t="shared" si="204"/>
        <v>0</v>
      </c>
      <c r="BA112" s="4">
        <f t="shared" si="204"/>
        <v>0</v>
      </c>
      <c r="BB112" s="4">
        <f t="shared" si="204"/>
        <v>13</v>
      </c>
      <c r="BC112" s="4">
        <f t="shared" si="204"/>
        <v>0</v>
      </c>
      <c r="BD112" s="4">
        <f t="shared" si="204"/>
        <v>6</v>
      </c>
      <c r="BE112" s="4">
        <f t="shared" si="204"/>
        <v>2</v>
      </c>
      <c r="BF112" s="4">
        <f t="shared" si="204"/>
        <v>0</v>
      </c>
      <c r="BG112" s="4">
        <f t="shared" si="204"/>
        <v>0</v>
      </c>
      <c r="BH112" s="4">
        <f t="shared" si="204"/>
        <v>0</v>
      </c>
      <c r="BI112" s="4">
        <f t="shared" si="204"/>
        <v>0</v>
      </c>
      <c r="BJ112" s="4">
        <f t="shared" si="204"/>
        <v>0</v>
      </c>
      <c r="BK112" s="4">
        <f t="shared" si="204"/>
        <v>0</v>
      </c>
      <c r="BL112" s="4">
        <f t="shared" si="204"/>
        <v>0</v>
      </c>
      <c r="BM112" s="4">
        <f t="shared" si="204"/>
        <v>0</v>
      </c>
      <c r="BN112" s="4">
        <f t="shared" si="204"/>
        <v>0</v>
      </c>
      <c r="BO112" s="4">
        <f t="shared" ref="BO112:DZ112" si="205">MEDIAN(BO2:BO101)</f>
        <v>0</v>
      </c>
      <c r="BP112" s="4">
        <f t="shared" si="205"/>
        <v>7</v>
      </c>
      <c r="BQ112" s="4">
        <f t="shared" si="205"/>
        <v>4</v>
      </c>
      <c r="BR112" s="4">
        <f t="shared" si="205"/>
        <v>0</v>
      </c>
      <c r="BS112" s="4">
        <f t="shared" si="205"/>
        <v>0</v>
      </c>
      <c r="BT112" s="4">
        <f t="shared" si="205"/>
        <v>1</v>
      </c>
      <c r="BU112" s="4">
        <f t="shared" si="205"/>
        <v>1</v>
      </c>
      <c r="BV112" s="4">
        <f t="shared" si="205"/>
        <v>0</v>
      </c>
      <c r="BW112" s="4">
        <f t="shared" si="205"/>
        <v>0</v>
      </c>
      <c r="BX112" s="4">
        <f t="shared" si="205"/>
        <v>0</v>
      </c>
      <c r="BY112" s="4">
        <f t="shared" si="205"/>
        <v>0</v>
      </c>
      <c r="BZ112" s="4">
        <f t="shared" si="205"/>
        <v>1</v>
      </c>
      <c r="CA112" s="4">
        <f t="shared" si="205"/>
        <v>0</v>
      </c>
      <c r="CB112" s="4">
        <f t="shared" si="205"/>
        <v>0</v>
      </c>
      <c r="CC112" s="4">
        <f t="shared" si="205"/>
        <v>0</v>
      </c>
      <c r="CD112" s="4">
        <f t="shared" si="205"/>
        <v>0</v>
      </c>
      <c r="CE112" s="4">
        <f t="shared" si="205"/>
        <v>0</v>
      </c>
      <c r="CF112" s="4">
        <f t="shared" si="205"/>
        <v>0</v>
      </c>
      <c r="CG112" s="4">
        <f t="shared" si="205"/>
        <v>0</v>
      </c>
      <c r="CH112" s="4">
        <f t="shared" si="205"/>
        <v>0</v>
      </c>
      <c r="CI112" s="4">
        <f t="shared" si="205"/>
        <v>0</v>
      </c>
      <c r="CJ112" s="4">
        <f t="shared" si="205"/>
        <v>0</v>
      </c>
      <c r="CK112" s="4">
        <f t="shared" si="205"/>
        <v>0</v>
      </c>
      <c r="CL112" s="4">
        <f t="shared" si="205"/>
        <v>0</v>
      </c>
      <c r="CM112" s="4">
        <f t="shared" si="205"/>
        <v>0</v>
      </c>
      <c r="CN112" s="4">
        <f t="shared" si="205"/>
        <v>0</v>
      </c>
      <c r="CO112" s="4">
        <f t="shared" si="205"/>
        <v>0</v>
      </c>
      <c r="CP112" s="4">
        <f t="shared" si="205"/>
        <v>0</v>
      </c>
      <c r="CQ112" s="4">
        <f t="shared" si="205"/>
        <v>0</v>
      </c>
      <c r="CR112" s="4">
        <f t="shared" si="205"/>
        <v>0</v>
      </c>
      <c r="CS112" s="4">
        <f t="shared" si="205"/>
        <v>0</v>
      </c>
      <c r="CT112" s="4">
        <f t="shared" si="205"/>
        <v>0</v>
      </c>
      <c r="CU112" s="4">
        <f t="shared" si="205"/>
        <v>1</v>
      </c>
      <c r="CV112" s="4">
        <f t="shared" si="205"/>
        <v>1</v>
      </c>
      <c r="CW112" s="4">
        <f t="shared" si="205"/>
        <v>0</v>
      </c>
      <c r="CX112" s="4">
        <f t="shared" si="205"/>
        <v>0</v>
      </c>
      <c r="CY112" s="4">
        <f t="shared" si="205"/>
        <v>0</v>
      </c>
      <c r="CZ112" s="4">
        <f t="shared" si="205"/>
        <v>0</v>
      </c>
      <c r="DA112" s="4">
        <f t="shared" si="205"/>
        <v>1</v>
      </c>
      <c r="DB112" s="4">
        <f t="shared" si="205"/>
        <v>0</v>
      </c>
      <c r="DC112" s="4">
        <f t="shared" si="205"/>
        <v>0</v>
      </c>
      <c r="DD112" s="4">
        <f t="shared" si="205"/>
        <v>0</v>
      </c>
      <c r="DE112" s="4">
        <f t="shared" si="205"/>
        <v>0</v>
      </c>
      <c r="DF112" s="4">
        <f t="shared" si="205"/>
        <v>0</v>
      </c>
      <c r="DG112" s="4">
        <f t="shared" si="205"/>
        <v>0</v>
      </c>
      <c r="DH112" s="4">
        <f t="shared" si="205"/>
        <v>0</v>
      </c>
      <c r="DI112" s="4">
        <f t="shared" si="205"/>
        <v>0</v>
      </c>
      <c r="DJ112" s="4">
        <f t="shared" si="205"/>
        <v>0</v>
      </c>
      <c r="DK112" s="4">
        <f t="shared" si="205"/>
        <v>0</v>
      </c>
      <c r="DL112" s="4">
        <f t="shared" si="205"/>
        <v>0</v>
      </c>
      <c r="DM112" s="4">
        <f t="shared" si="205"/>
        <v>0</v>
      </c>
      <c r="DN112" s="4">
        <f t="shared" si="205"/>
        <v>0</v>
      </c>
      <c r="DO112" s="4">
        <f t="shared" si="205"/>
        <v>0</v>
      </c>
      <c r="DP112" s="4">
        <f t="shared" si="205"/>
        <v>0</v>
      </c>
      <c r="DQ112" s="4">
        <f t="shared" si="205"/>
        <v>0</v>
      </c>
      <c r="DR112" s="4">
        <f t="shared" si="205"/>
        <v>0</v>
      </c>
      <c r="DS112" s="4">
        <f t="shared" si="205"/>
        <v>1</v>
      </c>
      <c r="DT112" s="4">
        <f t="shared" si="205"/>
        <v>0</v>
      </c>
      <c r="DU112" s="4">
        <f t="shared" si="205"/>
        <v>0</v>
      </c>
      <c r="DV112" s="4">
        <f t="shared" si="205"/>
        <v>0</v>
      </c>
      <c r="DW112" s="4">
        <f t="shared" si="205"/>
        <v>0</v>
      </c>
      <c r="DX112" s="4">
        <f t="shared" si="205"/>
        <v>0</v>
      </c>
      <c r="DY112" s="4">
        <f t="shared" si="205"/>
        <v>0</v>
      </c>
      <c r="DZ112" s="4">
        <f t="shared" si="205"/>
        <v>0</v>
      </c>
      <c r="EA112" s="4">
        <f t="shared" ref="EA112:GL112" si="206">MEDIAN(EA2:EA101)</f>
        <v>0</v>
      </c>
      <c r="EB112" s="4">
        <f t="shared" si="206"/>
        <v>0</v>
      </c>
      <c r="EC112" s="4">
        <f t="shared" si="206"/>
        <v>0</v>
      </c>
      <c r="ED112" s="4">
        <f t="shared" si="206"/>
        <v>1</v>
      </c>
      <c r="EE112" s="4">
        <f t="shared" si="206"/>
        <v>0</v>
      </c>
      <c r="EF112" s="4">
        <f t="shared" si="206"/>
        <v>0</v>
      </c>
      <c r="EG112" s="4">
        <f t="shared" si="206"/>
        <v>0</v>
      </c>
      <c r="EH112" s="4">
        <f t="shared" si="206"/>
        <v>0</v>
      </c>
      <c r="EI112" s="4">
        <f t="shared" si="206"/>
        <v>0</v>
      </c>
      <c r="EJ112" s="4">
        <f t="shared" si="206"/>
        <v>0</v>
      </c>
      <c r="EK112" s="4">
        <f t="shared" si="206"/>
        <v>0</v>
      </c>
      <c r="EL112" s="4">
        <f t="shared" si="206"/>
        <v>0</v>
      </c>
      <c r="EM112" s="4">
        <f t="shared" si="206"/>
        <v>0</v>
      </c>
      <c r="EN112" s="4">
        <f t="shared" si="206"/>
        <v>0</v>
      </c>
      <c r="EO112" s="4">
        <f t="shared" si="206"/>
        <v>0</v>
      </c>
      <c r="EP112" s="4">
        <f t="shared" si="206"/>
        <v>1</v>
      </c>
      <c r="EQ112" s="4">
        <f t="shared" si="206"/>
        <v>0</v>
      </c>
      <c r="ER112" s="4">
        <f t="shared" si="206"/>
        <v>0</v>
      </c>
      <c r="ES112" s="4">
        <f t="shared" si="206"/>
        <v>0</v>
      </c>
      <c r="ET112" s="4">
        <f t="shared" si="206"/>
        <v>0</v>
      </c>
      <c r="EU112" s="4">
        <f t="shared" si="206"/>
        <v>0</v>
      </c>
      <c r="EV112" s="4">
        <f t="shared" si="206"/>
        <v>0</v>
      </c>
      <c r="EW112" s="4">
        <f t="shared" si="206"/>
        <v>1</v>
      </c>
      <c r="EX112" s="4">
        <f t="shared" si="206"/>
        <v>2</v>
      </c>
      <c r="EY112" s="4">
        <f t="shared" si="206"/>
        <v>0</v>
      </c>
      <c r="EZ112" s="4">
        <f t="shared" si="206"/>
        <v>0</v>
      </c>
      <c r="FA112" s="4">
        <f t="shared" si="206"/>
        <v>0</v>
      </c>
      <c r="FB112" s="4">
        <f t="shared" si="206"/>
        <v>4</v>
      </c>
      <c r="FC112" s="4">
        <f t="shared" si="206"/>
        <v>0</v>
      </c>
      <c r="FD112" s="4">
        <f t="shared" si="206"/>
        <v>1</v>
      </c>
      <c r="FE112" s="4">
        <f t="shared" si="206"/>
        <v>0</v>
      </c>
      <c r="FF112" s="4">
        <f t="shared" si="206"/>
        <v>0</v>
      </c>
      <c r="FG112" s="4">
        <f t="shared" si="206"/>
        <v>0</v>
      </c>
      <c r="FH112" s="4">
        <f t="shared" si="206"/>
        <v>1</v>
      </c>
      <c r="FI112" s="4">
        <f t="shared" si="206"/>
        <v>0</v>
      </c>
      <c r="FJ112" s="4">
        <f t="shared" si="206"/>
        <v>0</v>
      </c>
      <c r="FK112" s="4">
        <f t="shared" si="206"/>
        <v>0</v>
      </c>
      <c r="FL112" s="4">
        <f t="shared" si="206"/>
        <v>0</v>
      </c>
      <c r="FM112" s="4">
        <f t="shared" si="206"/>
        <v>0</v>
      </c>
      <c r="FN112" s="4">
        <f t="shared" si="206"/>
        <v>0</v>
      </c>
      <c r="FO112" s="4">
        <f t="shared" si="206"/>
        <v>1</v>
      </c>
      <c r="FP112" s="4">
        <f t="shared" si="206"/>
        <v>0</v>
      </c>
      <c r="FQ112" s="4">
        <f t="shared" si="206"/>
        <v>0</v>
      </c>
      <c r="FR112" s="4">
        <f t="shared" si="206"/>
        <v>0</v>
      </c>
      <c r="FS112" s="4">
        <f t="shared" si="206"/>
        <v>0</v>
      </c>
      <c r="FT112" s="4">
        <f t="shared" si="206"/>
        <v>0</v>
      </c>
      <c r="FU112" s="4">
        <f t="shared" si="206"/>
        <v>0</v>
      </c>
      <c r="FV112" s="4">
        <f t="shared" si="206"/>
        <v>0</v>
      </c>
      <c r="FW112" s="4">
        <f t="shared" si="206"/>
        <v>0</v>
      </c>
      <c r="FX112" s="4">
        <f t="shared" si="206"/>
        <v>0</v>
      </c>
      <c r="FY112" s="4">
        <f t="shared" si="206"/>
        <v>0</v>
      </c>
      <c r="FZ112" s="4">
        <f t="shared" si="206"/>
        <v>0</v>
      </c>
      <c r="GA112" s="4">
        <f t="shared" si="206"/>
        <v>0</v>
      </c>
      <c r="GB112" s="4">
        <f t="shared" si="206"/>
        <v>0</v>
      </c>
      <c r="GC112" s="4">
        <f t="shared" si="206"/>
        <v>1</v>
      </c>
      <c r="GD112" s="4">
        <f t="shared" si="206"/>
        <v>0</v>
      </c>
      <c r="GE112" s="4">
        <f t="shared" si="206"/>
        <v>0</v>
      </c>
      <c r="GF112" s="4">
        <f t="shared" si="206"/>
        <v>1</v>
      </c>
      <c r="GG112" s="4">
        <f t="shared" si="206"/>
        <v>0</v>
      </c>
      <c r="GH112" s="4">
        <f t="shared" si="206"/>
        <v>1</v>
      </c>
      <c r="GI112" s="4">
        <f t="shared" si="206"/>
        <v>1</v>
      </c>
      <c r="GJ112" s="4">
        <f t="shared" si="206"/>
        <v>0</v>
      </c>
      <c r="GK112" s="4">
        <f t="shared" si="206"/>
        <v>0</v>
      </c>
      <c r="GL112" s="4">
        <f t="shared" si="206"/>
        <v>0</v>
      </c>
      <c r="GM112" s="4">
        <f t="shared" ref="GM112" si="207">MEDIAN(GM2:GM101)</f>
        <v>0</v>
      </c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</row>
    <row r="113" spans="1:222" x14ac:dyDescent="0.3">
      <c r="A113" s="9" t="s">
        <v>606</v>
      </c>
      <c r="B113" s="4">
        <f>B115-B114</f>
        <v>5</v>
      </c>
      <c r="C113" s="4">
        <f t="shared" ref="C113:BN113" si="208">C115-C114</f>
        <v>2</v>
      </c>
      <c r="D113" s="4">
        <f t="shared" si="208"/>
        <v>1</v>
      </c>
      <c r="E113" s="4">
        <f t="shared" si="208"/>
        <v>3</v>
      </c>
      <c r="F113" s="4">
        <f t="shared" si="208"/>
        <v>7</v>
      </c>
      <c r="G113" s="4">
        <f t="shared" si="208"/>
        <v>1</v>
      </c>
      <c r="H113" s="4">
        <f t="shared" si="208"/>
        <v>1</v>
      </c>
      <c r="I113" s="4">
        <f t="shared" si="208"/>
        <v>4</v>
      </c>
      <c r="J113" s="4">
        <f t="shared" si="208"/>
        <v>5</v>
      </c>
      <c r="K113" s="4">
        <f t="shared" si="208"/>
        <v>2</v>
      </c>
      <c r="L113" s="4">
        <f t="shared" si="208"/>
        <v>1</v>
      </c>
      <c r="M113" s="4">
        <f t="shared" si="208"/>
        <v>1</v>
      </c>
      <c r="N113" s="4">
        <f t="shared" si="208"/>
        <v>1</v>
      </c>
      <c r="O113" s="4">
        <f t="shared" si="208"/>
        <v>8</v>
      </c>
      <c r="P113" s="4">
        <f t="shared" si="208"/>
        <v>1</v>
      </c>
      <c r="Q113" s="4">
        <f t="shared" si="208"/>
        <v>1</v>
      </c>
      <c r="R113" s="4">
        <f t="shared" si="208"/>
        <v>3</v>
      </c>
      <c r="S113" s="4">
        <f t="shared" si="208"/>
        <v>6</v>
      </c>
      <c r="T113" s="4">
        <f t="shared" si="208"/>
        <v>1</v>
      </c>
      <c r="U113" s="4">
        <f t="shared" si="208"/>
        <v>1</v>
      </c>
      <c r="V113" s="4">
        <f t="shared" si="208"/>
        <v>1</v>
      </c>
      <c r="W113" s="4">
        <f t="shared" si="208"/>
        <v>1</v>
      </c>
      <c r="X113" s="4">
        <f t="shared" si="208"/>
        <v>1</v>
      </c>
      <c r="Y113" s="4">
        <f t="shared" si="208"/>
        <v>11</v>
      </c>
      <c r="Z113" s="4">
        <f t="shared" si="208"/>
        <v>2</v>
      </c>
      <c r="AA113" s="4">
        <f t="shared" si="208"/>
        <v>32</v>
      </c>
      <c r="AB113" s="4">
        <f t="shared" si="208"/>
        <v>2</v>
      </c>
      <c r="AC113" s="4">
        <f t="shared" si="208"/>
        <v>3</v>
      </c>
      <c r="AD113" s="4">
        <f t="shared" si="208"/>
        <v>1</v>
      </c>
      <c r="AE113" s="4">
        <f t="shared" si="208"/>
        <v>5</v>
      </c>
      <c r="AF113" s="4">
        <f t="shared" si="208"/>
        <v>5</v>
      </c>
      <c r="AG113" s="4">
        <f t="shared" si="208"/>
        <v>2</v>
      </c>
      <c r="AH113" s="4">
        <f t="shared" si="208"/>
        <v>4</v>
      </c>
      <c r="AI113" s="4">
        <f t="shared" si="208"/>
        <v>1</v>
      </c>
      <c r="AJ113" s="4">
        <f t="shared" si="208"/>
        <v>1</v>
      </c>
      <c r="AK113" s="4">
        <f t="shared" si="208"/>
        <v>1</v>
      </c>
      <c r="AL113" s="4">
        <f t="shared" si="208"/>
        <v>13</v>
      </c>
      <c r="AM113" s="4">
        <f t="shared" si="208"/>
        <v>2</v>
      </c>
      <c r="AN113" s="4">
        <f t="shared" si="208"/>
        <v>3</v>
      </c>
      <c r="AO113" s="4">
        <f t="shared" si="208"/>
        <v>1</v>
      </c>
      <c r="AP113" s="4">
        <f t="shared" si="208"/>
        <v>1</v>
      </c>
      <c r="AQ113" s="4">
        <f t="shared" si="208"/>
        <v>1</v>
      </c>
      <c r="AR113" s="4">
        <f t="shared" si="208"/>
        <v>10</v>
      </c>
      <c r="AS113" s="4">
        <f t="shared" si="208"/>
        <v>1</v>
      </c>
      <c r="AT113" s="4">
        <f t="shared" si="208"/>
        <v>2</v>
      </c>
      <c r="AU113" s="4">
        <f t="shared" si="208"/>
        <v>1</v>
      </c>
      <c r="AV113" s="4">
        <f t="shared" si="208"/>
        <v>1</v>
      </c>
      <c r="AW113" s="4">
        <f t="shared" si="208"/>
        <v>1</v>
      </c>
      <c r="AX113" s="4">
        <f t="shared" si="208"/>
        <v>1</v>
      </c>
      <c r="AY113" s="4">
        <f t="shared" si="208"/>
        <v>1</v>
      </c>
      <c r="AZ113" s="4">
        <f t="shared" si="208"/>
        <v>1</v>
      </c>
      <c r="BA113" s="4">
        <f t="shared" si="208"/>
        <v>1</v>
      </c>
      <c r="BB113" s="4">
        <f t="shared" si="208"/>
        <v>20</v>
      </c>
      <c r="BC113" s="4">
        <f t="shared" si="208"/>
        <v>10</v>
      </c>
      <c r="BD113" s="4">
        <f t="shared" si="208"/>
        <v>6</v>
      </c>
      <c r="BE113" s="4">
        <f t="shared" si="208"/>
        <v>19</v>
      </c>
      <c r="BF113" s="4">
        <f t="shared" si="208"/>
        <v>1</v>
      </c>
      <c r="BG113" s="4">
        <f t="shared" si="208"/>
        <v>1</v>
      </c>
      <c r="BH113" s="4">
        <f t="shared" si="208"/>
        <v>1</v>
      </c>
      <c r="BI113" s="4">
        <f t="shared" si="208"/>
        <v>1</v>
      </c>
      <c r="BJ113" s="4">
        <f t="shared" si="208"/>
        <v>1</v>
      </c>
      <c r="BK113" s="4">
        <f t="shared" si="208"/>
        <v>1</v>
      </c>
      <c r="BL113" s="4">
        <f t="shared" si="208"/>
        <v>1</v>
      </c>
      <c r="BM113" s="4">
        <f t="shared" si="208"/>
        <v>1</v>
      </c>
      <c r="BN113" s="4">
        <f t="shared" si="208"/>
        <v>1</v>
      </c>
      <c r="BO113" s="4">
        <f t="shared" ref="BO113:DZ113" si="209">BO115-BO114</f>
        <v>1</v>
      </c>
      <c r="BP113" s="4">
        <f t="shared" si="209"/>
        <v>116</v>
      </c>
      <c r="BQ113" s="4">
        <f t="shared" si="209"/>
        <v>19</v>
      </c>
      <c r="BR113" s="4">
        <f t="shared" si="209"/>
        <v>1</v>
      </c>
      <c r="BS113" s="4">
        <f t="shared" si="209"/>
        <v>11</v>
      </c>
      <c r="BT113" s="4">
        <f t="shared" si="209"/>
        <v>2</v>
      </c>
      <c r="BU113" s="4">
        <f t="shared" si="209"/>
        <v>3</v>
      </c>
      <c r="BV113" s="4">
        <f t="shared" si="209"/>
        <v>1</v>
      </c>
      <c r="BW113" s="4">
        <f t="shared" si="209"/>
        <v>3</v>
      </c>
      <c r="BX113" s="4">
        <f t="shared" si="209"/>
        <v>1</v>
      </c>
      <c r="BY113" s="4">
        <f t="shared" si="209"/>
        <v>1</v>
      </c>
      <c r="BZ113" s="4">
        <f t="shared" si="209"/>
        <v>2</v>
      </c>
      <c r="CA113" s="4">
        <f t="shared" si="209"/>
        <v>1</v>
      </c>
      <c r="CB113" s="4">
        <f t="shared" si="209"/>
        <v>4</v>
      </c>
      <c r="CC113" s="4">
        <f t="shared" si="209"/>
        <v>2</v>
      </c>
      <c r="CD113" s="4">
        <f t="shared" si="209"/>
        <v>2</v>
      </c>
      <c r="CE113" s="4">
        <f t="shared" si="209"/>
        <v>1</v>
      </c>
      <c r="CF113" s="4">
        <f t="shared" si="209"/>
        <v>2</v>
      </c>
      <c r="CG113" s="4">
        <f t="shared" si="209"/>
        <v>2</v>
      </c>
      <c r="CH113" s="4">
        <f t="shared" si="209"/>
        <v>9</v>
      </c>
      <c r="CI113" s="4">
        <f t="shared" si="209"/>
        <v>2</v>
      </c>
      <c r="CJ113" s="4">
        <f t="shared" si="209"/>
        <v>2</v>
      </c>
      <c r="CK113" s="4">
        <f t="shared" si="209"/>
        <v>4</v>
      </c>
      <c r="CL113" s="4">
        <f t="shared" si="209"/>
        <v>1</v>
      </c>
      <c r="CM113" s="4">
        <f t="shared" si="209"/>
        <v>1</v>
      </c>
      <c r="CN113" s="4">
        <f t="shared" si="209"/>
        <v>1</v>
      </c>
      <c r="CO113" s="4">
        <f t="shared" si="209"/>
        <v>1</v>
      </c>
      <c r="CP113" s="4">
        <f t="shared" si="209"/>
        <v>1</v>
      </c>
      <c r="CQ113" s="4">
        <f t="shared" si="209"/>
        <v>1</v>
      </c>
      <c r="CR113" s="4">
        <f t="shared" si="209"/>
        <v>1</v>
      </c>
      <c r="CS113" s="4">
        <f t="shared" si="209"/>
        <v>1</v>
      </c>
      <c r="CT113" s="4">
        <f t="shared" si="209"/>
        <v>1</v>
      </c>
      <c r="CU113" s="4">
        <f t="shared" si="209"/>
        <v>2</v>
      </c>
      <c r="CV113" s="4">
        <f t="shared" si="209"/>
        <v>2</v>
      </c>
      <c r="CW113" s="4">
        <f t="shared" si="209"/>
        <v>1</v>
      </c>
      <c r="CX113" s="4">
        <f t="shared" si="209"/>
        <v>2</v>
      </c>
      <c r="CY113" s="4">
        <f t="shared" si="209"/>
        <v>1</v>
      </c>
      <c r="CZ113" s="4">
        <f t="shared" si="209"/>
        <v>1</v>
      </c>
      <c r="DA113" s="4">
        <f t="shared" si="209"/>
        <v>3</v>
      </c>
      <c r="DB113" s="4">
        <f t="shared" si="209"/>
        <v>1</v>
      </c>
      <c r="DC113" s="4">
        <f t="shared" si="209"/>
        <v>2</v>
      </c>
      <c r="DD113" s="4">
        <f t="shared" si="209"/>
        <v>1</v>
      </c>
      <c r="DE113" s="4">
        <f t="shared" si="209"/>
        <v>1</v>
      </c>
      <c r="DF113" s="4">
        <f t="shared" si="209"/>
        <v>1</v>
      </c>
      <c r="DG113" s="4">
        <f t="shared" si="209"/>
        <v>1</v>
      </c>
      <c r="DH113" s="4">
        <f t="shared" si="209"/>
        <v>1</v>
      </c>
      <c r="DI113" s="4">
        <f t="shared" si="209"/>
        <v>1</v>
      </c>
      <c r="DJ113" s="4">
        <f t="shared" si="209"/>
        <v>1</v>
      </c>
      <c r="DK113" s="4">
        <f t="shared" si="209"/>
        <v>1</v>
      </c>
      <c r="DL113" s="4">
        <f t="shared" si="209"/>
        <v>1</v>
      </c>
      <c r="DM113" s="4">
        <f t="shared" si="209"/>
        <v>1</v>
      </c>
      <c r="DN113" s="4">
        <f t="shared" si="209"/>
        <v>1</v>
      </c>
      <c r="DO113" s="4">
        <f t="shared" si="209"/>
        <v>1</v>
      </c>
      <c r="DP113" s="4">
        <f t="shared" si="209"/>
        <v>1</v>
      </c>
      <c r="DQ113" s="4">
        <f t="shared" si="209"/>
        <v>1</v>
      </c>
      <c r="DR113" s="4">
        <f t="shared" si="209"/>
        <v>1</v>
      </c>
      <c r="DS113" s="4">
        <f t="shared" si="209"/>
        <v>9</v>
      </c>
      <c r="DT113" s="4">
        <f t="shared" si="209"/>
        <v>1</v>
      </c>
      <c r="DU113" s="4">
        <f t="shared" si="209"/>
        <v>1</v>
      </c>
      <c r="DV113" s="4">
        <f t="shared" si="209"/>
        <v>1</v>
      </c>
      <c r="DW113" s="4">
        <f t="shared" si="209"/>
        <v>1</v>
      </c>
      <c r="DX113" s="4">
        <f t="shared" si="209"/>
        <v>1</v>
      </c>
      <c r="DY113" s="4">
        <f t="shared" si="209"/>
        <v>1</v>
      </c>
      <c r="DZ113" s="4">
        <f t="shared" si="209"/>
        <v>1</v>
      </c>
      <c r="EA113" s="4">
        <f t="shared" ref="EA113:GL113" si="210">EA115-EA114</f>
        <v>1</v>
      </c>
      <c r="EB113" s="4">
        <f t="shared" si="210"/>
        <v>1</v>
      </c>
      <c r="EC113" s="4">
        <f t="shared" si="210"/>
        <v>1</v>
      </c>
      <c r="ED113" s="4">
        <f t="shared" si="210"/>
        <v>3</v>
      </c>
      <c r="EE113" s="4">
        <f t="shared" si="210"/>
        <v>3</v>
      </c>
      <c r="EF113" s="4">
        <f t="shared" si="210"/>
        <v>1</v>
      </c>
      <c r="EG113" s="4">
        <f t="shared" si="210"/>
        <v>2</v>
      </c>
      <c r="EH113" s="4">
        <f t="shared" si="210"/>
        <v>1</v>
      </c>
      <c r="EI113" s="4">
        <f t="shared" si="210"/>
        <v>24</v>
      </c>
      <c r="EJ113" s="4">
        <f t="shared" si="210"/>
        <v>4</v>
      </c>
      <c r="EK113" s="4">
        <f t="shared" si="210"/>
        <v>1</v>
      </c>
      <c r="EL113" s="4">
        <f t="shared" si="210"/>
        <v>1</v>
      </c>
      <c r="EM113" s="4">
        <f t="shared" si="210"/>
        <v>1</v>
      </c>
      <c r="EN113" s="4">
        <f t="shared" si="210"/>
        <v>1</v>
      </c>
      <c r="EO113" s="4">
        <f t="shared" si="210"/>
        <v>1</v>
      </c>
      <c r="EP113" s="4">
        <f t="shared" si="210"/>
        <v>3</v>
      </c>
      <c r="EQ113" s="4">
        <f t="shared" si="210"/>
        <v>1</v>
      </c>
      <c r="ER113" s="4">
        <f t="shared" si="210"/>
        <v>2</v>
      </c>
      <c r="ES113" s="4">
        <f t="shared" si="210"/>
        <v>1</v>
      </c>
      <c r="ET113" s="4">
        <f t="shared" si="210"/>
        <v>1</v>
      </c>
      <c r="EU113" s="4">
        <f t="shared" si="210"/>
        <v>1</v>
      </c>
      <c r="EV113" s="4">
        <f t="shared" si="210"/>
        <v>1</v>
      </c>
      <c r="EW113" s="4">
        <f t="shared" si="210"/>
        <v>1</v>
      </c>
      <c r="EX113" s="4">
        <f t="shared" si="210"/>
        <v>5</v>
      </c>
      <c r="EY113" s="4">
        <f t="shared" si="210"/>
        <v>3</v>
      </c>
      <c r="EZ113" s="4">
        <f t="shared" si="210"/>
        <v>1</v>
      </c>
      <c r="FA113" s="4">
        <f t="shared" si="210"/>
        <v>1</v>
      </c>
      <c r="FB113" s="4">
        <f t="shared" si="210"/>
        <v>11</v>
      </c>
      <c r="FC113" s="4">
        <f t="shared" si="210"/>
        <v>1</v>
      </c>
      <c r="FD113" s="4">
        <f t="shared" si="210"/>
        <v>2</v>
      </c>
      <c r="FE113" s="4">
        <f t="shared" si="210"/>
        <v>1</v>
      </c>
      <c r="FF113" s="4">
        <f t="shared" si="210"/>
        <v>1</v>
      </c>
      <c r="FG113" s="4">
        <f t="shared" si="210"/>
        <v>1</v>
      </c>
      <c r="FH113" s="4">
        <f t="shared" si="210"/>
        <v>1</v>
      </c>
      <c r="FI113" s="4">
        <f t="shared" si="210"/>
        <v>1</v>
      </c>
      <c r="FJ113" s="4">
        <f t="shared" si="210"/>
        <v>1</v>
      </c>
      <c r="FK113" s="4">
        <f t="shared" si="210"/>
        <v>1</v>
      </c>
      <c r="FL113" s="4">
        <f t="shared" si="210"/>
        <v>1</v>
      </c>
      <c r="FM113" s="4">
        <f t="shared" si="210"/>
        <v>4</v>
      </c>
      <c r="FN113" s="4">
        <f t="shared" si="210"/>
        <v>1</v>
      </c>
      <c r="FO113" s="4">
        <f t="shared" si="210"/>
        <v>48</v>
      </c>
      <c r="FP113" s="4">
        <f t="shared" si="210"/>
        <v>1</v>
      </c>
      <c r="FQ113" s="4">
        <f t="shared" si="210"/>
        <v>1</v>
      </c>
      <c r="FR113" s="4">
        <f t="shared" si="210"/>
        <v>1</v>
      </c>
      <c r="FS113" s="4">
        <f t="shared" si="210"/>
        <v>1</v>
      </c>
      <c r="FT113" s="4">
        <f t="shared" si="210"/>
        <v>4</v>
      </c>
      <c r="FU113" s="4">
        <f t="shared" si="210"/>
        <v>1</v>
      </c>
      <c r="FV113" s="4">
        <f t="shared" si="210"/>
        <v>3</v>
      </c>
      <c r="FW113" s="4">
        <f t="shared" si="210"/>
        <v>1</v>
      </c>
      <c r="FX113" s="4">
        <f t="shared" si="210"/>
        <v>2</v>
      </c>
      <c r="FY113" s="4">
        <f t="shared" si="210"/>
        <v>1</v>
      </c>
      <c r="FZ113" s="4">
        <f t="shared" si="210"/>
        <v>1</v>
      </c>
      <c r="GA113" s="4">
        <f t="shared" si="210"/>
        <v>1</v>
      </c>
      <c r="GB113" s="4">
        <f t="shared" si="210"/>
        <v>1</v>
      </c>
      <c r="GC113" s="4">
        <f t="shared" si="210"/>
        <v>0</v>
      </c>
      <c r="GD113" s="4">
        <f t="shared" si="210"/>
        <v>1</v>
      </c>
      <c r="GE113" s="4">
        <f t="shared" si="210"/>
        <v>1</v>
      </c>
      <c r="GF113" s="4">
        <f t="shared" si="210"/>
        <v>2</v>
      </c>
      <c r="GG113" s="4">
        <f t="shared" si="210"/>
        <v>1</v>
      </c>
      <c r="GH113" s="4">
        <f t="shared" si="210"/>
        <v>0</v>
      </c>
      <c r="GI113" s="4">
        <f t="shared" si="210"/>
        <v>2</v>
      </c>
      <c r="GJ113" s="4">
        <f t="shared" si="210"/>
        <v>1</v>
      </c>
      <c r="GK113" s="4">
        <f t="shared" si="210"/>
        <v>1</v>
      </c>
      <c r="GL113" s="4">
        <f t="shared" si="210"/>
        <v>1</v>
      </c>
      <c r="GM113" s="4">
        <f t="shared" ref="GM113" si="211">GM115-GM114</f>
        <v>1</v>
      </c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</row>
    <row r="114" spans="1:222" x14ac:dyDescent="0.3">
      <c r="A114" s="9" t="s">
        <v>607</v>
      </c>
      <c r="B114" s="4">
        <f>MIN(B2:B101)</f>
        <v>1</v>
      </c>
      <c r="C114" s="4">
        <f t="shared" ref="C114:BN114" si="212">MIN(C2:C101)</f>
        <v>0</v>
      </c>
      <c r="D114" s="4">
        <f t="shared" si="212"/>
        <v>1</v>
      </c>
      <c r="E114" s="4">
        <f t="shared" si="212"/>
        <v>0</v>
      </c>
      <c r="F114" s="4">
        <f t="shared" si="212"/>
        <v>0</v>
      </c>
      <c r="G114" s="4">
        <f t="shared" si="212"/>
        <v>0</v>
      </c>
      <c r="H114" s="4">
        <f t="shared" si="212"/>
        <v>0</v>
      </c>
      <c r="I114" s="4">
        <f t="shared" si="212"/>
        <v>0</v>
      </c>
      <c r="J114" s="4">
        <f t="shared" si="212"/>
        <v>0</v>
      </c>
      <c r="K114" s="4">
        <f t="shared" si="212"/>
        <v>0</v>
      </c>
      <c r="L114" s="4">
        <f t="shared" si="212"/>
        <v>0</v>
      </c>
      <c r="M114" s="4">
        <f t="shared" si="212"/>
        <v>0</v>
      </c>
      <c r="N114" s="4">
        <f t="shared" si="212"/>
        <v>0</v>
      </c>
      <c r="O114" s="4">
        <f t="shared" si="212"/>
        <v>0</v>
      </c>
      <c r="P114" s="4">
        <f t="shared" si="212"/>
        <v>0</v>
      </c>
      <c r="Q114" s="4">
        <f t="shared" si="212"/>
        <v>0</v>
      </c>
      <c r="R114" s="4">
        <f t="shared" si="212"/>
        <v>0</v>
      </c>
      <c r="S114" s="4">
        <f t="shared" si="212"/>
        <v>0</v>
      </c>
      <c r="T114" s="4">
        <f t="shared" si="212"/>
        <v>0</v>
      </c>
      <c r="U114" s="4">
        <f t="shared" si="212"/>
        <v>0</v>
      </c>
      <c r="V114" s="4">
        <f t="shared" si="212"/>
        <v>0</v>
      </c>
      <c r="W114" s="4">
        <f t="shared" si="212"/>
        <v>0</v>
      </c>
      <c r="X114" s="4">
        <f t="shared" si="212"/>
        <v>0</v>
      </c>
      <c r="Y114" s="4">
        <f t="shared" si="212"/>
        <v>0</v>
      </c>
      <c r="Z114" s="4">
        <f t="shared" si="212"/>
        <v>0</v>
      </c>
      <c r="AA114" s="4">
        <f t="shared" si="212"/>
        <v>0</v>
      </c>
      <c r="AB114" s="4">
        <f t="shared" si="212"/>
        <v>0</v>
      </c>
      <c r="AC114" s="4">
        <f t="shared" si="212"/>
        <v>0</v>
      </c>
      <c r="AD114" s="4">
        <f t="shared" si="212"/>
        <v>0</v>
      </c>
      <c r="AE114" s="4">
        <f t="shared" si="212"/>
        <v>0</v>
      </c>
      <c r="AF114" s="4">
        <f t="shared" si="212"/>
        <v>0</v>
      </c>
      <c r="AG114" s="4">
        <f t="shared" si="212"/>
        <v>0</v>
      </c>
      <c r="AH114" s="4">
        <f t="shared" si="212"/>
        <v>0</v>
      </c>
      <c r="AI114" s="4">
        <f t="shared" si="212"/>
        <v>0</v>
      </c>
      <c r="AJ114" s="4">
        <f t="shared" si="212"/>
        <v>0</v>
      </c>
      <c r="AK114" s="4">
        <f t="shared" si="212"/>
        <v>0</v>
      </c>
      <c r="AL114" s="4">
        <f t="shared" si="212"/>
        <v>0</v>
      </c>
      <c r="AM114" s="4">
        <f t="shared" si="212"/>
        <v>1</v>
      </c>
      <c r="AN114" s="4">
        <f t="shared" si="212"/>
        <v>0</v>
      </c>
      <c r="AO114" s="4">
        <f t="shared" si="212"/>
        <v>0</v>
      </c>
      <c r="AP114" s="4">
        <f t="shared" si="212"/>
        <v>0</v>
      </c>
      <c r="AQ114" s="4">
        <f t="shared" si="212"/>
        <v>0</v>
      </c>
      <c r="AR114" s="4">
        <f t="shared" si="212"/>
        <v>0</v>
      </c>
      <c r="AS114" s="4">
        <f t="shared" si="212"/>
        <v>0</v>
      </c>
      <c r="AT114" s="4">
        <f t="shared" si="212"/>
        <v>1</v>
      </c>
      <c r="AU114" s="4">
        <f t="shared" si="212"/>
        <v>0</v>
      </c>
      <c r="AV114" s="4">
        <f t="shared" si="212"/>
        <v>0</v>
      </c>
      <c r="AW114" s="4">
        <f t="shared" si="212"/>
        <v>0</v>
      </c>
      <c r="AX114" s="4">
        <f t="shared" si="212"/>
        <v>0</v>
      </c>
      <c r="AY114" s="4">
        <f t="shared" si="212"/>
        <v>0</v>
      </c>
      <c r="AZ114" s="4">
        <f t="shared" si="212"/>
        <v>0</v>
      </c>
      <c r="BA114" s="4">
        <f t="shared" si="212"/>
        <v>0</v>
      </c>
      <c r="BB114" s="4">
        <f t="shared" si="212"/>
        <v>1</v>
      </c>
      <c r="BC114" s="4">
        <f t="shared" si="212"/>
        <v>0</v>
      </c>
      <c r="BD114" s="4">
        <f t="shared" si="212"/>
        <v>0</v>
      </c>
      <c r="BE114" s="4">
        <f t="shared" si="212"/>
        <v>0</v>
      </c>
      <c r="BF114" s="4">
        <f t="shared" si="212"/>
        <v>0</v>
      </c>
      <c r="BG114" s="4">
        <f t="shared" si="212"/>
        <v>0</v>
      </c>
      <c r="BH114" s="4">
        <f t="shared" si="212"/>
        <v>0</v>
      </c>
      <c r="BI114" s="4">
        <f t="shared" si="212"/>
        <v>0</v>
      </c>
      <c r="BJ114" s="4">
        <f t="shared" si="212"/>
        <v>0</v>
      </c>
      <c r="BK114" s="4">
        <f t="shared" si="212"/>
        <v>0</v>
      </c>
      <c r="BL114" s="4">
        <f t="shared" si="212"/>
        <v>0</v>
      </c>
      <c r="BM114" s="4">
        <f t="shared" si="212"/>
        <v>0</v>
      </c>
      <c r="BN114" s="4">
        <f t="shared" si="212"/>
        <v>0</v>
      </c>
      <c r="BO114" s="4">
        <f t="shared" ref="BO114:DZ114" si="213">MIN(BO2:BO101)</f>
        <v>0</v>
      </c>
      <c r="BP114" s="4">
        <f t="shared" si="213"/>
        <v>0</v>
      </c>
      <c r="BQ114" s="4">
        <f t="shared" si="213"/>
        <v>0</v>
      </c>
      <c r="BR114" s="4">
        <f t="shared" si="213"/>
        <v>0</v>
      </c>
      <c r="BS114" s="4">
        <f t="shared" si="213"/>
        <v>0</v>
      </c>
      <c r="BT114" s="4">
        <f t="shared" si="213"/>
        <v>0</v>
      </c>
      <c r="BU114" s="4">
        <f t="shared" si="213"/>
        <v>0</v>
      </c>
      <c r="BV114" s="4">
        <f t="shared" si="213"/>
        <v>0</v>
      </c>
      <c r="BW114" s="4">
        <f t="shared" si="213"/>
        <v>0</v>
      </c>
      <c r="BX114" s="4">
        <f t="shared" si="213"/>
        <v>0</v>
      </c>
      <c r="BY114" s="4">
        <f t="shared" si="213"/>
        <v>0</v>
      </c>
      <c r="BZ114" s="4">
        <f t="shared" si="213"/>
        <v>0</v>
      </c>
      <c r="CA114" s="4">
        <f t="shared" si="213"/>
        <v>0</v>
      </c>
      <c r="CB114" s="4">
        <f t="shared" si="213"/>
        <v>0</v>
      </c>
      <c r="CC114" s="4">
        <f t="shared" si="213"/>
        <v>0</v>
      </c>
      <c r="CD114" s="4">
        <f t="shared" si="213"/>
        <v>0</v>
      </c>
      <c r="CE114" s="4">
        <f t="shared" si="213"/>
        <v>0</v>
      </c>
      <c r="CF114" s="4">
        <f t="shared" si="213"/>
        <v>0</v>
      </c>
      <c r="CG114" s="4">
        <f t="shared" si="213"/>
        <v>0</v>
      </c>
      <c r="CH114" s="4">
        <f t="shared" si="213"/>
        <v>0</v>
      </c>
      <c r="CI114" s="4">
        <f t="shared" si="213"/>
        <v>0</v>
      </c>
      <c r="CJ114" s="4">
        <f t="shared" si="213"/>
        <v>0</v>
      </c>
      <c r="CK114" s="4">
        <f t="shared" si="213"/>
        <v>0</v>
      </c>
      <c r="CL114" s="4">
        <f t="shared" si="213"/>
        <v>0</v>
      </c>
      <c r="CM114" s="4">
        <f t="shared" si="213"/>
        <v>0</v>
      </c>
      <c r="CN114" s="4">
        <f t="shared" si="213"/>
        <v>0</v>
      </c>
      <c r="CO114" s="4">
        <f t="shared" si="213"/>
        <v>0</v>
      </c>
      <c r="CP114" s="4">
        <f t="shared" si="213"/>
        <v>0</v>
      </c>
      <c r="CQ114" s="4">
        <f t="shared" si="213"/>
        <v>0</v>
      </c>
      <c r="CR114" s="4">
        <f t="shared" si="213"/>
        <v>0</v>
      </c>
      <c r="CS114" s="4">
        <f t="shared" si="213"/>
        <v>0</v>
      </c>
      <c r="CT114" s="4">
        <f t="shared" si="213"/>
        <v>0</v>
      </c>
      <c r="CU114" s="4">
        <f t="shared" si="213"/>
        <v>0</v>
      </c>
      <c r="CV114" s="4">
        <f t="shared" si="213"/>
        <v>0</v>
      </c>
      <c r="CW114" s="4">
        <f t="shared" si="213"/>
        <v>0</v>
      </c>
      <c r="CX114" s="4">
        <f t="shared" si="213"/>
        <v>0</v>
      </c>
      <c r="CY114" s="4">
        <f t="shared" si="213"/>
        <v>0</v>
      </c>
      <c r="CZ114" s="4">
        <f t="shared" si="213"/>
        <v>0</v>
      </c>
      <c r="DA114" s="4">
        <f t="shared" si="213"/>
        <v>1</v>
      </c>
      <c r="DB114" s="4">
        <f t="shared" si="213"/>
        <v>0</v>
      </c>
      <c r="DC114" s="4">
        <f t="shared" si="213"/>
        <v>0</v>
      </c>
      <c r="DD114" s="4">
        <f t="shared" si="213"/>
        <v>0</v>
      </c>
      <c r="DE114" s="4">
        <f t="shared" si="213"/>
        <v>0</v>
      </c>
      <c r="DF114" s="4">
        <f t="shared" si="213"/>
        <v>0</v>
      </c>
      <c r="DG114" s="4">
        <f t="shared" si="213"/>
        <v>0</v>
      </c>
      <c r="DH114" s="4">
        <f t="shared" si="213"/>
        <v>0</v>
      </c>
      <c r="DI114" s="4">
        <f t="shared" si="213"/>
        <v>0</v>
      </c>
      <c r="DJ114" s="4">
        <f t="shared" si="213"/>
        <v>0</v>
      </c>
      <c r="DK114" s="4">
        <f t="shared" si="213"/>
        <v>0</v>
      </c>
      <c r="DL114" s="4">
        <f t="shared" si="213"/>
        <v>0</v>
      </c>
      <c r="DM114" s="4">
        <f t="shared" si="213"/>
        <v>0</v>
      </c>
      <c r="DN114" s="4">
        <f t="shared" si="213"/>
        <v>0</v>
      </c>
      <c r="DO114" s="4">
        <f t="shared" si="213"/>
        <v>0</v>
      </c>
      <c r="DP114" s="4">
        <f t="shared" si="213"/>
        <v>0</v>
      </c>
      <c r="DQ114" s="4">
        <f t="shared" si="213"/>
        <v>0</v>
      </c>
      <c r="DR114" s="4">
        <f t="shared" si="213"/>
        <v>0</v>
      </c>
      <c r="DS114" s="4">
        <f t="shared" si="213"/>
        <v>0</v>
      </c>
      <c r="DT114" s="4">
        <f t="shared" si="213"/>
        <v>0</v>
      </c>
      <c r="DU114" s="4">
        <f t="shared" si="213"/>
        <v>0</v>
      </c>
      <c r="DV114" s="4">
        <f t="shared" si="213"/>
        <v>0</v>
      </c>
      <c r="DW114" s="4">
        <f t="shared" si="213"/>
        <v>0</v>
      </c>
      <c r="DX114" s="4">
        <f t="shared" si="213"/>
        <v>0</v>
      </c>
      <c r="DY114" s="4">
        <f t="shared" si="213"/>
        <v>0</v>
      </c>
      <c r="DZ114" s="4">
        <f t="shared" si="213"/>
        <v>0</v>
      </c>
      <c r="EA114" s="4">
        <f t="shared" ref="EA114:GL114" si="214">MIN(EA2:EA101)</f>
        <v>0</v>
      </c>
      <c r="EB114" s="4">
        <f t="shared" si="214"/>
        <v>0</v>
      </c>
      <c r="EC114" s="4">
        <f t="shared" si="214"/>
        <v>0</v>
      </c>
      <c r="ED114" s="4">
        <f t="shared" si="214"/>
        <v>0</v>
      </c>
      <c r="EE114" s="4">
        <f t="shared" si="214"/>
        <v>0</v>
      </c>
      <c r="EF114" s="4">
        <f t="shared" si="214"/>
        <v>0</v>
      </c>
      <c r="EG114" s="4">
        <f t="shared" si="214"/>
        <v>0</v>
      </c>
      <c r="EH114" s="4">
        <f t="shared" si="214"/>
        <v>0</v>
      </c>
      <c r="EI114" s="4">
        <f t="shared" si="214"/>
        <v>0</v>
      </c>
      <c r="EJ114" s="4">
        <f t="shared" si="214"/>
        <v>0</v>
      </c>
      <c r="EK114" s="4">
        <f t="shared" si="214"/>
        <v>0</v>
      </c>
      <c r="EL114" s="4">
        <f t="shared" si="214"/>
        <v>0</v>
      </c>
      <c r="EM114" s="4">
        <f t="shared" si="214"/>
        <v>0</v>
      </c>
      <c r="EN114" s="4">
        <f t="shared" si="214"/>
        <v>0</v>
      </c>
      <c r="EO114" s="4">
        <f t="shared" si="214"/>
        <v>0</v>
      </c>
      <c r="EP114" s="4">
        <f t="shared" si="214"/>
        <v>0</v>
      </c>
      <c r="EQ114" s="4">
        <f t="shared" si="214"/>
        <v>0</v>
      </c>
      <c r="ER114" s="4">
        <f t="shared" si="214"/>
        <v>0</v>
      </c>
      <c r="ES114" s="4">
        <f t="shared" si="214"/>
        <v>0</v>
      </c>
      <c r="ET114" s="4">
        <f t="shared" si="214"/>
        <v>0</v>
      </c>
      <c r="EU114" s="4">
        <f t="shared" si="214"/>
        <v>0</v>
      </c>
      <c r="EV114" s="4">
        <f t="shared" si="214"/>
        <v>0</v>
      </c>
      <c r="EW114" s="4">
        <f t="shared" si="214"/>
        <v>0</v>
      </c>
      <c r="EX114" s="4">
        <f t="shared" si="214"/>
        <v>0</v>
      </c>
      <c r="EY114" s="4">
        <f t="shared" si="214"/>
        <v>0</v>
      </c>
      <c r="EZ114" s="4">
        <f t="shared" si="214"/>
        <v>0</v>
      </c>
      <c r="FA114" s="4">
        <f t="shared" si="214"/>
        <v>0</v>
      </c>
      <c r="FB114" s="4">
        <f t="shared" si="214"/>
        <v>0</v>
      </c>
      <c r="FC114" s="4">
        <f t="shared" si="214"/>
        <v>0</v>
      </c>
      <c r="FD114" s="4">
        <f t="shared" si="214"/>
        <v>0</v>
      </c>
      <c r="FE114" s="4">
        <f t="shared" si="214"/>
        <v>0</v>
      </c>
      <c r="FF114" s="4">
        <f t="shared" si="214"/>
        <v>0</v>
      </c>
      <c r="FG114" s="4">
        <f t="shared" si="214"/>
        <v>0</v>
      </c>
      <c r="FH114" s="4">
        <f t="shared" si="214"/>
        <v>0</v>
      </c>
      <c r="FI114" s="4">
        <f t="shared" si="214"/>
        <v>0</v>
      </c>
      <c r="FJ114" s="4">
        <f t="shared" si="214"/>
        <v>0</v>
      </c>
      <c r="FK114" s="4">
        <f t="shared" si="214"/>
        <v>0</v>
      </c>
      <c r="FL114" s="4">
        <f t="shared" si="214"/>
        <v>0</v>
      </c>
      <c r="FM114" s="4">
        <f t="shared" si="214"/>
        <v>0</v>
      </c>
      <c r="FN114" s="4">
        <f t="shared" si="214"/>
        <v>0</v>
      </c>
      <c r="FO114" s="4">
        <f t="shared" si="214"/>
        <v>0</v>
      </c>
      <c r="FP114" s="4">
        <f t="shared" si="214"/>
        <v>0</v>
      </c>
      <c r="FQ114" s="4">
        <f t="shared" si="214"/>
        <v>0</v>
      </c>
      <c r="FR114" s="4">
        <f t="shared" si="214"/>
        <v>0</v>
      </c>
      <c r="FS114" s="4">
        <f t="shared" si="214"/>
        <v>0</v>
      </c>
      <c r="FT114" s="4">
        <f t="shared" si="214"/>
        <v>0</v>
      </c>
      <c r="FU114" s="4">
        <f t="shared" si="214"/>
        <v>0</v>
      </c>
      <c r="FV114" s="4">
        <f t="shared" si="214"/>
        <v>0</v>
      </c>
      <c r="FW114" s="4">
        <f t="shared" si="214"/>
        <v>0</v>
      </c>
      <c r="FX114" s="4">
        <f t="shared" si="214"/>
        <v>0</v>
      </c>
      <c r="FY114" s="4">
        <f t="shared" si="214"/>
        <v>0</v>
      </c>
      <c r="FZ114" s="4">
        <f t="shared" si="214"/>
        <v>0</v>
      </c>
      <c r="GA114" s="4">
        <f t="shared" si="214"/>
        <v>0</v>
      </c>
      <c r="GB114" s="4">
        <f t="shared" si="214"/>
        <v>0</v>
      </c>
      <c r="GC114" s="4">
        <f t="shared" si="214"/>
        <v>1</v>
      </c>
      <c r="GD114" s="4">
        <f t="shared" si="214"/>
        <v>0</v>
      </c>
      <c r="GE114" s="4">
        <f t="shared" si="214"/>
        <v>0</v>
      </c>
      <c r="GF114" s="4">
        <f t="shared" si="214"/>
        <v>0</v>
      </c>
      <c r="GG114" s="4">
        <f t="shared" si="214"/>
        <v>0</v>
      </c>
      <c r="GH114" s="4">
        <f t="shared" si="214"/>
        <v>1</v>
      </c>
      <c r="GI114" s="4">
        <f t="shared" si="214"/>
        <v>0</v>
      </c>
      <c r="GJ114" s="4">
        <f t="shared" si="214"/>
        <v>0</v>
      </c>
      <c r="GK114" s="4">
        <f t="shared" si="214"/>
        <v>0</v>
      </c>
      <c r="GL114" s="4">
        <f t="shared" si="214"/>
        <v>0</v>
      </c>
      <c r="GM114" s="4">
        <f t="shared" ref="GM114" si="215">MIN(GM2:GM101)</f>
        <v>0</v>
      </c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</row>
    <row r="115" spans="1:222" x14ac:dyDescent="0.3">
      <c r="A115" s="9" t="s">
        <v>608</v>
      </c>
      <c r="B115" s="4">
        <f>MAX(B2:B101)</f>
        <v>6</v>
      </c>
      <c r="C115" s="4">
        <f t="shared" ref="C115:BN115" si="216">MAX(C2:C101)</f>
        <v>2</v>
      </c>
      <c r="D115" s="4">
        <f t="shared" si="216"/>
        <v>2</v>
      </c>
      <c r="E115" s="4">
        <f t="shared" si="216"/>
        <v>3</v>
      </c>
      <c r="F115" s="4">
        <f t="shared" si="216"/>
        <v>7</v>
      </c>
      <c r="G115" s="4">
        <f t="shared" si="216"/>
        <v>1</v>
      </c>
      <c r="H115" s="4">
        <f t="shared" si="216"/>
        <v>1</v>
      </c>
      <c r="I115" s="4">
        <f t="shared" si="216"/>
        <v>4</v>
      </c>
      <c r="J115" s="4">
        <f t="shared" si="216"/>
        <v>5</v>
      </c>
      <c r="K115" s="4">
        <f t="shared" si="216"/>
        <v>2</v>
      </c>
      <c r="L115" s="4">
        <f t="shared" si="216"/>
        <v>1</v>
      </c>
      <c r="M115" s="4">
        <f t="shared" si="216"/>
        <v>1</v>
      </c>
      <c r="N115" s="4">
        <f t="shared" si="216"/>
        <v>1</v>
      </c>
      <c r="O115" s="4">
        <f t="shared" si="216"/>
        <v>8</v>
      </c>
      <c r="P115" s="4">
        <f t="shared" si="216"/>
        <v>1</v>
      </c>
      <c r="Q115" s="4">
        <f t="shared" si="216"/>
        <v>1</v>
      </c>
      <c r="R115" s="4">
        <f t="shared" si="216"/>
        <v>3</v>
      </c>
      <c r="S115" s="4">
        <f t="shared" si="216"/>
        <v>6</v>
      </c>
      <c r="T115" s="4">
        <f t="shared" si="216"/>
        <v>1</v>
      </c>
      <c r="U115" s="4">
        <f t="shared" si="216"/>
        <v>1</v>
      </c>
      <c r="V115" s="4">
        <f t="shared" si="216"/>
        <v>1</v>
      </c>
      <c r="W115" s="4">
        <f t="shared" si="216"/>
        <v>1</v>
      </c>
      <c r="X115" s="4">
        <f t="shared" si="216"/>
        <v>1</v>
      </c>
      <c r="Y115" s="4">
        <f t="shared" si="216"/>
        <v>11</v>
      </c>
      <c r="Z115" s="4">
        <f t="shared" si="216"/>
        <v>2</v>
      </c>
      <c r="AA115" s="4">
        <f t="shared" si="216"/>
        <v>32</v>
      </c>
      <c r="AB115" s="4">
        <f t="shared" si="216"/>
        <v>2</v>
      </c>
      <c r="AC115" s="4">
        <f t="shared" si="216"/>
        <v>3</v>
      </c>
      <c r="AD115" s="4">
        <f t="shared" si="216"/>
        <v>1</v>
      </c>
      <c r="AE115" s="4">
        <f t="shared" si="216"/>
        <v>5</v>
      </c>
      <c r="AF115" s="4">
        <f t="shared" si="216"/>
        <v>5</v>
      </c>
      <c r="AG115" s="4">
        <f t="shared" si="216"/>
        <v>2</v>
      </c>
      <c r="AH115" s="4">
        <f t="shared" si="216"/>
        <v>4</v>
      </c>
      <c r="AI115" s="4">
        <f t="shared" si="216"/>
        <v>1</v>
      </c>
      <c r="AJ115" s="4">
        <f t="shared" si="216"/>
        <v>1</v>
      </c>
      <c r="AK115" s="4">
        <f t="shared" si="216"/>
        <v>1</v>
      </c>
      <c r="AL115" s="4">
        <f t="shared" si="216"/>
        <v>13</v>
      </c>
      <c r="AM115" s="4">
        <f t="shared" si="216"/>
        <v>3</v>
      </c>
      <c r="AN115" s="4">
        <f t="shared" si="216"/>
        <v>3</v>
      </c>
      <c r="AO115" s="4">
        <f t="shared" si="216"/>
        <v>1</v>
      </c>
      <c r="AP115" s="4">
        <f t="shared" si="216"/>
        <v>1</v>
      </c>
      <c r="AQ115" s="4">
        <f t="shared" si="216"/>
        <v>1</v>
      </c>
      <c r="AR115" s="4">
        <f t="shared" si="216"/>
        <v>10</v>
      </c>
      <c r="AS115" s="4">
        <f t="shared" si="216"/>
        <v>1</v>
      </c>
      <c r="AT115" s="4">
        <f t="shared" si="216"/>
        <v>3</v>
      </c>
      <c r="AU115" s="4">
        <f t="shared" si="216"/>
        <v>1</v>
      </c>
      <c r="AV115" s="4">
        <f t="shared" si="216"/>
        <v>1</v>
      </c>
      <c r="AW115" s="4">
        <f t="shared" si="216"/>
        <v>1</v>
      </c>
      <c r="AX115" s="4">
        <f t="shared" si="216"/>
        <v>1</v>
      </c>
      <c r="AY115" s="4">
        <f t="shared" si="216"/>
        <v>1</v>
      </c>
      <c r="AZ115" s="4">
        <f t="shared" si="216"/>
        <v>1</v>
      </c>
      <c r="BA115" s="4">
        <f t="shared" si="216"/>
        <v>1</v>
      </c>
      <c r="BB115" s="4">
        <f t="shared" si="216"/>
        <v>21</v>
      </c>
      <c r="BC115" s="4">
        <f t="shared" si="216"/>
        <v>10</v>
      </c>
      <c r="BD115" s="4">
        <f t="shared" si="216"/>
        <v>6</v>
      </c>
      <c r="BE115" s="4">
        <f t="shared" si="216"/>
        <v>19</v>
      </c>
      <c r="BF115" s="4">
        <f t="shared" si="216"/>
        <v>1</v>
      </c>
      <c r="BG115" s="4">
        <f t="shared" si="216"/>
        <v>1</v>
      </c>
      <c r="BH115" s="4">
        <f t="shared" si="216"/>
        <v>1</v>
      </c>
      <c r="BI115" s="4">
        <f t="shared" si="216"/>
        <v>1</v>
      </c>
      <c r="BJ115" s="4">
        <f t="shared" si="216"/>
        <v>1</v>
      </c>
      <c r="BK115" s="4">
        <f t="shared" si="216"/>
        <v>1</v>
      </c>
      <c r="BL115" s="4">
        <f t="shared" si="216"/>
        <v>1</v>
      </c>
      <c r="BM115" s="4">
        <f t="shared" si="216"/>
        <v>1</v>
      </c>
      <c r="BN115" s="4">
        <f t="shared" si="216"/>
        <v>1</v>
      </c>
      <c r="BO115" s="4">
        <f t="shared" ref="BO115:DZ115" si="217">MAX(BO2:BO101)</f>
        <v>1</v>
      </c>
      <c r="BP115" s="4">
        <f t="shared" si="217"/>
        <v>116</v>
      </c>
      <c r="BQ115" s="4">
        <f t="shared" si="217"/>
        <v>19</v>
      </c>
      <c r="BR115" s="4">
        <f t="shared" si="217"/>
        <v>1</v>
      </c>
      <c r="BS115" s="4">
        <f t="shared" si="217"/>
        <v>11</v>
      </c>
      <c r="BT115" s="4">
        <f t="shared" si="217"/>
        <v>2</v>
      </c>
      <c r="BU115" s="4">
        <f t="shared" si="217"/>
        <v>3</v>
      </c>
      <c r="BV115" s="4">
        <f t="shared" si="217"/>
        <v>1</v>
      </c>
      <c r="BW115" s="4">
        <f t="shared" si="217"/>
        <v>3</v>
      </c>
      <c r="BX115" s="4">
        <f t="shared" si="217"/>
        <v>1</v>
      </c>
      <c r="BY115" s="4">
        <f t="shared" si="217"/>
        <v>1</v>
      </c>
      <c r="BZ115" s="4">
        <f t="shared" si="217"/>
        <v>2</v>
      </c>
      <c r="CA115" s="4">
        <f t="shared" si="217"/>
        <v>1</v>
      </c>
      <c r="CB115" s="4">
        <f t="shared" si="217"/>
        <v>4</v>
      </c>
      <c r="CC115" s="4">
        <f t="shared" si="217"/>
        <v>2</v>
      </c>
      <c r="CD115" s="4">
        <f t="shared" si="217"/>
        <v>2</v>
      </c>
      <c r="CE115" s="4">
        <f t="shared" si="217"/>
        <v>1</v>
      </c>
      <c r="CF115" s="4">
        <f t="shared" si="217"/>
        <v>2</v>
      </c>
      <c r="CG115" s="4">
        <f t="shared" si="217"/>
        <v>2</v>
      </c>
      <c r="CH115" s="4">
        <f t="shared" si="217"/>
        <v>9</v>
      </c>
      <c r="CI115" s="4">
        <f t="shared" si="217"/>
        <v>2</v>
      </c>
      <c r="CJ115" s="4">
        <f t="shared" si="217"/>
        <v>2</v>
      </c>
      <c r="CK115" s="4">
        <f t="shared" si="217"/>
        <v>4</v>
      </c>
      <c r="CL115" s="4">
        <f t="shared" si="217"/>
        <v>1</v>
      </c>
      <c r="CM115" s="4">
        <f t="shared" si="217"/>
        <v>1</v>
      </c>
      <c r="CN115" s="4">
        <f t="shared" si="217"/>
        <v>1</v>
      </c>
      <c r="CO115" s="4">
        <f t="shared" si="217"/>
        <v>1</v>
      </c>
      <c r="CP115" s="4">
        <f t="shared" si="217"/>
        <v>1</v>
      </c>
      <c r="CQ115" s="4">
        <f t="shared" si="217"/>
        <v>1</v>
      </c>
      <c r="CR115" s="4">
        <f t="shared" si="217"/>
        <v>1</v>
      </c>
      <c r="CS115" s="4">
        <f t="shared" si="217"/>
        <v>1</v>
      </c>
      <c r="CT115" s="4">
        <f t="shared" si="217"/>
        <v>1</v>
      </c>
      <c r="CU115" s="4">
        <f t="shared" si="217"/>
        <v>2</v>
      </c>
      <c r="CV115" s="4">
        <f t="shared" si="217"/>
        <v>2</v>
      </c>
      <c r="CW115" s="4">
        <f t="shared" si="217"/>
        <v>1</v>
      </c>
      <c r="CX115" s="4">
        <f t="shared" si="217"/>
        <v>2</v>
      </c>
      <c r="CY115" s="4">
        <f t="shared" si="217"/>
        <v>1</v>
      </c>
      <c r="CZ115" s="4">
        <f t="shared" si="217"/>
        <v>1</v>
      </c>
      <c r="DA115" s="4">
        <f t="shared" si="217"/>
        <v>4</v>
      </c>
      <c r="DB115" s="4">
        <f t="shared" si="217"/>
        <v>1</v>
      </c>
      <c r="DC115" s="4">
        <f t="shared" si="217"/>
        <v>2</v>
      </c>
      <c r="DD115" s="4">
        <f t="shared" si="217"/>
        <v>1</v>
      </c>
      <c r="DE115" s="4">
        <f t="shared" si="217"/>
        <v>1</v>
      </c>
      <c r="DF115" s="4">
        <f t="shared" si="217"/>
        <v>1</v>
      </c>
      <c r="DG115" s="4">
        <f t="shared" si="217"/>
        <v>1</v>
      </c>
      <c r="DH115" s="4">
        <f t="shared" si="217"/>
        <v>1</v>
      </c>
      <c r="DI115" s="4">
        <f t="shared" si="217"/>
        <v>1</v>
      </c>
      <c r="DJ115" s="4">
        <f t="shared" si="217"/>
        <v>1</v>
      </c>
      <c r="DK115" s="4">
        <f t="shared" si="217"/>
        <v>1</v>
      </c>
      <c r="DL115" s="4">
        <f t="shared" si="217"/>
        <v>1</v>
      </c>
      <c r="DM115" s="4">
        <f t="shared" si="217"/>
        <v>1</v>
      </c>
      <c r="DN115" s="4">
        <f t="shared" si="217"/>
        <v>1</v>
      </c>
      <c r="DO115" s="4">
        <f t="shared" si="217"/>
        <v>1</v>
      </c>
      <c r="DP115" s="4">
        <f t="shared" si="217"/>
        <v>1</v>
      </c>
      <c r="DQ115" s="4">
        <f t="shared" si="217"/>
        <v>1</v>
      </c>
      <c r="DR115" s="4">
        <f t="shared" si="217"/>
        <v>1</v>
      </c>
      <c r="DS115" s="4">
        <f t="shared" si="217"/>
        <v>9</v>
      </c>
      <c r="DT115" s="4">
        <f t="shared" si="217"/>
        <v>1</v>
      </c>
      <c r="DU115" s="4">
        <f t="shared" si="217"/>
        <v>1</v>
      </c>
      <c r="DV115" s="4">
        <f t="shared" si="217"/>
        <v>1</v>
      </c>
      <c r="DW115" s="4">
        <f t="shared" si="217"/>
        <v>1</v>
      </c>
      <c r="DX115" s="4">
        <f t="shared" si="217"/>
        <v>1</v>
      </c>
      <c r="DY115" s="4">
        <f t="shared" si="217"/>
        <v>1</v>
      </c>
      <c r="DZ115" s="4">
        <f t="shared" si="217"/>
        <v>1</v>
      </c>
      <c r="EA115" s="4">
        <f t="shared" ref="EA115:GL115" si="218">MAX(EA2:EA101)</f>
        <v>1</v>
      </c>
      <c r="EB115" s="4">
        <f t="shared" si="218"/>
        <v>1</v>
      </c>
      <c r="EC115" s="4">
        <f t="shared" si="218"/>
        <v>1</v>
      </c>
      <c r="ED115" s="4">
        <f t="shared" si="218"/>
        <v>3</v>
      </c>
      <c r="EE115" s="4">
        <f t="shared" si="218"/>
        <v>3</v>
      </c>
      <c r="EF115" s="4">
        <f t="shared" si="218"/>
        <v>1</v>
      </c>
      <c r="EG115" s="4">
        <f t="shared" si="218"/>
        <v>2</v>
      </c>
      <c r="EH115" s="4">
        <f t="shared" si="218"/>
        <v>1</v>
      </c>
      <c r="EI115" s="4">
        <f t="shared" si="218"/>
        <v>24</v>
      </c>
      <c r="EJ115" s="4">
        <f t="shared" si="218"/>
        <v>4</v>
      </c>
      <c r="EK115" s="4">
        <f t="shared" si="218"/>
        <v>1</v>
      </c>
      <c r="EL115" s="4">
        <f t="shared" si="218"/>
        <v>1</v>
      </c>
      <c r="EM115" s="4">
        <f t="shared" si="218"/>
        <v>1</v>
      </c>
      <c r="EN115" s="4">
        <f t="shared" si="218"/>
        <v>1</v>
      </c>
      <c r="EO115" s="4">
        <f t="shared" si="218"/>
        <v>1</v>
      </c>
      <c r="EP115" s="4">
        <f t="shared" si="218"/>
        <v>3</v>
      </c>
      <c r="EQ115" s="4">
        <f t="shared" si="218"/>
        <v>1</v>
      </c>
      <c r="ER115" s="4">
        <f t="shared" si="218"/>
        <v>2</v>
      </c>
      <c r="ES115" s="4">
        <f t="shared" si="218"/>
        <v>1</v>
      </c>
      <c r="ET115" s="4">
        <f t="shared" si="218"/>
        <v>1</v>
      </c>
      <c r="EU115" s="4">
        <f t="shared" si="218"/>
        <v>1</v>
      </c>
      <c r="EV115" s="4">
        <f t="shared" si="218"/>
        <v>1</v>
      </c>
      <c r="EW115" s="4">
        <f t="shared" si="218"/>
        <v>1</v>
      </c>
      <c r="EX115" s="4">
        <f t="shared" si="218"/>
        <v>5</v>
      </c>
      <c r="EY115" s="4">
        <f t="shared" si="218"/>
        <v>3</v>
      </c>
      <c r="EZ115" s="4">
        <f t="shared" si="218"/>
        <v>1</v>
      </c>
      <c r="FA115" s="4">
        <f t="shared" si="218"/>
        <v>1</v>
      </c>
      <c r="FB115" s="4">
        <f t="shared" si="218"/>
        <v>11</v>
      </c>
      <c r="FC115" s="4">
        <f t="shared" si="218"/>
        <v>1</v>
      </c>
      <c r="FD115" s="4">
        <f t="shared" si="218"/>
        <v>2</v>
      </c>
      <c r="FE115" s="4">
        <f t="shared" si="218"/>
        <v>1</v>
      </c>
      <c r="FF115" s="4">
        <f t="shared" si="218"/>
        <v>1</v>
      </c>
      <c r="FG115" s="4">
        <f t="shared" si="218"/>
        <v>1</v>
      </c>
      <c r="FH115" s="4">
        <f t="shared" si="218"/>
        <v>1</v>
      </c>
      <c r="FI115" s="4">
        <f t="shared" si="218"/>
        <v>1</v>
      </c>
      <c r="FJ115" s="4">
        <f t="shared" si="218"/>
        <v>1</v>
      </c>
      <c r="FK115" s="4">
        <f t="shared" si="218"/>
        <v>1</v>
      </c>
      <c r="FL115" s="4">
        <f t="shared" si="218"/>
        <v>1</v>
      </c>
      <c r="FM115" s="4">
        <f t="shared" si="218"/>
        <v>4</v>
      </c>
      <c r="FN115" s="4">
        <f t="shared" si="218"/>
        <v>1</v>
      </c>
      <c r="FO115" s="4">
        <f t="shared" si="218"/>
        <v>48</v>
      </c>
      <c r="FP115" s="4">
        <f t="shared" si="218"/>
        <v>1</v>
      </c>
      <c r="FQ115" s="4">
        <f t="shared" si="218"/>
        <v>1</v>
      </c>
      <c r="FR115" s="4">
        <f t="shared" si="218"/>
        <v>1</v>
      </c>
      <c r="FS115" s="4">
        <f t="shared" si="218"/>
        <v>1</v>
      </c>
      <c r="FT115" s="4">
        <f t="shared" si="218"/>
        <v>4</v>
      </c>
      <c r="FU115" s="4">
        <f t="shared" si="218"/>
        <v>1</v>
      </c>
      <c r="FV115" s="4">
        <f t="shared" si="218"/>
        <v>3</v>
      </c>
      <c r="FW115" s="4">
        <f t="shared" si="218"/>
        <v>1</v>
      </c>
      <c r="FX115" s="4">
        <f t="shared" si="218"/>
        <v>2</v>
      </c>
      <c r="FY115" s="4">
        <f t="shared" si="218"/>
        <v>1</v>
      </c>
      <c r="FZ115" s="4">
        <f t="shared" si="218"/>
        <v>1</v>
      </c>
      <c r="GA115" s="4">
        <f t="shared" si="218"/>
        <v>1</v>
      </c>
      <c r="GB115" s="4">
        <f t="shared" si="218"/>
        <v>1</v>
      </c>
      <c r="GC115" s="4">
        <f t="shared" si="218"/>
        <v>1</v>
      </c>
      <c r="GD115" s="4">
        <f t="shared" si="218"/>
        <v>1</v>
      </c>
      <c r="GE115" s="4">
        <f t="shared" si="218"/>
        <v>1</v>
      </c>
      <c r="GF115" s="4">
        <f t="shared" si="218"/>
        <v>2</v>
      </c>
      <c r="GG115" s="4">
        <f t="shared" si="218"/>
        <v>1</v>
      </c>
      <c r="GH115" s="4">
        <f t="shared" si="218"/>
        <v>1</v>
      </c>
      <c r="GI115" s="4">
        <f t="shared" si="218"/>
        <v>2</v>
      </c>
      <c r="GJ115" s="4">
        <f t="shared" si="218"/>
        <v>1</v>
      </c>
      <c r="GK115" s="4">
        <f t="shared" si="218"/>
        <v>1</v>
      </c>
      <c r="GL115" s="4">
        <f t="shared" si="218"/>
        <v>1</v>
      </c>
      <c r="GM115" s="4">
        <f t="shared" ref="GM115" si="219">MAX(GM2:GM101)</f>
        <v>1</v>
      </c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</row>
    <row r="116" spans="1:222" x14ac:dyDescent="0.3">
      <c r="B116" s="4"/>
      <c r="C116" s="4"/>
      <c r="D116" s="4"/>
      <c r="E116" s="4"/>
      <c r="F116" s="4"/>
      <c r="G116" s="4"/>
      <c r="I116" s="4"/>
      <c r="J116" s="4"/>
      <c r="K116" s="4"/>
      <c r="L116" s="4"/>
      <c r="M116" s="4"/>
      <c r="O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M116" s="4"/>
      <c r="AN116" s="4"/>
      <c r="AO116" s="4"/>
      <c r="AP116" s="4"/>
      <c r="AQ116" s="4"/>
      <c r="AR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M116" s="4"/>
      <c r="CN116" s="4"/>
      <c r="CO116" s="4"/>
      <c r="CP116" s="4"/>
      <c r="CQ116" s="4"/>
      <c r="CR116" s="4"/>
      <c r="CS116" s="4"/>
      <c r="CU116" s="4"/>
      <c r="CV116" s="4"/>
      <c r="CW116" s="4"/>
      <c r="CX116" s="4"/>
      <c r="CY116" s="4"/>
      <c r="CZ116" s="4"/>
      <c r="DA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X116" s="4"/>
      <c r="DY116" s="4"/>
      <c r="DZ116" s="4"/>
      <c r="EA116" s="4"/>
      <c r="EB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</row>
    <row r="117" spans="1:222" x14ac:dyDescent="0.3">
      <c r="A117" s="9" t="s">
        <v>604</v>
      </c>
      <c r="B117" s="4">
        <f>KURT(B2:B101)</f>
        <v>-0.78701898291778871</v>
      </c>
      <c r="C117" s="4">
        <f t="shared" ref="C117:BN117" si="220">KURT(C2:C101)</f>
        <v>2.0631273540056223</v>
      </c>
      <c r="D117" s="4">
        <f t="shared" si="220"/>
        <v>9.9089490896363213</v>
      </c>
      <c r="E117" s="4">
        <f t="shared" si="220"/>
        <v>1.446353517503034</v>
      </c>
      <c r="F117" s="4">
        <f t="shared" si="220"/>
        <v>76.623969894928365</v>
      </c>
      <c r="G117" s="4">
        <f t="shared" si="220"/>
        <v>99.999999999999844</v>
      </c>
      <c r="H117" s="4">
        <f t="shared" si="220"/>
        <v>99.999999999999943</v>
      </c>
      <c r="I117" s="4">
        <f t="shared" si="220"/>
        <v>5.1555729492683131</v>
      </c>
      <c r="J117" s="4">
        <f t="shared" si="220"/>
        <v>13.195480273048478</v>
      </c>
      <c r="K117" s="4">
        <f t="shared" si="220"/>
        <v>25.387808155030868</v>
      </c>
      <c r="L117" s="4">
        <f t="shared" si="220"/>
        <v>99.999999999999702</v>
      </c>
      <c r="M117" s="4">
        <f t="shared" si="220"/>
        <v>99.999999999999488</v>
      </c>
      <c r="N117" s="4">
        <f t="shared" si="220"/>
        <v>99.999999999999915</v>
      </c>
      <c r="O117" s="4">
        <f t="shared" si="220"/>
        <v>16.530766390244956</v>
      </c>
      <c r="P117" s="4">
        <f t="shared" si="220"/>
        <v>99.999999999999829</v>
      </c>
      <c r="Q117" s="4">
        <f t="shared" si="220"/>
        <v>99.999999999999631</v>
      </c>
      <c r="R117" s="4">
        <f t="shared" si="220"/>
        <v>32.127271769595154</v>
      </c>
      <c r="S117" s="4">
        <f t="shared" si="220"/>
        <v>7.5333168491878642</v>
      </c>
      <c r="T117" s="4">
        <f t="shared" si="220"/>
        <v>99.999999999999616</v>
      </c>
      <c r="U117" s="4">
        <f t="shared" si="220"/>
        <v>47.41774260724705</v>
      </c>
      <c r="V117" s="4">
        <f t="shared" si="220"/>
        <v>0.58602569260657766</v>
      </c>
      <c r="W117" s="4">
        <f t="shared" si="220"/>
        <v>99.999999999999488</v>
      </c>
      <c r="X117" s="4">
        <f t="shared" si="220"/>
        <v>99.999999999999574</v>
      </c>
      <c r="Y117" s="4">
        <f t="shared" si="220"/>
        <v>37.634446284881889</v>
      </c>
      <c r="Z117" s="4">
        <f t="shared" si="220"/>
        <v>4.4923805773967924</v>
      </c>
      <c r="AA117" s="4">
        <f t="shared" si="220"/>
        <v>30.181122906321939</v>
      </c>
      <c r="AB117" s="4">
        <f t="shared" si="220"/>
        <v>25.470933732896505</v>
      </c>
      <c r="AC117" s="4">
        <f t="shared" si="220"/>
        <v>81.22397382510465</v>
      </c>
      <c r="AD117" s="4">
        <f t="shared" si="220"/>
        <v>47.41774260724705</v>
      </c>
      <c r="AE117" s="4">
        <f t="shared" si="220"/>
        <v>52.593762221067713</v>
      </c>
      <c r="AF117" s="4">
        <f t="shared" si="220"/>
        <v>51.68616405271532</v>
      </c>
      <c r="AG117" s="4">
        <f t="shared" si="220"/>
        <v>28.062758134005485</v>
      </c>
      <c r="AH117" s="4">
        <f t="shared" si="220"/>
        <v>6.0452894148732721</v>
      </c>
      <c r="AI117" s="4">
        <f t="shared" si="220"/>
        <v>99.99999999999973</v>
      </c>
      <c r="AJ117" s="4">
        <f t="shared" si="220"/>
        <v>99.999999999999829</v>
      </c>
      <c r="AK117" s="4">
        <f t="shared" si="220"/>
        <v>99.999999999999886</v>
      </c>
      <c r="AL117" s="4">
        <f t="shared" si="220"/>
        <v>100.00000000000001</v>
      </c>
      <c r="AM117" s="4">
        <f t="shared" si="220"/>
        <v>66.484293660637121</v>
      </c>
      <c r="AN117" s="4">
        <f t="shared" si="220"/>
        <v>4.304981398667902</v>
      </c>
      <c r="AO117" s="4">
        <f t="shared" si="220"/>
        <v>8.0429179740026555</v>
      </c>
      <c r="AP117" s="4">
        <f t="shared" si="220"/>
        <v>99.999999999999787</v>
      </c>
      <c r="AQ117" s="4">
        <f t="shared" si="220"/>
        <v>8.0429179740026608</v>
      </c>
      <c r="AR117" s="4">
        <f t="shared" si="220"/>
        <v>55.894167737206672</v>
      </c>
      <c r="AS117" s="4">
        <f t="shared" si="220"/>
        <v>99.999999999999801</v>
      </c>
      <c r="AT117" s="4">
        <f t="shared" si="220"/>
        <v>15.585231127771056</v>
      </c>
      <c r="AU117" s="4">
        <f t="shared" si="220"/>
        <v>99.999999999999687</v>
      </c>
      <c r="AV117" s="4">
        <f t="shared" si="220"/>
        <v>99.999999999999687</v>
      </c>
      <c r="AW117" s="4">
        <f t="shared" si="220"/>
        <v>99.999999999999687</v>
      </c>
      <c r="AX117" s="4">
        <f t="shared" si="220"/>
        <v>99.999999999999687</v>
      </c>
      <c r="AY117" s="4">
        <f t="shared" si="220"/>
        <v>99.999999999999488</v>
      </c>
      <c r="AZ117" s="4">
        <f t="shared" si="220"/>
        <v>99.999999999999588</v>
      </c>
      <c r="BA117" s="4">
        <f t="shared" si="220"/>
        <v>99.999999999999801</v>
      </c>
      <c r="BB117" s="4">
        <f t="shared" si="220"/>
        <v>-0.65173238622805219</v>
      </c>
      <c r="BC117" s="4">
        <f t="shared" si="220"/>
        <v>84.018032809155912</v>
      </c>
      <c r="BD117" s="4">
        <f t="shared" si="220"/>
        <v>-2.0277384027997702</v>
      </c>
      <c r="BE117" s="4">
        <f t="shared" si="220"/>
        <v>48.885553857193308</v>
      </c>
      <c r="BF117" s="4">
        <f t="shared" si="220"/>
        <v>1.2060419746087407</v>
      </c>
      <c r="BG117" s="4">
        <f t="shared" si="220"/>
        <v>47.417742607247071</v>
      </c>
      <c r="BH117" s="4">
        <f t="shared" si="220"/>
        <v>99.999999999999645</v>
      </c>
      <c r="BI117" s="4">
        <f t="shared" si="220"/>
        <v>99.999999999999773</v>
      </c>
      <c r="BJ117" s="4">
        <f t="shared" si="220"/>
        <v>15.895777735945131</v>
      </c>
      <c r="BK117" s="4">
        <f t="shared" si="220"/>
        <v>-1.1400790094280546</v>
      </c>
      <c r="BL117" s="4">
        <f t="shared" si="220"/>
        <v>12.401350099153497</v>
      </c>
      <c r="BM117" s="4">
        <f t="shared" si="220"/>
        <v>99.999999999999886</v>
      </c>
      <c r="BN117" s="4">
        <f t="shared" si="220"/>
        <v>9.9089490896362715</v>
      </c>
      <c r="BO117" s="4">
        <f t="shared" ref="BO117:DZ117" si="221">KURT(BO2:BO101)</f>
        <v>99.999999999999517</v>
      </c>
      <c r="BP117" s="4">
        <f t="shared" si="221"/>
        <v>29.508538302626285</v>
      </c>
      <c r="BQ117" s="4">
        <f t="shared" si="221"/>
        <v>1.5745536891200729E-3</v>
      </c>
      <c r="BR117" s="4">
        <f t="shared" si="221"/>
        <v>12.401350099153627</v>
      </c>
      <c r="BS117" s="4">
        <f t="shared" si="221"/>
        <v>98.318370717672764</v>
      </c>
      <c r="BT117" s="4">
        <f t="shared" si="221"/>
        <v>-1.0133322060461283</v>
      </c>
      <c r="BU117" s="4">
        <f t="shared" si="221"/>
        <v>2.1433559222655734</v>
      </c>
      <c r="BV117" s="4">
        <f t="shared" si="221"/>
        <v>99.999999999999901</v>
      </c>
      <c r="BW117" s="4">
        <f t="shared" si="221"/>
        <v>18.568973570934872</v>
      </c>
      <c r="BX117" s="4">
        <f t="shared" si="221"/>
        <v>99.999999999999858</v>
      </c>
      <c r="BY117" s="4">
        <f t="shared" si="221"/>
        <v>47.417742607247</v>
      </c>
      <c r="BZ117" s="4">
        <f t="shared" si="221"/>
        <v>0.63475269903824616</v>
      </c>
      <c r="CA117" s="4">
        <f t="shared" si="221"/>
        <v>99.999999999999901</v>
      </c>
      <c r="CB117" s="4">
        <f t="shared" si="221"/>
        <v>11.086577798801329</v>
      </c>
      <c r="CC117" s="4">
        <f t="shared" si="221"/>
        <v>18.3881217343889</v>
      </c>
      <c r="CD117" s="4">
        <f t="shared" si="221"/>
        <v>99.999999999999531</v>
      </c>
      <c r="CE117" s="4">
        <f t="shared" si="221"/>
        <v>99.999999999999488</v>
      </c>
      <c r="CF117" s="4">
        <f t="shared" si="221"/>
        <v>9.2471720801415138</v>
      </c>
      <c r="CG117" s="4">
        <f t="shared" si="221"/>
        <v>66.484293660636979</v>
      </c>
      <c r="CH117" s="4">
        <f t="shared" si="221"/>
        <v>16.327228735917863</v>
      </c>
      <c r="CI117" s="4">
        <f t="shared" si="221"/>
        <v>1.8297131983781143</v>
      </c>
      <c r="CJ117" s="4">
        <f t="shared" si="221"/>
        <v>47.417742607247092</v>
      </c>
      <c r="CK117" s="4">
        <f t="shared" si="221"/>
        <v>99.999999999999545</v>
      </c>
      <c r="CL117" s="4">
        <f t="shared" si="221"/>
        <v>99.999999999999915</v>
      </c>
      <c r="CM117" s="4">
        <f t="shared" si="221"/>
        <v>21.14355407111313</v>
      </c>
      <c r="CN117" s="4">
        <f t="shared" si="221"/>
        <v>21.143554071113073</v>
      </c>
      <c r="CO117" s="4">
        <f t="shared" si="221"/>
        <v>99.999999999999645</v>
      </c>
      <c r="CP117" s="4">
        <f t="shared" si="221"/>
        <v>9.9089490896363213</v>
      </c>
      <c r="CQ117" s="4">
        <f t="shared" si="221"/>
        <v>47.417742607247071</v>
      </c>
      <c r="CR117" s="4">
        <f t="shared" si="221"/>
        <v>47.41774260724705</v>
      </c>
      <c r="CS117" s="4">
        <f t="shared" si="221"/>
        <v>99.999999999999645</v>
      </c>
      <c r="CT117" s="4">
        <f t="shared" si="221"/>
        <v>99.999999999999858</v>
      </c>
      <c r="CU117" s="4">
        <f t="shared" si="221"/>
        <v>-1.1602481259661575</v>
      </c>
      <c r="CV117" s="4">
        <f t="shared" si="221"/>
        <v>-1.0466436228604867</v>
      </c>
      <c r="CW117" s="4">
        <f t="shared" si="221"/>
        <v>47.417742607247014</v>
      </c>
      <c r="CX117" s="4">
        <f t="shared" si="221"/>
        <v>6.3319321554219421</v>
      </c>
      <c r="CY117" s="4">
        <f t="shared" si="221"/>
        <v>47.417742607247071</v>
      </c>
      <c r="CZ117" s="4">
        <f t="shared" si="221"/>
        <v>29.897774818291687</v>
      </c>
      <c r="DA117" s="4">
        <f t="shared" si="221"/>
        <v>9.1057652968575127</v>
      </c>
      <c r="DB117" s="4">
        <f t="shared" si="221"/>
        <v>99.999999999999915</v>
      </c>
      <c r="DC117" s="4">
        <f t="shared" si="221"/>
        <v>66.484293660637135</v>
      </c>
      <c r="DD117" s="4">
        <f t="shared" si="221"/>
        <v>99.999999999999517</v>
      </c>
      <c r="DE117" s="4">
        <f t="shared" si="221"/>
        <v>47.417742607247071</v>
      </c>
      <c r="DF117" s="4">
        <f t="shared" si="221"/>
        <v>29.897774818291623</v>
      </c>
      <c r="DG117" s="4">
        <f t="shared" si="221"/>
        <v>21.143554071113112</v>
      </c>
      <c r="DH117" s="4">
        <f t="shared" si="221"/>
        <v>1.5776689910131716</v>
      </c>
      <c r="DI117" s="4">
        <f t="shared" si="221"/>
        <v>15.89577773594495</v>
      </c>
      <c r="DJ117" s="4">
        <f t="shared" si="221"/>
        <v>99.999999999999886</v>
      </c>
      <c r="DK117" s="4">
        <f t="shared" si="221"/>
        <v>99.999999999999574</v>
      </c>
      <c r="DL117" s="4">
        <f t="shared" si="221"/>
        <v>99.999999999999844</v>
      </c>
      <c r="DM117" s="4">
        <f t="shared" si="221"/>
        <v>0.58602569260658433</v>
      </c>
      <c r="DN117" s="4">
        <f t="shared" si="221"/>
        <v>12.401350099153536</v>
      </c>
      <c r="DO117" s="4">
        <f t="shared" si="221"/>
        <v>99.999999999999702</v>
      </c>
      <c r="DP117" s="4">
        <f t="shared" si="221"/>
        <v>99.999999999999702</v>
      </c>
      <c r="DQ117" s="4">
        <f t="shared" si="221"/>
        <v>99.999999999999673</v>
      </c>
      <c r="DR117" s="4">
        <f t="shared" si="221"/>
        <v>99.999999999999886</v>
      </c>
      <c r="DS117" s="4">
        <f t="shared" si="221"/>
        <v>1.4375661832214814</v>
      </c>
      <c r="DT117" s="4">
        <f t="shared" si="221"/>
        <v>29.897774818291694</v>
      </c>
      <c r="DU117" s="4">
        <f t="shared" si="221"/>
        <v>99.999999999999517</v>
      </c>
      <c r="DV117" s="4">
        <f t="shared" si="221"/>
        <v>99.999999999999588</v>
      </c>
      <c r="DW117" s="4">
        <f t="shared" si="221"/>
        <v>99.999999999999915</v>
      </c>
      <c r="DX117" s="4">
        <f t="shared" si="221"/>
        <v>47.417742607247028</v>
      </c>
      <c r="DY117" s="4">
        <f t="shared" si="221"/>
        <v>4.4955640080658306</v>
      </c>
      <c r="DZ117" s="4">
        <f t="shared" si="221"/>
        <v>99.999999999999588</v>
      </c>
      <c r="EA117" s="4">
        <f t="shared" ref="EA117:GL117" si="222">KURT(EA2:EA101)</f>
        <v>47.417742607247071</v>
      </c>
      <c r="EB117" s="4">
        <f t="shared" si="222"/>
        <v>99.999999999999886</v>
      </c>
      <c r="EC117" s="4">
        <f t="shared" si="222"/>
        <v>47.417742607247</v>
      </c>
      <c r="ED117" s="4">
        <f t="shared" si="222"/>
        <v>0.5114398392385433</v>
      </c>
      <c r="EE117" s="4">
        <f t="shared" si="222"/>
        <v>99.999999999999957</v>
      </c>
      <c r="EF117" s="4">
        <f t="shared" si="222"/>
        <v>99.999999999999488</v>
      </c>
      <c r="EG117" s="4">
        <f t="shared" si="222"/>
        <v>9.2570034459139716</v>
      </c>
      <c r="EH117" s="4">
        <f t="shared" si="222"/>
        <v>99.999999999999744</v>
      </c>
      <c r="EI117" s="4">
        <f t="shared" si="222"/>
        <v>56.920977565618649</v>
      </c>
      <c r="EJ117" s="4">
        <f t="shared" si="222"/>
        <v>34.785994540521045</v>
      </c>
      <c r="EK117" s="4">
        <f t="shared" si="222"/>
        <v>99.999999999999673</v>
      </c>
      <c r="EL117" s="4">
        <f t="shared" si="222"/>
        <v>47.417742607247071</v>
      </c>
      <c r="EM117" s="4">
        <f t="shared" si="222"/>
        <v>99.999999999999531</v>
      </c>
      <c r="EN117" s="4">
        <f t="shared" si="222"/>
        <v>21.143554071113023</v>
      </c>
      <c r="EO117" s="4">
        <f t="shared" si="222"/>
        <v>47.41774260724705</v>
      </c>
      <c r="EP117" s="4">
        <f t="shared" si="222"/>
        <v>1.6989476980361036</v>
      </c>
      <c r="EQ117" s="4">
        <f t="shared" si="222"/>
        <v>99.999999999999545</v>
      </c>
      <c r="ER117" s="4">
        <f t="shared" si="222"/>
        <v>0.5781371024854618</v>
      </c>
      <c r="ES117" s="4">
        <f t="shared" si="222"/>
        <v>99.999999999999517</v>
      </c>
      <c r="ET117" s="4">
        <f t="shared" si="222"/>
        <v>47.417742607247071</v>
      </c>
      <c r="EU117" s="4">
        <f t="shared" si="222"/>
        <v>99.999999999999702</v>
      </c>
      <c r="EV117" s="4">
        <f t="shared" si="222"/>
        <v>99.999999999999886</v>
      </c>
      <c r="EW117" s="4">
        <f t="shared" si="222"/>
        <v>-1.9987376393856497</v>
      </c>
      <c r="EX117" s="4">
        <f t="shared" si="222"/>
        <v>-1.2538853193934196</v>
      </c>
      <c r="EY117" s="4">
        <f t="shared" si="222"/>
        <v>41.408323981971414</v>
      </c>
      <c r="EZ117" s="4">
        <f t="shared" si="222"/>
        <v>99.999999999999673</v>
      </c>
      <c r="FA117" s="4">
        <f t="shared" si="222"/>
        <v>29.897774818291666</v>
      </c>
      <c r="FB117" s="4">
        <f t="shared" si="222"/>
        <v>7.8597472423186598E-2</v>
      </c>
      <c r="FC117" s="4">
        <f t="shared" si="222"/>
        <v>99.999999999999645</v>
      </c>
      <c r="FD117" s="4">
        <f t="shared" si="222"/>
        <v>-1.4961849796930675</v>
      </c>
      <c r="FE117" s="4">
        <f t="shared" si="222"/>
        <v>99.999999999999574</v>
      </c>
      <c r="FF117" s="4">
        <f t="shared" si="222"/>
        <v>47.41774260724705</v>
      </c>
      <c r="FG117" s="4">
        <f t="shared" si="222"/>
        <v>29.897774818291801</v>
      </c>
      <c r="FH117" s="4">
        <f t="shared" si="222"/>
        <v>-1.9571224873499951</v>
      </c>
      <c r="FI117" s="4">
        <f t="shared" si="222"/>
        <v>99.999999999999517</v>
      </c>
      <c r="FJ117" s="4">
        <f t="shared" si="222"/>
        <v>29.897774818291637</v>
      </c>
      <c r="FK117" s="4">
        <f t="shared" si="222"/>
        <v>12.401350099153523</v>
      </c>
      <c r="FL117" s="4">
        <f t="shared" si="222"/>
        <v>47.417742607247071</v>
      </c>
      <c r="FM117" s="4">
        <f t="shared" si="222"/>
        <v>36.401128969674915</v>
      </c>
      <c r="FN117" s="4">
        <f t="shared" si="222"/>
        <v>99.999999999999886</v>
      </c>
      <c r="FO117" s="4">
        <f t="shared" si="222"/>
        <v>13.851237323228535</v>
      </c>
      <c r="FP117" s="4">
        <f t="shared" si="222"/>
        <v>99.999999999999545</v>
      </c>
      <c r="FQ117" s="4">
        <f t="shared" si="222"/>
        <v>47.417742607247092</v>
      </c>
      <c r="FR117" s="4">
        <f t="shared" si="222"/>
        <v>99.999999999999545</v>
      </c>
      <c r="FS117" s="4">
        <f t="shared" si="222"/>
        <v>99.999999999999702</v>
      </c>
      <c r="FT117" s="4">
        <f t="shared" si="222"/>
        <v>11.781837432107658</v>
      </c>
      <c r="FU117" s="4">
        <f t="shared" si="222"/>
        <v>99.999999999999574</v>
      </c>
      <c r="FV117" s="4">
        <f t="shared" si="222"/>
        <v>4.6408503568046271</v>
      </c>
      <c r="FW117" s="4">
        <f t="shared" si="222"/>
        <v>29.897774818291616</v>
      </c>
      <c r="FX117" s="4">
        <f t="shared" si="222"/>
        <v>22.495197695842048</v>
      </c>
      <c r="FY117" s="4">
        <f t="shared" si="222"/>
        <v>47.417742607247071</v>
      </c>
      <c r="FZ117" s="4">
        <f t="shared" si="222"/>
        <v>99.999999999999531</v>
      </c>
      <c r="GA117" s="4">
        <f t="shared" si="222"/>
        <v>-1.8659267830843702</v>
      </c>
      <c r="GB117" s="4">
        <f t="shared" si="222"/>
        <v>-1.0311156863334414</v>
      </c>
      <c r="GC117" s="4" t="e">
        <f t="shared" si="222"/>
        <v>#DIV/0!</v>
      </c>
      <c r="GD117" s="4">
        <f t="shared" si="222"/>
        <v>99.999999999999545</v>
      </c>
      <c r="GE117" s="4">
        <f t="shared" si="222"/>
        <v>-1.0311156863334396</v>
      </c>
      <c r="GF117" s="4">
        <f t="shared" si="222"/>
        <v>22.728229061071566</v>
      </c>
      <c r="GG117" s="4">
        <f t="shared" si="222"/>
        <v>3.0515977344477894</v>
      </c>
      <c r="GH117" s="4" t="e">
        <f t="shared" si="222"/>
        <v>#DIV/0!</v>
      </c>
      <c r="GI117" s="4">
        <f t="shared" si="222"/>
        <v>10.99665708207681</v>
      </c>
      <c r="GJ117" s="4">
        <f t="shared" si="222"/>
        <v>47.417742607246993</v>
      </c>
      <c r="GK117" s="4">
        <f t="shared" si="222"/>
        <v>99.999999999999588</v>
      </c>
      <c r="GL117" s="4">
        <f t="shared" si="222"/>
        <v>99.999999999999531</v>
      </c>
      <c r="GM117" s="4">
        <f t="shared" ref="GM117" si="223">KURT(GM2:GM101)</f>
        <v>29.89777481829158</v>
      </c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</row>
    <row r="118" spans="1:222" x14ac:dyDescent="0.3">
      <c r="A118" s="9" t="s">
        <v>605</v>
      </c>
      <c r="B118" s="4">
        <f>SKEW(B2:B101)</f>
        <v>6.6972226596962114E-2</v>
      </c>
      <c r="C118" s="4">
        <f t="shared" ref="C118:BN118" si="224">SKEW(C2:C101)</f>
        <v>1.7060713887810517</v>
      </c>
      <c r="D118" s="4">
        <f t="shared" si="224"/>
        <v>3.4221534427375886</v>
      </c>
      <c r="E118" s="4">
        <f t="shared" si="224"/>
        <v>0.36578588429418279</v>
      </c>
      <c r="F118" s="4">
        <f t="shared" si="224"/>
        <v>8.2915568998961202</v>
      </c>
      <c r="G118" s="4">
        <f t="shared" si="224"/>
        <v>10.000000000000014</v>
      </c>
      <c r="H118" s="4">
        <f t="shared" si="224"/>
        <v>10.000000000000002</v>
      </c>
      <c r="I118" s="4">
        <f t="shared" si="224"/>
        <v>1.9873306608417742</v>
      </c>
      <c r="J118" s="4">
        <f t="shared" si="224"/>
        <v>2.5143311040247545</v>
      </c>
      <c r="K118" s="4">
        <f t="shared" si="224"/>
        <v>5.1257982525130812</v>
      </c>
      <c r="L118" s="4">
        <f t="shared" si="224"/>
        <v>10.000000000000025</v>
      </c>
      <c r="M118" s="4">
        <f t="shared" si="224"/>
        <v>10.000000000000041</v>
      </c>
      <c r="N118" s="4">
        <f t="shared" si="224"/>
        <v>9.9999999999999964</v>
      </c>
      <c r="O118" s="4">
        <f t="shared" si="224"/>
        <v>3.6480500598649885</v>
      </c>
      <c r="P118" s="4">
        <f t="shared" si="224"/>
        <v>10.000000000000005</v>
      </c>
      <c r="Q118" s="4">
        <f t="shared" si="224"/>
        <v>10.000000000000028</v>
      </c>
      <c r="R118" s="4">
        <f t="shared" si="224"/>
        <v>5.3857005210569948</v>
      </c>
      <c r="S118" s="4">
        <f t="shared" si="224"/>
        <v>2.7307567440452205</v>
      </c>
      <c r="T118" s="4">
        <f t="shared" si="224"/>
        <v>10.000000000000028</v>
      </c>
      <c r="U118" s="4">
        <f t="shared" si="224"/>
        <v>6.9620112217373009</v>
      </c>
      <c r="V118" s="4">
        <f t="shared" si="224"/>
        <v>1.6045893345464766</v>
      </c>
      <c r="W118" s="4">
        <f t="shared" si="224"/>
        <v>10.000000000000041</v>
      </c>
      <c r="X118" s="4">
        <f t="shared" si="224"/>
        <v>10.000000000000028</v>
      </c>
      <c r="Y118" s="4">
        <f t="shared" si="224"/>
        <v>5.5102823152650195</v>
      </c>
      <c r="Z118" s="4">
        <f t="shared" si="224"/>
        <v>2.2545688480807438</v>
      </c>
      <c r="AA118" s="4">
        <f t="shared" si="224"/>
        <v>5.2115506065948587</v>
      </c>
      <c r="AB118" s="4">
        <f t="shared" si="224"/>
        <v>4.9937314425824857</v>
      </c>
      <c r="AC118" s="4">
        <f t="shared" si="224"/>
        <v>8.8194406639795382</v>
      </c>
      <c r="AD118" s="4">
        <f t="shared" si="224"/>
        <v>6.9620112217373071</v>
      </c>
      <c r="AE118" s="4">
        <f t="shared" si="224"/>
        <v>7.0313482195951407</v>
      </c>
      <c r="AF118" s="4">
        <f t="shared" si="224"/>
        <v>6.496572542340501</v>
      </c>
      <c r="AG118" s="4">
        <f t="shared" si="224"/>
        <v>5.097866250703416</v>
      </c>
      <c r="AH118" s="4">
        <f t="shared" si="224"/>
        <v>2.2139580305902427</v>
      </c>
      <c r="AI118" s="4">
        <f t="shared" si="224"/>
        <v>10.000000000000025</v>
      </c>
      <c r="AJ118" s="4">
        <f t="shared" si="224"/>
        <v>10.000000000000014</v>
      </c>
      <c r="AK118" s="4">
        <f t="shared" si="224"/>
        <v>10.000000000000004</v>
      </c>
      <c r="AL118" s="4">
        <f t="shared" si="224"/>
        <v>10.000000000000007</v>
      </c>
      <c r="AM118" s="4">
        <f t="shared" si="224"/>
        <v>7.9837991506351926</v>
      </c>
      <c r="AN118" s="4">
        <f t="shared" si="224"/>
        <v>1.0450208576508964</v>
      </c>
      <c r="AO118" s="4">
        <f t="shared" si="224"/>
        <v>3.1436334444974352</v>
      </c>
      <c r="AP118" s="4">
        <f t="shared" si="224"/>
        <v>10.000000000000016</v>
      </c>
      <c r="AQ118" s="4">
        <f t="shared" si="224"/>
        <v>3.1436334444974379</v>
      </c>
      <c r="AR118" s="4">
        <f t="shared" si="224"/>
        <v>6.7393878509582628</v>
      </c>
      <c r="AS118" s="4">
        <f t="shared" si="224"/>
        <v>10.000000000000005</v>
      </c>
      <c r="AT118" s="4">
        <f t="shared" si="224"/>
        <v>3.8989619618854978</v>
      </c>
      <c r="AU118" s="4">
        <f t="shared" si="224"/>
        <v>10.000000000000025</v>
      </c>
      <c r="AV118" s="4">
        <f t="shared" si="224"/>
        <v>10.000000000000025</v>
      </c>
      <c r="AW118" s="4">
        <f t="shared" si="224"/>
        <v>10.000000000000025</v>
      </c>
      <c r="AX118" s="4">
        <f t="shared" si="224"/>
        <v>10.000000000000025</v>
      </c>
      <c r="AY118" s="4">
        <f t="shared" si="224"/>
        <v>10.000000000000041</v>
      </c>
      <c r="AZ118" s="4">
        <f t="shared" si="224"/>
        <v>10.000000000000039</v>
      </c>
      <c r="BA118" s="4">
        <f t="shared" si="224"/>
        <v>10.000000000000014</v>
      </c>
      <c r="BB118" s="4">
        <f t="shared" si="224"/>
        <v>-0.33167254854539885</v>
      </c>
      <c r="BC118" s="4">
        <f t="shared" si="224"/>
        <v>8.9165196287636608</v>
      </c>
      <c r="BD118" s="4">
        <f t="shared" si="224"/>
        <v>-7.0775785061499258E-2</v>
      </c>
      <c r="BE118" s="4">
        <f t="shared" si="224"/>
        <v>6.0147761106970759</v>
      </c>
      <c r="BF118" s="4">
        <f t="shared" si="224"/>
        <v>1.7839059345380048</v>
      </c>
      <c r="BG118" s="4">
        <f t="shared" si="224"/>
        <v>6.9620112217372956</v>
      </c>
      <c r="BH118" s="4">
        <f t="shared" si="224"/>
        <v>10.000000000000027</v>
      </c>
      <c r="BI118" s="4">
        <f t="shared" si="224"/>
        <v>10.000000000000016</v>
      </c>
      <c r="BJ118" s="4">
        <f t="shared" si="224"/>
        <v>4.1926366483311064</v>
      </c>
      <c r="BK118" s="4">
        <f t="shared" si="224"/>
        <v>0.93975065848126216</v>
      </c>
      <c r="BL118" s="4">
        <f t="shared" si="224"/>
        <v>3.7621373051266498</v>
      </c>
      <c r="BM118" s="4">
        <f t="shared" si="224"/>
        <v>10.000000000000004</v>
      </c>
      <c r="BN118" s="4">
        <f t="shared" si="224"/>
        <v>3.4221534427375766</v>
      </c>
      <c r="BO118" s="4">
        <f t="shared" ref="BO118:DZ118" si="225">SKEW(BO2:BO101)</f>
        <v>10.000000000000041</v>
      </c>
      <c r="BP118" s="4">
        <f t="shared" si="225"/>
        <v>4.6219657121883051</v>
      </c>
      <c r="BQ118" s="4">
        <f t="shared" si="225"/>
        <v>0.90451418711740683</v>
      </c>
      <c r="BR118" s="4">
        <f t="shared" si="225"/>
        <v>3.762137305126668</v>
      </c>
      <c r="BS118" s="4">
        <f t="shared" si="225"/>
        <v>9.8820263587804966</v>
      </c>
      <c r="BT118" s="4">
        <f t="shared" si="225"/>
        <v>-0.56258614699308107</v>
      </c>
      <c r="BU118" s="4">
        <f t="shared" si="225"/>
        <v>0.92669991930746443</v>
      </c>
      <c r="BV118" s="4">
        <f t="shared" si="225"/>
        <v>10.000000000000012</v>
      </c>
      <c r="BW118" s="4">
        <f t="shared" si="225"/>
        <v>4.155411688934068</v>
      </c>
      <c r="BX118" s="4">
        <f t="shared" si="225"/>
        <v>10.000000000000014</v>
      </c>
      <c r="BY118" s="4">
        <f t="shared" si="225"/>
        <v>6.9620112217372885</v>
      </c>
      <c r="BZ118" s="4">
        <f t="shared" si="225"/>
        <v>-1.1762902243511475</v>
      </c>
      <c r="CA118" s="4">
        <f t="shared" si="225"/>
        <v>10.000000000000012</v>
      </c>
      <c r="CB118" s="4">
        <f t="shared" si="225"/>
        <v>2.8195583822977155</v>
      </c>
      <c r="CC118" s="4">
        <f t="shared" si="225"/>
        <v>4.1490883923692348</v>
      </c>
      <c r="CD118" s="4">
        <f t="shared" si="225"/>
        <v>10.00000000000003</v>
      </c>
      <c r="CE118" s="4">
        <f t="shared" si="225"/>
        <v>10.000000000000041</v>
      </c>
      <c r="CF118" s="4">
        <f t="shared" si="225"/>
        <v>3.0348800153305246</v>
      </c>
      <c r="CG118" s="4">
        <f t="shared" si="225"/>
        <v>7.9837991506351811</v>
      </c>
      <c r="CH118" s="4">
        <f t="shared" si="225"/>
        <v>3.782605848647882</v>
      </c>
      <c r="CI118" s="4">
        <f t="shared" si="225"/>
        <v>1.6416496152782341</v>
      </c>
      <c r="CJ118" s="4">
        <f t="shared" si="225"/>
        <v>6.9620112217373027</v>
      </c>
      <c r="CK118" s="4">
        <f t="shared" si="225"/>
        <v>10.000000000000039</v>
      </c>
      <c r="CL118" s="4">
        <f t="shared" si="225"/>
        <v>9.9999999999999964</v>
      </c>
      <c r="CM118" s="4">
        <f t="shared" si="225"/>
        <v>4.7666551863935478</v>
      </c>
      <c r="CN118" s="4">
        <f t="shared" si="225"/>
        <v>4.7666551863935496</v>
      </c>
      <c r="CO118" s="4">
        <f t="shared" si="225"/>
        <v>10.000000000000027</v>
      </c>
      <c r="CP118" s="4">
        <f t="shared" si="225"/>
        <v>3.4221534427375899</v>
      </c>
      <c r="CQ118" s="4">
        <f t="shared" si="225"/>
        <v>6.9620112217373169</v>
      </c>
      <c r="CR118" s="4">
        <f t="shared" si="225"/>
        <v>6.9620112217373027</v>
      </c>
      <c r="CS118" s="4">
        <f t="shared" si="225"/>
        <v>10.000000000000027</v>
      </c>
      <c r="CT118" s="4">
        <f t="shared" si="225"/>
        <v>10.000000000000004</v>
      </c>
      <c r="CU118" s="4">
        <f t="shared" si="225"/>
        <v>0.15389290584010293</v>
      </c>
      <c r="CV118" s="4">
        <f t="shared" si="225"/>
        <v>-0.15388833407174163</v>
      </c>
      <c r="CW118" s="4">
        <f t="shared" si="225"/>
        <v>6.9620112217373089</v>
      </c>
      <c r="CX118" s="4">
        <f t="shared" si="225"/>
        <v>2.7758625598090214</v>
      </c>
      <c r="CY118" s="4">
        <f t="shared" si="225"/>
        <v>6.9620112217372876</v>
      </c>
      <c r="CZ118" s="4">
        <f t="shared" si="225"/>
        <v>5.5946494635921225</v>
      </c>
      <c r="DA118" s="4">
        <f t="shared" si="225"/>
        <v>2.7981331090364541</v>
      </c>
      <c r="DB118" s="4">
        <f t="shared" si="225"/>
        <v>9.9999999999999947</v>
      </c>
      <c r="DC118" s="4">
        <f t="shared" si="225"/>
        <v>7.983799150635198</v>
      </c>
      <c r="DD118" s="4">
        <f t="shared" si="225"/>
        <v>10.000000000000041</v>
      </c>
      <c r="DE118" s="4">
        <f t="shared" si="225"/>
        <v>6.9620112217373347</v>
      </c>
      <c r="DF118" s="4">
        <f t="shared" si="225"/>
        <v>5.5946494635921109</v>
      </c>
      <c r="DG118" s="4">
        <f t="shared" si="225"/>
        <v>4.7666551863935505</v>
      </c>
      <c r="DH118" s="4">
        <f t="shared" si="225"/>
        <v>1.883218882002194</v>
      </c>
      <c r="DI118" s="4">
        <f t="shared" si="225"/>
        <v>4.1926366483310895</v>
      </c>
      <c r="DJ118" s="4">
        <f t="shared" si="225"/>
        <v>10.000000000000012</v>
      </c>
      <c r="DK118" s="4">
        <f t="shared" si="225"/>
        <v>10.000000000000039</v>
      </c>
      <c r="DL118" s="4">
        <f t="shared" si="225"/>
        <v>10.000000000000014</v>
      </c>
      <c r="DM118" s="4">
        <f t="shared" si="225"/>
        <v>1.6045893345464792</v>
      </c>
      <c r="DN118" s="4">
        <f t="shared" si="225"/>
        <v>3.7621373051266556</v>
      </c>
      <c r="DO118" s="4">
        <f t="shared" si="225"/>
        <v>10.000000000000025</v>
      </c>
      <c r="DP118" s="4">
        <f t="shared" si="225"/>
        <v>10.000000000000025</v>
      </c>
      <c r="DQ118" s="4">
        <f t="shared" si="225"/>
        <v>10.000000000000025</v>
      </c>
      <c r="DR118" s="4">
        <f t="shared" si="225"/>
        <v>10.000000000000012</v>
      </c>
      <c r="DS118" s="4">
        <f t="shared" si="225"/>
        <v>1.3899490831802246</v>
      </c>
      <c r="DT118" s="4">
        <f t="shared" si="225"/>
        <v>5.5946494635921296</v>
      </c>
      <c r="DU118" s="4">
        <f t="shared" si="225"/>
        <v>10.000000000000039</v>
      </c>
      <c r="DV118" s="4">
        <f t="shared" si="225"/>
        <v>10.000000000000037</v>
      </c>
      <c r="DW118" s="4">
        <f t="shared" si="225"/>
        <v>10.000000000000002</v>
      </c>
      <c r="DX118" s="4">
        <f t="shared" si="225"/>
        <v>6.9620112217372911</v>
      </c>
      <c r="DY118" s="4">
        <f t="shared" si="225"/>
        <v>2.5310153461376346</v>
      </c>
      <c r="DZ118" s="4">
        <f t="shared" si="225"/>
        <v>10.000000000000028</v>
      </c>
      <c r="EA118" s="4">
        <f t="shared" ref="EA118:GL118" si="226">SKEW(EA2:EA101)</f>
        <v>6.9620112217373196</v>
      </c>
      <c r="EB118" s="4">
        <f t="shared" si="226"/>
        <v>10.000000000000012</v>
      </c>
      <c r="EC118" s="4">
        <f t="shared" si="226"/>
        <v>6.9620112217372867</v>
      </c>
      <c r="ED118" s="4">
        <f t="shared" si="226"/>
        <v>0.6236268043463622</v>
      </c>
      <c r="EE118" s="4">
        <f t="shared" si="226"/>
        <v>10.000000000000055</v>
      </c>
      <c r="EF118" s="4">
        <f t="shared" si="226"/>
        <v>10.000000000000041</v>
      </c>
      <c r="EG118" s="4">
        <f t="shared" si="226"/>
        <v>3.1499407933824362</v>
      </c>
      <c r="EH118" s="4">
        <f t="shared" si="226"/>
        <v>10.000000000000018</v>
      </c>
      <c r="EI118" s="4">
        <f t="shared" si="226"/>
        <v>7.2749811077893067</v>
      </c>
      <c r="EJ118" s="4">
        <f t="shared" si="226"/>
        <v>5.5085476393625292</v>
      </c>
      <c r="EK118" s="4">
        <f t="shared" si="226"/>
        <v>10.000000000000027</v>
      </c>
      <c r="EL118" s="4">
        <f t="shared" si="226"/>
        <v>6.9620112217373231</v>
      </c>
      <c r="EM118" s="4">
        <f t="shared" si="226"/>
        <v>10.00000000000003</v>
      </c>
      <c r="EN118" s="4">
        <f t="shared" si="226"/>
        <v>4.7666551863935478</v>
      </c>
      <c r="EO118" s="4">
        <f t="shared" si="226"/>
        <v>6.9620112217373284</v>
      </c>
      <c r="EP118" s="4">
        <f t="shared" si="226"/>
        <v>0.76600028971631828</v>
      </c>
      <c r="EQ118" s="4">
        <f t="shared" si="226"/>
        <v>10.00000000000003</v>
      </c>
      <c r="ER118" s="4">
        <f t="shared" si="226"/>
        <v>1.3496285987148109</v>
      </c>
      <c r="ES118" s="4">
        <f t="shared" si="226"/>
        <v>10.000000000000039</v>
      </c>
      <c r="ET118" s="4">
        <f t="shared" si="226"/>
        <v>6.9620112217372956</v>
      </c>
      <c r="EU118" s="4">
        <f t="shared" si="226"/>
        <v>10.000000000000025</v>
      </c>
      <c r="EV118" s="4">
        <f t="shared" si="226"/>
        <v>10.000000000000012</v>
      </c>
      <c r="EW118" s="4">
        <f t="shared" si="226"/>
        <v>-0.20408163265306142</v>
      </c>
      <c r="EX118" s="4">
        <f t="shared" si="226"/>
        <v>0.30174055741510514</v>
      </c>
      <c r="EY118" s="4">
        <f t="shared" si="226"/>
        <v>6.2305777703770637</v>
      </c>
      <c r="EZ118" s="4">
        <f t="shared" si="226"/>
        <v>10.000000000000027</v>
      </c>
      <c r="FA118" s="4">
        <f t="shared" si="226"/>
        <v>5.5946494635921216</v>
      </c>
      <c r="FB118" s="4">
        <f t="shared" si="226"/>
        <v>8.9122810211358316E-2</v>
      </c>
      <c r="FC118" s="4">
        <f t="shared" si="226"/>
        <v>10.000000000000027</v>
      </c>
      <c r="FD118" s="4">
        <f t="shared" si="226"/>
        <v>0.13647056645715849</v>
      </c>
      <c r="FE118" s="4">
        <f t="shared" si="226"/>
        <v>10.000000000000039</v>
      </c>
      <c r="FF118" s="4">
        <f t="shared" si="226"/>
        <v>6.9620112217372982</v>
      </c>
      <c r="FG118" s="4">
        <f t="shared" si="226"/>
        <v>5.5946494635921331</v>
      </c>
      <c r="FH118" s="4">
        <f t="shared" si="226"/>
        <v>-0.28710972398244577</v>
      </c>
      <c r="FI118" s="4">
        <f t="shared" si="226"/>
        <v>10.000000000000041</v>
      </c>
      <c r="FJ118" s="4">
        <f t="shared" si="226"/>
        <v>5.5946494635921109</v>
      </c>
      <c r="FK118" s="4">
        <f t="shared" si="226"/>
        <v>3.7621373051266578</v>
      </c>
      <c r="FL118" s="4">
        <f t="shared" si="226"/>
        <v>6.9620112217372956</v>
      </c>
      <c r="FM118" s="4">
        <f t="shared" si="226"/>
        <v>5.9291080259420674</v>
      </c>
      <c r="FN118" s="4">
        <f t="shared" si="226"/>
        <v>10.000000000000012</v>
      </c>
      <c r="FO118" s="4">
        <f t="shared" si="226"/>
        <v>3.3549601882283704</v>
      </c>
      <c r="FP118" s="4">
        <f t="shared" si="226"/>
        <v>10.00000000000003</v>
      </c>
      <c r="FQ118" s="4">
        <f t="shared" si="226"/>
        <v>6.962011221737332</v>
      </c>
      <c r="FR118" s="4">
        <f t="shared" si="226"/>
        <v>10.000000000000039</v>
      </c>
      <c r="FS118" s="4">
        <f t="shared" si="226"/>
        <v>10.000000000000025</v>
      </c>
      <c r="FT118" s="4">
        <f t="shared" si="226"/>
        <v>3.2153598757642499</v>
      </c>
      <c r="FU118" s="4">
        <f t="shared" si="226"/>
        <v>10.000000000000028</v>
      </c>
      <c r="FV118" s="4">
        <f t="shared" si="226"/>
        <v>1.9483585920823316</v>
      </c>
      <c r="FW118" s="4">
        <f t="shared" si="226"/>
        <v>5.5946494635921118</v>
      </c>
      <c r="FX118" s="4">
        <f t="shared" si="226"/>
        <v>4.5717723605137284</v>
      </c>
      <c r="FY118" s="4">
        <f t="shared" si="226"/>
        <v>6.9620112217372911</v>
      </c>
      <c r="FZ118" s="4">
        <f t="shared" si="226"/>
        <v>10.00000000000003</v>
      </c>
      <c r="GA118" s="4">
        <f t="shared" si="226"/>
        <v>0.41449175533856925</v>
      </c>
      <c r="GB118" s="4">
        <f t="shared" si="226"/>
        <v>0.9949446800721562</v>
      </c>
      <c r="GC118" s="4" t="e">
        <f t="shared" si="226"/>
        <v>#DIV/0!</v>
      </c>
      <c r="GD118" s="4">
        <f t="shared" si="226"/>
        <v>10.000000000000039</v>
      </c>
      <c r="GE118" s="4">
        <f t="shared" si="226"/>
        <v>0.99494468007215686</v>
      </c>
      <c r="GF118" s="4">
        <f t="shared" si="226"/>
        <v>-2.2696351267779908</v>
      </c>
      <c r="GG118" s="4">
        <f t="shared" si="226"/>
        <v>2.2340451136054846</v>
      </c>
      <c r="GH118" s="4" t="e">
        <f t="shared" si="226"/>
        <v>#DIV/0!</v>
      </c>
      <c r="GI118" s="4">
        <f t="shared" si="226"/>
        <v>-2.3012987170560493</v>
      </c>
      <c r="GJ118" s="4">
        <f t="shared" si="226"/>
        <v>6.9620112217372867</v>
      </c>
      <c r="GK118" s="4">
        <f t="shared" si="226"/>
        <v>10.000000000000039</v>
      </c>
      <c r="GL118" s="4">
        <f t="shared" si="226"/>
        <v>10.000000000000039</v>
      </c>
      <c r="GM118" s="4">
        <f t="shared" ref="GM118" si="227">SKEW(GM2:GM101)</f>
        <v>5.5946494635921074</v>
      </c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</row>
    <row r="119" spans="1:222" x14ac:dyDescent="0.3"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O119" s="1"/>
      <c r="AP119" s="1"/>
      <c r="AQ119" s="1"/>
      <c r="AR119" s="1"/>
      <c r="AS119" s="1"/>
      <c r="AU119" s="1"/>
      <c r="AV119" s="1"/>
      <c r="AW119" s="1"/>
      <c r="AX119" s="1"/>
      <c r="AY119" s="1"/>
      <c r="AZ119" s="1"/>
      <c r="BA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Q119" s="1"/>
      <c r="BR119" s="1"/>
      <c r="BS119" s="1"/>
      <c r="BT119" s="1"/>
      <c r="BU119" s="1"/>
      <c r="BV119" s="1"/>
      <c r="BW119" s="1"/>
      <c r="BX119" s="1"/>
      <c r="BY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D119" s="1"/>
      <c r="GE119" s="1"/>
      <c r="GF119" s="1"/>
      <c r="GG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</row>
    <row r="120" spans="1:222" x14ac:dyDescent="0.3">
      <c r="C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O120" s="1"/>
      <c r="AP120" s="1"/>
      <c r="AQ120" s="1"/>
      <c r="AR120" s="1"/>
      <c r="AS120" s="1"/>
      <c r="AU120" s="1"/>
      <c r="AV120" s="1"/>
      <c r="AW120" s="1"/>
      <c r="AX120" s="1"/>
      <c r="AY120" s="1"/>
      <c r="AZ120" s="1"/>
      <c r="BA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4">
        <f t="shared" ref="BP120" si="228">BP105/100</f>
        <v>0.98</v>
      </c>
      <c r="BQ120" s="1"/>
      <c r="BR120" s="1"/>
      <c r="BS120" s="1"/>
      <c r="BT120" s="1"/>
      <c r="BU120" s="1"/>
      <c r="BV120" s="1"/>
      <c r="BW120" s="1"/>
      <c r="BX120" s="1"/>
      <c r="BY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4">
        <f t="shared" ref="FB120" si="229">FB105/100</f>
        <v>0.93</v>
      </c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D120" s="1"/>
      <c r="GE120" s="1"/>
      <c r="GF120" s="1"/>
      <c r="GG120" s="1"/>
      <c r="GI120" s="4">
        <f t="shared" ref="GI120" si="230">GI105/100</f>
        <v>0.94</v>
      </c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</row>
    <row r="121" spans="1:222" x14ac:dyDescent="0.3"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O121" s="1"/>
      <c r="AP121" s="1"/>
      <c r="AQ121" s="1"/>
      <c r="AR121" s="1"/>
      <c r="AS121" s="1"/>
      <c r="AU121" s="1"/>
      <c r="AV121" s="1"/>
      <c r="AW121" s="1"/>
      <c r="AX121" s="1"/>
      <c r="AY121" s="1"/>
      <c r="AZ121" s="1"/>
      <c r="BA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Q121" s="1"/>
      <c r="BR121" s="1"/>
      <c r="BS121" s="1"/>
      <c r="BT121" s="1"/>
      <c r="BU121" s="1"/>
      <c r="BV121" s="1"/>
      <c r="BW121" s="1"/>
      <c r="BX121" s="1"/>
      <c r="BY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D121" s="1"/>
      <c r="GE121" s="1"/>
      <c r="GF121" s="1"/>
      <c r="GG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</row>
    <row r="122" spans="1:222" x14ac:dyDescent="0.3"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O122" s="1"/>
      <c r="AP122" s="1"/>
      <c r="AQ122" s="1"/>
      <c r="AR122" s="1"/>
      <c r="AS122" s="1"/>
      <c r="AU122" s="1"/>
      <c r="AV122" s="1"/>
      <c r="AW122" s="1"/>
      <c r="AX122" s="1"/>
      <c r="AY122" s="1"/>
      <c r="AZ122" s="1"/>
      <c r="BA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Q122" s="1"/>
      <c r="BR122" s="1"/>
      <c r="BS122" s="1"/>
      <c r="BT122" s="1"/>
      <c r="BU122" s="1"/>
      <c r="BV122" s="1"/>
      <c r="BW122" s="1"/>
      <c r="BX122" s="1"/>
      <c r="BY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D122" s="1"/>
      <c r="GE122" s="1"/>
      <c r="GF122" s="1"/>
      <c r="GG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</row>
    <row r="123" spans="1:222" x14ac:dyDescent="0.3"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O123" s="1"/>
      <c r="AP123" s="1"/>
      <c r="AQ123" s="1"/>
      <c r="AR123" s="1"/>
      <c r="AS123" s="1"/>
      <c r="AU123" s="1"/>
      <c r="AV123" s="1"/>
      <c r="AW123" s="1"/>
      <c r="AX123" s="1"/>
      <c r="AY123" s="1"/>
      <c r="AZ123" s="1"/>
      <c r="BA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Q123" s="1"/>
      <c r="BR123" s="1"/>
      <c r="BS123" s="1"/>
      <c r="BT123" s="1"/>
      <c r="BU123" s="1"/>
      <c r="BV123" s="1"/>
      <c r="BW123" s="1"/>
      <c r="BX123" s="1"/>
      <c r="BY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D123" s="1"/>
      <c r="GE123" s="1"/>
      <c r="GF123" s="1"/>
      <c r="GG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</row>
    <row r="124" spans="1:222" x14ac:dyDescent="0.3"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O124" s="1"/>
      <c r="AP124" s="1"/>
      <c r="AQ124" s="1"/>
      <c r="AR124" s="1"/>
      <c r="AS124" s="1"/>
      <c r="AU124" s="1"/>
      <c r="AV124" s="1"/>
      <c r="AW124" s="1"/>
      <c r="AX124" s="1"/>
      <c r="AY124" s="1"/>
      <c r="AZ124" s="1"/>
      <c r="BA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Q124" s="1"/>
      <c r="BR124" s="1"/>
      <c r="BS124" s="1"/>
      <c r="BT124" s="1"/>
      <c r="BU124" s="1"/>
      <c r="BV124" s="1"/>
      <c r="BW124" s="1"/>
      <c r="BX124" s="1"/>
      <c r="BY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D124" s="1"/>
      <c r="GE124" s="1"/>
      <c r="GF124" s="1"/>
      <c r="GG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</row>
    <row r="125" spans="1:222" x14ac:dyDescent="0.3"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O125" s="1"/>
      <c r="AP125" s="1"/>
      <c r="AQ125" s="1"/>
      <c r="AR125" s="1"/>
      <c r="AS125" s="1"/>
      <c r="AU125" s="1"/>
      <c r="AV125" s="1"/>
      <c r="AW125" s="1"/>
      <c r="AX125" s="1"/>
      <c r="AY125" s="1"/>
      <c r="AZ125" s="1"/>
      <c r="BA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Q125" s="1"/>
      <c r="BR125" s="1"/>
      <c r="BS125" s="1"/>
      <c r="BT125" s="1"/>
      <c r="BU125" s="1"/>
      <c r="BV125" s="1"/>
      <c r="BW125" s="1"/>
      <c r="BX125" s="1"/>
      <c r="BY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D125" s="1"/>
      <c r="GE125" s="1"/>
      <c r="GF125" s="1"/>
      <c r="GG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</row>
    <row r="126" spans="1:222" x14ac:dyDescent="0.3"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O126" s="1"/>
      <c r="AP126" s="1"/>
      <c r="AQ126" s="1"/>
      <c r="AR126" s="1"/>
      <c r="AS126" s="1"/>
      <c r="AU126" s="1"/>
      <c r="AV126" s="1"/>
      <c r="AW126" s="1"/>
      <c r="AX126" s="1"/>
      <c r="AY126" s="1"/>
      <c r="AZ126" s="1"/>
      <c r="BA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Q126" s="1"/>
      <c r="BR126" s="1"/>
      <c r="BS126" s="1"/>
      <c r="BT126" s="1"/>
      <c r="BU126" s="1"/>
      <c r="BV126" s="1"/>
      <c r="BW126" s="1"/>
      <c r="BX126" s="1"/>
      <c r="BY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D126" s="1"/>
      <c r="GE126" s="1"/>
      <c r="GF126" s="1"/>
      <c r="GG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</row>
    <row r="127" spans="1:222" x14ac:dyDescent="0.3"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O127" s="1"/>
      <c r="AP127" s="1"/>
      <c r="AQ127" s="1"/>
      <c r="AR127" s="1"/>
      <c r="AS127" s="1"/>
      <c r="AU127" s="1"/>
      <c r="AV127" s="1"/>
      <c r="AW127" s="1"/>
      <c r="AX127" s="1"/>
      <c r="AY127" s="1"/>
      <c r="AZ127" s="1"/>
      <c r="BA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Q127" s="1"/>
      <c r="BR127" s="1"/>
      <c r="BS127" s="1"/>
      <c r="BT127" s="1"/>
      <c r="BU127" s="1"/>
      <c r="BV127" s="1"/>
      <c r="BW127" s="1"/>
      <c r="BX127" s="1"/>
      <c r="BY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D127" s="1"/>
      <c r="GE127" s="1"/>
      <c r="GF127" s="1"/>
      <c r="GG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</row>
    <row r="128" spans="1:222" x14ac:dyDescent="0.3"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O128" s="1"/>
      <c r="AP128" s="1"/>
      <c r="AQ128" s="1"/>
      <c r="AR128" s="1"/>
      <c r="AS128" s="1"/>
      <c r="AU128" s="1"/>
      <c r="AV128" s="1"/>
      <c r="AW128" s="1"/>
      <c r="AX128" s="1"/>
      <c r="AY128" s="1"/>
      <c r="AZ128" s="1"/>
      <c r="BA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Q128" s="1"/>
      <c r="BR128" s="1"/>
      <c r="BS128" s="1"/>
      <c r="BT128" s="1"/>
      <c r="BU128" s="1"/>
      <c r="BV128" s="1"/>
      <c r="BW128" s="1"/>
      <c r="BX128" s="1"/>
      <c r="BY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D128" s="1"/>
      <c r="GE128" s="1"/>
      <c r="GF128" s="1"/>
      <c r="GG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</row>
    <row r="129" spans="3:222" x14ac:dyDescent="0.3"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O129" s="1"/>
      <c r="AP129" s="1"/>
      <c r="AQ129" s="1"/>
      <c r="AR129" s="1"/>
      <c r="AS129" s="1"/>
      <c r="AU129" s="1"/>
      <c r="AV129" s="1"/>
      <c r="AW129" s="1"/>
      <c r="AX129" s="1"/>
      <c r="AY129" s="1"/>
      <c r="AZ129" s="1"/>
      <c r="BA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Q129" s="1"/>
      <c r="BR129" s="1"/>
      <c r="BS129" s="1"/>
      <c r="BT129" s="1"/>
      <c r="BU129" s="1"/>
      <c r="BV129" s="1"/>
      <c r="BW129" s="1"/>
      <c r="BX129" s="1"/>
      <c r="BY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D129" s="1"/>
      <c r="GE129" s="1"/>
      <c r="GF129" s="1"/>
      <c r="GG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</row>
    <row r="130" spans="3:222" x14ac:dyDescent="0.3"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O130" s="1"/>
      <c r="AP130" s="1"/>
      <c r="AQ130" s="1"/>
      <c r="AR130" s="1"/>
      <c r="AS130" s="1"/>
      <c r="AU130" s="1"/>
      <c r="AV130" s="1"/>
      <c r="AW130" s="1"/>
      <c r="AX130" s="1"/>
      <c r="AY130" s="1"/>
      <c r="AZ130" s="1"/>
      <c r="BA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Q130" s="1"/>
      <c r="BR130" s="1"/>
      <c r="BS130" s="1"/>
      <c r="BT130" s="1"/>
      <c r="BU130" s="1"/>
      <c r="BV130" s="1"/>
      <c r="BW130" s="1"/>
      <c r="BX130" s="1"/>
      <c r="BY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D130" s="1"/>
      <c r="GE130" s="1"/>
      <c r="GF130" s="1"/>
      <c r="GG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</row>
    <row r="131" spans="3:222" x14ac:dyDescent="0.3"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O131" s="1"/>
      <c r="AP131" s="1"/>
      <c r="AQ131" s="1"/>
      <c r="AR131" s="1"/>
      <c r="AS131" s="1"/>
      <c r="AU131" s="1"/>
      <c r="AV131" s="1"/>
      <c r="AW131" s="1"/>
      <c r="AX131" s="1"/>
      <c r="AY131" s="1"/>
      <c r="AZ131" s="1"/>
      <c r="BA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Q131" s="1"/>
      <c r="BR131" s="1"/>
      <c r="BS131" s="1"/>
      <c r="BT131" s="1"/>
      <c r="BU131" s="1"/>
      <c r="BV131" s="1"/>
      <c r="BW131" s="1"/>
      <c r="BX131" s="1"/>
      <c r="BY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D131" s="1"/>
      <c r="GE131" s="1"/>
      <c r="GF131" s="1"/>
      <c r="GG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</row>
    <row r="132" spans="3:222" x14ac:dyDescent="0.3"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O132" s="1"/>
      <c r="AP132" s="1"/>
      <c r="AQ132" s="1"/>
      <c r="AR132" s="1"/>
      <c r="AS132" s="1"/>
      <c r="AU132" s="1"/>
      <c r="AV132" s="1"/>
      <c r="AW132" s="1"/>
      <c r="AX132" s="1"/>
      <c r="AY132" s="1"/>
      <c r="AZ132" s="1"/>
      <c r="BA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Q132" s="1"/>
      <c r="BR132" s="1"/>
      <c r="BS132" s="1"/>
      <c r="BT132" s="1"/>
      <c r="BU132" s="1"/>
      <c r="BV132" s="1"/>
      <c r="BW132" s="1"/>
      <c r="BX132" s="1"/>
      <c r="BY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D132" s="1"/>
      <c r="GE132" s="1"/>
      <c r="GF132" s="1"/>
      <c r="GG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</row>
    <row r="133" spans="3:222" x14ac:dyDescent="0.3"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O133" s="1"/>
      <c r="AP133" s="1"/>
      <c r="AQ133" s="1"/>
      <c r="AR133" s="1"/>
      <c r="AS133" s="1"/>
      <c r="AU133" s="1"/>
      <c r="AV133" s="1"/>
      <c r="AW133" s="1"/>
      <c r="AX133" s="1"/>
      <c r="AY133" s="1"/>
      <c r="AZ133" s="1"/>
      <c r="BA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Q133" s="1"/>
      <c r="BR133" s="1"/>
      <c r="BS133" s="1"/>
      <c r="BT133" s="1"/>
      <c r="BU133" s="1"/>
      <c r="BV133" s="1"/>
      <c r="BW133" s="1"/>
      <c r="BX133" s="1"/>
      <c r="BY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D133" s="1"/>
      <c r="GE133" s="1"/>
      <c r="GF133" s="1"/>
      <c r="GG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</row>
    <row r="134" spans="3:222" x14ac:dyDescent="0.3"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O134" s="1"/>
      <c r="AP134" s="1"/>
      <c r="AQ134" s="1"/>
      <c r="AR134" s="1"/>
      <c r="AS134" s="1"/>
      <c r="AU134" s="1"/>
      <c r="AV134" s="1"/>
      <c r="AW134" s="1"/>
      <c r="AX134" s="1"/>
      <c r="AY134" s="1"/>
      <c r="AZ134" s="1"/>
      <c r="BA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Q134" s="1"/>
      <c r="BR134" s="1"/>
      <c r="BS134" s="1"/>
      <c r="BT134" s="1"/>
      <c r="BU134" s="1"/>
      <c r="BV134" s="1"/>
      <c r="BW134" s="1"/>
      <c r="BX134" s="1"/>
      <c r="BY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D134" s="1"/>
      <c r="GE134" s="1"/>
      <c r="GF134" s="1"/>
      <c r="GG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</row>
    <row r="135" spans="3:222" x14ac:dyDescent="0.3"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O135" s="1"/>
      <c r="AP135" s="1"/>
      <c r="AQ135" s="1"/>
      <c r="AR135" s="1"/>
      <c r="AS135" s="1"/>
      <c r="AU135" s="1"/>
      <c r="AV135" s="1"/>
      <c r="AW135" s="1"/>
      <c r="AX135" s="1"/>
      <c r="AY135" s="1"/>
      <c r="AZ135" s="1"/>
      <c r="BA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Q135" s="1"/>
      <c r="BR135" s="1"/>
      <c r="BS135" s="1"/>
      <c r="BT135" s="1"/>
      <c r="BU135" s="1"/>
      <c r="BV135" s="1"/>
      <c r="BW135" s="1"/>
      <c r="BX135" s="1"/>
      <c r="BY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D135" s="1"/>
      <c r="GE135" s="1"/>
      <c r="GF135" s="1"/>
      <c r="GG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</row>
    <row r="136" spans="3:222" x14ac:dyDescent="0.3"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O136" s="1"/>
      <c r="AP136" s="1"/>
      <c r="AQ136" s="1"/>
      <c r="AR136" s="1"/>
      <c r="AS136" s="1"/>
      <c r="AU136" s="1"/>
      <c r="AV136" s="1"/>
      <c r="AW136" s="1"/>
      <c r="AX136" s="1"/>
      <c r="AY136" s="1"/>
      <c r="AZ136" s="1"/>
      <c r="BA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Q136" s="1"/>
      <c r="BR136" s="1"/>
      <c r="BS136" s="1"/>
      <c r="BT136" s="1"/>
      <c r="BU136" s="1"/>
      <c r="BV136" s="1"/>
      <c r="BW136" s="1"/>
      <c r="BX136" s="1"/>
      <c r="BY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D136" s="1"/>
      <c r="GE136" s="1"/>
      <c r="GF136" s="1"/>
      <c r="GG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</row>
    <row r="137" spans="3:222" x14ac:dyDescent="0.3"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O137" s="1"/>
      <c r="AP137" s="1"/>
      <c r="AQ137" s="1"/>
      <c r="AR137" s="1"/>
      <c r="AS137" s="1"/>
      <c r="AU137" s="1"/>
      <c r="AV137" s="1"/>
      <c r="AW137" s="1"/>
      <c r="AX137" s="1"/>
      <c r="AY137" s="1"/>
      <c r="AZ137" s="1"/>
      <c r="BA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Q137" s="1"/>
      <c r="BR137" s="1"/>
      <c r="BS137" s="1"/>
      <c r="BT137" s="1"/>
      <c r="BU137" s="1"/>
      <c r="BV137" s="1"/>
      <c r="BW137" s="1"/>
      <c r="BX137" s="1"/>
      <c r="BY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D137" s="1"/>
      <c r="GE137" s="1"/>
      <c r="GF137" s="1"/>
      <c r="GG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</row>
    <row r="138" spans="3:222" x14ac:dyDescent="0.3"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O138" s="1"/>
      <c r="AP138" s="1"/>
      <c r="AQ138" s="1"/>
      <c r="AR138" s="1"/>
      <c r="AS138" s="1"/>
      <c r="AU138" s="1"/>
      <c r="AV138" s="1"/>
      <c r="AW138" s="1"/>
      <c r="AX138" s="1"/>
      <c r="AY138" s="1"/>
      <c r="AZ138" s="1"/>
      <c r="BA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Q138" s="1"/>
      <c r="BR138" s="1"/>
      <c r="BS138" s="1"/>
      <c r="BT138" s="1"/>
      <c r="BU138" s="1"/>
      <c r="BV138" s="1"/>
      <c r="BW138" s="1"/>
      <c r="BX138" s="1"/>
      <c r="BY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D138" s="1"/>
      <c r="GE138" s="1"/>
      <c r="GF138" s="1"/>
      <c r="GG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</row>
    <row r="139" spans="3:222" x14ac:dyDescent="0.3"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O139" s="1"/>
      <c r="AP139" s="1"/>
      <c r="AQ139" s="1"/>
      <c r="AR139" s="1"/>
      <c r="AS139" s="1"/>
      <c r="AU139" s="1"/>
      <c r="AV139" s="1"/>
      <c r="AW139" s="1"/>
      <c r="AX139" s="1"/>
      <c r="AY139" s="1"/>
      <c r="AZ139" s="1"/>
      <c r="BA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Q139" s="1"/>
      <c r="BR139" s="1"/>
      <c r="BS139" s="1"/>
      <c r="BT139" s="1"/>
      <c r="BU139" s="1"/>
      <c r="BV139" s="1"/>
      <c r="BW139" s="1"/>
      <c r="BX139" s="1"/>
      <c r="BY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D139" s="1"/>
      <c r="GE139" s="1"/>
      <c r="GF139" s="1"/>
      <c r="GG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</row>
    <row r="140" spans="3:222" x14ac:dyDescent="0.3"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O140" s="1"/>
      <c r="AP140" s="1"/>
      <c r="AQ140" s="1"/>
      <c r="AR140" s="1"/>
      <c r="AS140" s="1"/>
      <c r="AU140" s="1"/>
      <c r="AV140" s="1"/>
      <c r="AW140" s="1"/>
      <c r="AX140" s="1"/>
      <c r="AY140" s="1"/>
      <c r="AZ140" s="1"/>
      <c r="BA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Q140" s="1"/>
      <c r="BR140" s="1"/>
      <c r="BS140" s="1"/>
      <c r="BT140" s="1"/>
      <c r="BU140" s="1"/>
      <c r="BV140" s="1"/>
      <c r="BW140" s="1"/>
      <c r="BX140" s="1"/>
      <c r="BY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D140" s="1"/>
      <c r="GE140" s="1"/>
      <c r="GF140" s="1"/>
      <c r="GG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</row>
    <row r="141" spans="3:222" x14ac:dyDescent="0.3"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O141" s="1"/>
      <c r="AP141" s="1"/>
      <c r="AQ141" s="1"/>
      <c r="AR141" s="1"/>
      <c r="AS141" s="1"/>
      <c r="AU141" s="1"/>
      <c r="AV141" s="1"/>
      <c r="AW141" s="1"/>
      <c r="AX141" s="1"/>
      <c r="AY141" s="1"/>
      <c r="AZ141" s="1"/>
      <c r="BA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Q141" s="1"/>
      <c r="BR141" s="1"/>
      <c r="BS141" s="1"/>
      <c r="BT141" s="1"/>
      <c r="BU141" s="1"/>
      <c r="BV141" s="1"/>
      <c r="BW141" s="1"/>
      <c r="BX141" s="1"/>
      <c r="BY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D141" s="1"/>
      <c r="GE141" s="1"/>
      <c r="GF141" s="1"/>
      <c r="GG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</row>
    <row r="142" spans="3:222" x14ac:dyDescent="0.3"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O142" s="1"/>
      <c r="AP142" s="1"/>
      <c r="AQ142" s="1"/>
      <c r="AR142" s="1"/>
      <c r="AS142" s="1"/>
      <c r="AU142" s="1"/>
      <c r="AV142" s="1"/>
      <c r="AW142" s="1"/>
      <c r="AX142" s="1"/>
      <c r="AY142" s="1"/>
      <c r="AZ142" s="1"/>
      <c r="BA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Q142" s="1"/>
      <c r="BR142" s="1"/>
      <c r="BS142" s="1"/>
      <c r="BT142" s="1"/>
      <c r="BU142" s="1"/>
      <c r="BV142" s="1"/>
      <c r="BW142" s="1"/>
      <c r="BX142" s="1"/>
      <c r="BY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D142" s="1"/>
      <c r="GE142" s="1"/>
      <c r="GF142" s="1"/>
      <c r="GG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</row>
    <row r="143" spans="3:222" x14ac:dyDescent="0.3"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O143" s="1"/>
      <c r="AP143" s="1"/>
      <c r="AQ143" s="1"/>
      <c r="AR143" s="1"/>
      <c r="AS143" s="1"/>
      <c r="AU143" s="1"/>
      <c r="AV143" s="1"/>
      <c r="AW143" s="1"/>
      <c r="AX143" s="1"/>
      <c r="AY143" s="1"/>
      <c r="AZ143" s="1"/>
      <c r="BA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Q143" s="1"/>
      <c r="BR143" s="1"/>
      <c r="BS143" s="1"/>
      <c r="BT143" s="1"/>
      <c r="BU143" s="1"/>
      <c r="BV143" s="1"/>
      <c r="BW143" s="1"/>
      <c r="BX143" s="1"/>
      <c r="BY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D143" s="1"/>
      <c r="GE143" s="1"/>
      <c r="GF143" s="1"/>
      <c r="GG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</row>
    <row r="144" spans="3:222" x14ac:dyDescent="0.3"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O144" s="1"/>
      <c r="AP144" s="1"/>
      <c r="AQ144" s="1"/>
      <c r="AR144" s="1"/>
      <c r="AS144" s="1"/>
      <c r="AU144" s="1"/>
      <c r="AV144" s="1"/>
      <c r="AW144" s="1"/>
      <c r="AX144" s="1"/>
      <c r="AY144" s="1"/>
      <c r="AZ144" s="1"/>
      <c r="BA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Q144" s="1"/>
      <c r="BR144" s="1"/>
      <c r="BS144" s="1"/>
      <c r="BT144" s="1"/>
      <c r="BU144" s="1"/>
      <c r="BV144" s="1"/>
      <c r="BW144" s="1"/>
      <c r="BX144" s="1"/>
      <c r="BY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D144" s="1"/>
      <c r="GE144" s="1"/>
      <c r="GF144" s="1"/>
      <c r="GG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</row>
    <row r="145" spans="3:222" x14ac:dyDescent="0.3"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O145" s="1"/>
      <c r="AP145" s="1"/>
      <c r="AQ145" s="1"/>
      <c r="AR145" s="1"/>
      <c r="AS145" s="1"/>
      <c r="AU145" s="1"/>
      <c r="AV145" s="1"/>
      <c r="AW145" s="1"/>
      <c r="AX145" s="1"/>
      <c r="AY145" s="1"/>
      <c r="AZ145" s="1"/>
      <c r="BA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Q145" s="1"/>
      <c r="BR145" s="1"/>
      <c r="BS145" s="1"/>
      <c r="BT145" s="1"/>
      <c r="BU145" s="1"/>
      <c r="BV145" s="1"/>
      <c r="BW145" s="1"/>
      <c r="BX145" s="1"/>
      <c r="BY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D145" s="1"/>
      <c r="GE145" s="1"/>
      <c r="GF145" s="1"/>
      <c r="GG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</row>
    <row r="146" spans="3:222" x14ac:dyDescent="0.3"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O146" s="1"/>
      <c r="AP146" s="1"/>
      <c r="AQ146" s="1"/>
      <c r="AR146" s="1"/>
      <c r="AS146" s="1"/>
      <c r="AU146" s="1"/>
      <c r="AV146" s="1"/>
      <c r="AW146" s="1"/>
      <c r="AX146" s="1"/>
      <c r="AY146" s="1"/>
      <c r="AZ146" s="1"/>
      <c r="BA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Q146" s="1"/>
      <c r="BR146" s="1"/>
      <c r="BS146" s="1"/>
      <c r="BT146" s="1"/>
      <c r="BU146" s="1"/>
      <c r="BV146" s="1"/>
      <c r="BW146" s="1"/>
      <c r="BX146" s="1"/>
      <c r="BY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D146" s="1"/>
      <c r="GE146" s="1"/>
      <c r="GF146" s="1"/>
      <c r="GG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</row>
    <row r="147" spans="3:222" x14ac:dyDescent="0.3"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O147" s="1"/>
      <c r="AP147" s="1"/>
      <c r="AQ147" s="1"/>
      <c r="AR147" s="1"/>
      <c r="AS147" s="1"/>
      <c r="AU147" s="1"/>
      <c r="AV147" s="1"/>
      <c r="AW147" s="1"/>
      <c r="AX147" s="1"/>
      <c r="AY147" s="1"/>
      <c r="AZ147" s="1"/>
      <c r="BA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Q147" s="1"/>
      <c r="BR147" s="1"/>
      <c r="BS147" s="1"/>
      <c r="BT147" s="1"/>
      <c r="BU147" s="1"/>
      <c r="BV147" s="1"/>
      <c r="BW147" s="1"/>
      <c r="BX147" s="1"/>
      <c r="BY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D147" s="1"/>
      <c r="GE147" s="1"/>
      <c r="GF147" s="1"/>
      <c r="GG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</row>
    <row r="148" spans="3:222" x14ac:dyDescent="0.3"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O148" s="1"/>
      <c r="AP148" s="1"/>
      <c r="AQ148" s="1"/>
      <c r="AR148" s="1"/>
      <c r="AS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Q148" s="1"/>
      <c r="BR148" s="1"/>
      <c r="BS148" s="1"/>
      <c r="BT148" s="1"/>
      <c r="BU148" s="1"/>
      <c r="BV148" s="1"/>
      <c r="BW148" s="1"/>
      <c r="BX148" s="1"/>
      <c r="BY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D148" s="1"/>
      <c r="GE148" s="1"/>
      <c r="GF148" s="1"/>
      <c r="GG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</row>
    <row r="149" spans="3:222" x14ac:dyDescent="0.3"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O149" s="1"/>
      <c r="AP149" s="1"/>
      <c r="AQ149" s="1"/>
      <c r="AR149" s="1"/>
      <c r="AS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Q149" s="1"/>
      <c r="BR149" s="1"/>
      <c r="BS149" s="1"/>
      <c r="BT149" s="1"/>
      <c r="BU149" s="1"/>
      <c r="BV149" s="1"/>
      <c r="BW149" s="1"/>
      <c r="BX149" s="1"/>
      <c r="BY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D149" s="1"/>
      <c r="GE149" s="1"/>
      <c r="GF149" s="1"/>
      <c r="GG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</row>
    <row r="150" spans="3:222" x14ac:dyDescent="0.3"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O150" s="1"/>
      <c r="AP150" s="1"/>
      <c r="AQ150" s="1"/>
      <c r="AR150" s="1"/>
      <c r="AS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Q150" s="1"/>
      <c r="BR150" s="1"/>
      <c r="BS150" s="1"/>
      <c r="BT150" s="1"/>
      <c r="BU150" s="1"/>
      <c r="BV150" s="1"/>
      <c r="BW150" s="1"/>
      <c r="BX150" s="1"/>
      <c r="BY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D150" s="1"/>
      <c r="GE150" s="1"/>
      <c r="GF150" s="1"/>
      <c r="GG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</row>
    <row r="151" spans="3:222" x14ac:dyDescent="0.3"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O151" s="1"/>
      <c r="AP151" s="1"/>
      <c r="AQ151" s="1"/>
      <c r="AR151" s="1"/>
      <c r="AS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Q151" s="1"/>
      <c r="BR151" s="1"/>
      <c r="BS151" s="1"/>
      <c r="BT151" s="1"/>
      <c r="BU151" s="1"/>
      <c r="BV151" s="1"/>
      <c r="BW151" s="1"/>
      <c r="BX151" s="1"/>
      <c r="BY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D151" s="1"/>
      <c r="GE151" s="1"/>
      <c r="GF151" s="1"/>
      <c r="GG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</row>
    <row r="152" spans="3:222" x14ac:dyDescent="0.3"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O152" s="1"/>
      <c r="AP152" s="1"/>
      <c r="AQ152" s="1"/>
      <c r="AR152" s="1"/>
      <c r="AS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Q152" s="1"/>
      <c r="BR152" s="1"/>
      <c r="BS152" s="1"/>
      <c r="BT152" s="1"/>
      <c r="BU152" s="1"/>
      <c r="BV152" s="1"/>
      <c r="BW152" s="1"/>
      <c r="BX152" s="1"/>
      <c r="BY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D152" s="1"/>
      <c r="GE152" s="1"/>
      <c r="GF152" s="1"/>
      <c r="GG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</row>
    <row r="153" spans="3:222" x14ac:dyDescent="0.3"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O153" s="1"/>
      <c r="AP153" s="1"/>
      <c r="AQ153" s="1"/>
      <c r="AR153" s="1"/>
      <c r="AS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Q153" s="1"/>
      <c r="BR153" s="1"/>
      <c r="BS153" s="1"/>
      <c r="BT153" s="1"/>
      <c r="BU153" s="1"/>
      <c r="BV153" s="1"/>
      <c r="BW153" s="1"/>
      <c r="BX153" s="1"/>
      <c r="BY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D153" s="1"/>
      <c r="GE153" s="1"/>
      <c r="GF153" s="1"/>
      <c r="GG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</row>
    <row r="154" spans="3:222" x14ac:dyDescent="0.3"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O154" s="1"/>
      <c r="AP154" s="1"/>
      <c r="AQ154" s="1"/>
      <c r="AR154" s="1"/>
      <c r="AS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Q154" s="1"/>
      <c r="BR154" s="1"/>
      <c r="BS154" s="1"/>
      <c r="BT154" s="1"/>
      <c r="BU154" s="1"/>
      <c r="BV154" s="1"/>
      <c r="BW154" s="1"/>
      <c r="BX154" s="1"/>
      <c r="BY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D154" s="1"/>
      <c r="GE154" s="1"/>
      <c r="GF154" s="1"/>
      <c r="GG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</row>
    <row r="155" spans="3:222" x14ac:dyDescent="0.3"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O155" s="1"/>
      <c r="AP155" s="1"/>
      <c r="AQ155" s="1"/>
      <c r="AR155" s="1"/>
      <c r="AS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Q155" s="1"/>
      <c r="BR155" s="1"/>
      <c r="BS155" s="1"/>
      <c r="BT155" s="1"/>
      <c r="BU155" s="1"/>
      <c r="BV155" s="1"/>
      <c r="BW155" s="1"/>
      <c r="BX155" s="1"/>
      <c r="BY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D155" s="1"/>
      <c r="GE155" s="1"/>
      <c r="GF155" s="1"/>
      <c r="GG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</row>
    <row r="156" spans="3:222" x14ac:dyDescent="0.3"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O156" s="1"/>
      <c r="AP156" s="1"/>
      <c r="AQ156" s="1"/>
      <c r="AR156" s="1"/>
      <c r="AS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Q156" s="1"/>
      <c r="BR156" s="1"/>
      <c r="BS156" s="1"/>
      <c r="BT156" s="1"/>
      <c r="BU156" s="1"/>
      <c r="BV156" s="1"/>
      <c r="BW156" s="1"/>
      <c r="BX156" s="1"/>
      <c r="BY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D156" s="1"/>
      <c r="GE156" s="1"/>
      <c r="GF156" s="1"/>
      <c r="GG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</row>
    <row r="157" spans="3:222" x14ac:dyDescent="0.3"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O157" s="1"/>
      <c r="AP157" s="1"/>
      <c r="AQ157" s="1"/>
      <c r="AR157" s="1"/>
      <c r="AS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Q157" s="1"/>
      <c r="BR157" s="1"/>
      <c r="BS157" s="1"/>
      <c r="BT157" s="1"/>
      <c r="BU157" s="1"/>
      <c r="BV157" s="1"/>
      <c r="BW157" s="1"/>
      <c r="BX157" s="1"/>
      <c r="BY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D157" s="1"/>
      <c r="GE157" s="1"/>
      <c r="GF157" s="1"/>
      <c r="GG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</row>
    <row r="158" spans="3:222" x14ac:dyDescent="0.3"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O158" s="1"/>
      <c r="AP158" s="1"/>
      <c r="AQ158" s="1"/>
      <c r="AR158" s="1"/>
      <c r="AS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Q158" s="1"/>
      <c r="BR158" s="1"/>
      <c r="BS158" s="1"/>
      <c r="BT158" s="1"/>
      <c r="BU158" s="1"/>
      <c r="BV158" s="1"/>
      <c r="BW158" s="1"/>
      <c r="BX158" s="1"/>
      <c r="BY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D158" s="1"/>
      <c r="GE158" s="1"/>
      <c r="GF158" s="1"/>
      <c r="GG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</row>
    <row r="159" spans="3:222" x14ac:dyDescent="0.3"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O159" s="1"/>
      <c r="AP159" s="1"/>
      <c r="AQ159" s="1"/>
      <c r="AR159" s="1"/>
      <c r="AS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Q159" s="1"/>
      <c r="BR159" s="1"/>
      <c r="BS159" s="1"/>
      <c r="BT159" s="1"/>
      <c r="BU159" s="1"/>
      <c r="BV159" s="1"/>
      <c r="BW159" s="1"/>
      <c r="BX159" s="1"/>
      <c r="BY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D159" s="1"/>
      <c r="GE159" s="1"/>
      <c r="GF159" s="1"/>
      <c r="GG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</row>
    <row r="160" spans="3:222" x14ac:dyDescent="0.3"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O160" s="1"/>
      <c r="AP160" s="1"/>
      <c r="AQ160" s="1"/>
      <c r="AR160" s="1"/>
      <c r="AS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Q160" s="1"/>
      <c r="BR160" s="1"/>
      <c r="BS160" s="1"/>
      <c r="BT160" s="1"/>
      <c r="BU160" s="1"/>
      <c r="BV160" s="1"/>
      <c r="BW160" s="1"/>
      <c r="BX160" s="1"/>
      <c r="BY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D160" s="1"/>
      <c r="GE160" s="1"/>
      <c r="GF160" s="1"/>
      <c r="GG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</row>
    <row r="161" spans="3:222" x14ac:dyDescent="0.3"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O161" s="1"/>
      <c r="AP161" s="1"/>
      <c r="AQ161" s="1"/>
      <c r="AR161" s="1"/>
      <c r="AS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Q161" s="1"/>
      <c r="BR161" s="1"/>
      <c r="BS161" s="1"/>
      <c r="BT161" s="1"/>
      <c r="BU161" s="1"/>
      <c r="BV161" s="1"/>
      <c r="BW161" s="1"/>
      <c r="BX161" s="1"/>
      <c r="BY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D161" s="1"/>
      <c r="GE161" s="1"/>
      <c r="GF161" s="1"/>
      <c r="GG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</row>
    <row r="162" spans="3:222" x14ac:dyDescent="0.3"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O162" s="1"/>
      <c r="AP162" s="1"/>
      <c r="AQ162" s="1"/>
      <c r="AR162" s="1"/>
      <c r="AS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Q162" s="1"/>
      <c r="BR162" s="1"/>
      <c r="BS162" s="1"/>
      <c r="BT162" s="1"/>
      <c r="BU162" s="1"/>
      <c r="BV162" s="1"/>
      <c r="BW162" s="1"/>
      <c r="BX162" s="1"/>
      <c r="BY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D162" s="1"/>
      <c r="GE162" s="1"/>
      <c r="GF162" s="1"/>
      <c r="GG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</row>
    <row r="163" spans="3:222" x14ac:dyDescent="0.3"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O163" s="1"/>
      <c r="AP163" s="1"/>
      <c r="AQ163" s="1"/>
      <c r="AR163" s="1"/>
      <c r="AS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Q163" s="1"/>
      <c r="BR163" s="1"/>
      <c r="BS163" s="1"/>
      <c r="BT163" s="1"/>
      <c r="BU163" s="1"/>
      <c r="BV163" s="1"/>
      <c r="BW163" s="1"/>
      <c r="BX163" s="1"/>
      <c r="BY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D163" s="1"/>
      <c r="GE163" s="1"/>
      <c r="GF163" s="1"/>
      <c r="GG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</row>
    <row r="164" spans="3:222" x14ac:dyDescent="0.3"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O164" s="1"/>
      <c r="AP164" s="1"/>
      <c r="AQ164" s="1"/>
      <c r="AR164" s="1"/>
      <c r="AS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Q164" s="1"/>
      <c r="BR164" s="1"/>
      <c r="BS164" s="1"/>
      <c r="BT164" s="1"/>
      <c r="BU164" s="1"/>
      <c r="BV164" s="1"/>
      <c r="BW164" s="1"/>
      <c r="BX164" s="1"/>
      <c r="BY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D164" s="1"/>
      <c r="GE164" s="1"/>
      <c r="GF164" s="1"/>
      <c r="GG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</row>
    <row r="165" spans="3:222" x14ac:dyDescent="0.3"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O165" s="1"/>
      <c r="AP165" s="1"/>
      <c r="AQ165" s="1"/>
      <c r="AR165" s="1"/>
      <c r="AS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Q165" s="1"/>
      <c r="BR165" s="1"/>
      <c r="BS165" s="1"/>
      <c r="BT165" s="1"/>
      <c r="BU165" s="1"/>
      <c r="BV165" s="1"/>
      <c r="BW165" s="1"/>
      <c r="BX165" s="1"/>
      <c r="BY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D165" s="1"/>
      <c r="GE165" s="1"/>
      <c r="GF165" s="1"/>
      <c r="GG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</row>
    <row r="166" spans="3:222" x14ac:dyDescent="0.3"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O166" s="1"/>
      <c r="AP166" s="1"/>
      <c r="AQ166" s="1"/>
      <c r="AR166" s="1"/>
      <c r="AS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Q166" s="1"/>
      <c r="BR166" s="1"/>
      <c r="BS166" s="1"/>
      <c r="BT166" s="1"/>
      <c r="BU166" s="1"/>
      <c r="BV166" s="1"/>
      <c r="BW166" s="1"/>
      <c r="BX166" s="1"/>
      <c r="BY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D166" s="1"/>
      <c r="GE166" s="1"/>
      <c r="GF166" s="1"/>
      <c r="GG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</row>
    <row r="167" spans="3:222" x14ac:dyDescent="0.3"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O167" s="1"/>
      <c r="AP167" s="1"/>
      <c r="AQ167" s="1"/>
      <c r="AR167" s="1"/>
      <c r="AS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Q167" s="1"/>
      <c r="BR167" s="1"/>
      <c r="BS167" s="1"/>
      <c r="BT167" s="1"/>
      <c r="BU167" s="1"/>
      <c r="BV167" s="1"/>
      <c r="BW167" s="1"/>
      <c r="BX167" s="1"/>
      <c r="BY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D167" s="1"/>
      <c r="GE167" s="1"/>
      <c r="GF167" s="1"/>
      <c r="GG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</row>
    <row r="168" spans="3:222" x14ac:dyDescent="0.3"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O168" s="1"/>
      <c r="AP168" s="1"/>
      <c r="AQ168" s="1"/>
      <c r="AR168" s="1"/>
      <c r="AS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Q168" s="1"/>
      <c r="BR168" s="1"/>
      <c r="BS168" s="1"/>
      <c r="BT168" s="1"/>
      <c r="BU168" s="1"/>
      <c r="BV168" s="1"/>
      <c r="BW168" s="1"/>
      <c r="BX168" s="1"/>
      <c r="BY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D168" s="1"/>
      <c r="GE168" s="1"/>
      <c r="GF168" s="1"/>
      <c r="GG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</row>
    <row r="169" spans="3:222" x14ac:dyDescent="0.3"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O169" s="1"/>
      <c r="AP169" s="1"/>
      <c r="AQ169" s="1"/>
      <c r="AR169" s="1"/>
      <c r="AS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Q169" s="1"/>
      <c r="BR169" s="1"/>
      <c r="BS169" s="1"/>
      <c r="BT169" s="1"/>
      <c r="BU169" s="1"/>
      <c r="BV169" s="1"/>
      <c r="BW169" s="1"/>
      <c r="BX169" s="1"/>
      <c r="BY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D169" s="1"/>
      <c r="GE169" s="1"/>
      <c r="GF169" s="1"/>
      <c r="GG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</row>
    <row r="170" spans="3:222" x14ac:dyDescent="0.3"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O170" s="1"/>
      <c r="AP170" s="1"/>
      <c r="AQ170" s="1"/>
      <c r="AR170" s="1"/>
      <c r="AS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Q170" s="1"/>
      <c r="BR170" s="1"/>
      <c r="BS170" s="1"/>
      <c r="BT170" s="1"/>
      <c r="BU170" s="1"/>
      <c r="BV170" s="1"/>
      <c r="BW170" s="1"/>
      <c r="BX170" s="1"/>
      <c r="BY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D170" s="1"/>
      <c r="GE170" s="1"/>
      <c r="GF170" s="1"/>
      <c r="GG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</row>
    <row r="171" spans="3:222" x14ac:dyDescent="0.3"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O171" s="1"/>
      <c r="AP171" s="1"/>
      <c r="AQ171" s="1"/>
      <c r="AR171" s="1"/>
      <c r="AS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Q171" s="1"/>
      <c r="BR171" s="1"/>
      <c r="BS171" s="1"/>
      <c r="BT171" s="1"/>
      <c r="BU171" s="1"/>
      <c r="BV171" s="1"/>
      <c r="BW171" s="1"/>
      <c r="BX171" s="1"/>
      <c r="BY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D171" s="1"/>
      <c r="GE171" s="1"/>
      <c r="GF171" s="1"/>
      <c r="GG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</row>
    <row r="172" spans="3:222" x14ac:dyDescent="0.3"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O172" s="1"/>
      <c r="AP172" s="1"/>
      <c r="AQ172" s="1"/>
      <c r="AR172" s="1"/>
      <c r="AS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Q172" s="1"/>
      <c r="BR172" s="1"/>
      <c r="BS172" s="1"/>
      <c r="BT172" s="1"/>
      <c r="BU172" s="1"/>
      <c r="BV172" s="1"/>
      <c r="BW172" s="1"/>
      <c r="BX172" s="1"/>
      <c r="BY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D172" s="1"/>
      <c r="GE172" s="1"/>
      <c r="GF172" s="1"/>
      <c r="GG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</row>
    <row r="173" spans="3:222" x14ac:dyDescent="0.3"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O173" s="1"/>
      <c r="AP173" s="1"/>
      <c r="AQ173" s="1"/>
      <c r="AR173" s="1"/>
      <c r="AS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Q173" s="1"/>
      <c r="BR173" s="1"/>
      <c r="BS173" s="1"/>
      <c r="BT173" s="1"/>
      <c r="BU173" s="1"/>
      <c r="BV173" s="1"/>
      <c r="BW173" s="1"/>
      <c r="BX173" s="1"/>
      <c r="BY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D173" s="1"/>
      <c r="GE173" s="1"/>
      <c r="GF173" s="1"/>
      <c r="GG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</row>
    <row r="174" spans="3:222" x14ac:dyDescent="0.3"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O174" s="1"/>
      <c r="AP174" s="1"/>
      <c r="AQ174" s="1"/>
      <c r="AR174" s="1"/>
      <c r="AS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Q174" s="1"/>
      <c r="BR174" s="1"/>
      <c r="BS174" s="1"/>
      <c r="BT174" s="1"/>
      <c r="BU174" s="1"/>
      <c r="BV174" s="1"/>
      <c r="BW174" s="1"/>
      <c r="BX174" s="1"/>
      <c r="BY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D174" s="1"/>
      <c r="GE174" s="1"/>
      <c r="GF174" s="1"/>
      <c r="GG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</row>
    <row r="175" spans="3:222" x14ac:dyDescent="0.3"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O175" s="1"/>
      <c r="AP175" s="1"/>
      <c r="AQ175" s="1"/>
      <c r="AR175" s="1"/>
      <c r="AS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Q175" s="1"/>
      <c r="BR175" s="1"/>
      <c r="BS175" s="1"/>
      <c r="BT175" s="1"/>
      <c r="BU175" s="1"/>
      <c r="BV175" s="1"/>
      <c r="BW175" s="1"/>
      <c r="BX175" s="1"/>
      <c r="BY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D175" s="1"/>
      <c r="GE175" s="1"/>
      <c r="GF175" s="1"/>
      <c r="GG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</row>
    <row r="176" spans="3:222" x14ac:dyDescent="0.3"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O176" s="1"/>
      <c r="AP176" s="1"/>
      <c r="AQ176" s="1"/>
      <c r="AR176" s="1"/>
      <c r="AS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Q176" s="1"/>
      <c r="BR176" s="1"/>
      <c r="BS176" s="1"/>
      <c r="BT176" s="1"/>
      <c r="BU176" s="1"/>
      <c r="BV176" s="1"/>
      <c r="BW176" s="1"/>
      <c r="BX176" s="1"/>
      <c r="BY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D176" s="1"/>
      <c r="GE176" s="1"/>
      <c r="GF176" s="1"/>
      <c r="GG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</row>
    <row r="177" spans="3:222" x14ac:dyDescent="0.3"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O177" s="1"/>
      <c r="AP177" s="1"/>
      <c r="AQ177" s="1"/>
      <c r="AR177" s="1"/>
      <c r="AS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Q177" s="1"/>
      <c r="BR177" s="1"/>
      <c r="BS177" s="1"/>
      <c r="BT177" s="1"/>
      <c r="BU177" s="1"/>
      <c r="BV177" s="1"/>
      <c r="BW177" s="1"/>
      <c r="BX177" s="1"/>
      <c r="BY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D177" s="1"/>
      <c r="GE177" s="1"/>
      <c r="GF177" s="1"/>
      <c r="GG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</row>
    <row r="178" spans="3:222" x14ac:dyDescent="0.3"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O178" s="1"/>
      <c r="AP178" s="1"/>
      <c r="AQ178" s="1"/>
      <c r="AR178" s="1"/>
      <c r="AS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Q178" s="1"/>
      <c r="BR178" s="1"/>
      <c r="BS178" s="1"/>
      <c r="BT178" s="1"/>
      <c r="BU178" s="1"/>
      <c r="BV178" s="1"/>
      <c r="BW178" s="1"/>
      <c r="BX178" s="1"/>
      <c r="BY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D178" s="1"/>
      <c r="GE178" s="1"/>
      <c r="GF178" s="1"/>
      <c r="GG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</row>
    <row r="179" spans="3:222" x14ac:dyDescent="0.3"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O179" s="1"/>
      <c r="AP179" s="1"/>
      <c r="AQ179" s="1"/>
      <c r="AR179" s="1"/>
      <c r="AS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Q179" s="1"/>
      <c r="BR179" s="1"/>
      <c r="BS179" s="1"/>
      <c r="BT179" s="1"/>
      <c r="BU179" s="1"/>
      <c r="BV179" s="1"/>
      <c r="BW179" s="1"/>
      <c r="BX179" s="1"/>
      <c r="BY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D179" s="1"/>
      <c r="GE179" s="1"/>
      <c r="GF179" s="1"/>
      <c r="GG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</row>
    <row r="180" spans="3:222" x14ac:dyDescent="0.3"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O180" s="1"/>
      <c r="AP180" s="1"/>
      <c r="AQ180" s="1"/>
      <c r="AR180" s="1"/>
      <c r="AS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Q180" s="1"/>
      <c r="BR180" s="1"/>
      <c r="BS180" s="1"/>
      <c r="BT180" s="1"/>
      <c r="BU180" s="1"/>
      <c r="BV180" s="1"/>
      <c r="BW180" s="1"/>
      <c r="BX180" s="1"/>
      <c r="BY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D180" s="1"/>
      <c r="GE180" s="1"/>
      <c r="GF180" s="1"/>
      <c r="GG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</row>
    <row r="181" spans="3:222" x14ac:dyDescent="0.3"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O181" s="1"/>
      <c r="AP181" s="1"/>
      <c r="AQ181" s="1"/>
      <c r="AR181" s="1"/>
      <c r="AS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Q181" s="1"/>
      <c r="BR181" s="1"/>
      <c r="BS181" s="1"/>
      <c r="BT181" s="1"/>
      <c r="BU181" s="1"/>
      <c r="BV181" s="1"/>
      <c r="BW181" s="1"/>
      <c r="BX181" s="1"/>
      <c r="BY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D181" s="1"/>
      <c r="GE181" s="1"/>
      <c r="GF181" s="1"/>
      <c r="GG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</row>
    <row r="182" spans="3:222" x14ac:dyDescent="0.3"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O182" s="1"/>
      <c r="AP182" s="1"/>
      <c r="AQ182" s="1"/>
      <c r="AR182" s="1"/>
      <c r="AS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Q182" s="1"/>
      <c r="BR182" s="1"/>
      <c r="BS182" s="1"/>
      <c r="BT182" s="1"/>
      <c r="BU182" s="1"/>
      <c r="BV182" s="1"/>
      <c r="BW182" s="1"/>
      <c r="BX182" s="1"/>
      <c r="BY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D182" s="1"/>
      <c r="GE182" s="1"/>
      <c r="GF182" s="1"/>
      <c r="GG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</row>
    <row r="183" spans="3:222" x14ac:dyDescent="0.3"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O183" s="1"/>
      <c r="AP183" s="1"/>
      <c r="AQ183" s="1"/>
      <c r="AR183" s="1"/>
      <c r="AS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Q183" s="1"/>
      <c r="BR183" s="1"/>
      <c r="BS183" s="1"/>
      <c r="BT183" s="1"/>
      <c r="BU183" s="1"/>
      <c r="BV183" s="1"/>
      <c r="BW183" s="1"/>
      <c r="BX183" s="1"/>
      <c r="BY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D183" s="1"/>
      <c r="GE183" s="1"/>
      <c r="GF183" s="1"/>
      <c r="GG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</row>
    <row r="184" spans="3:222" x14ac:dyDescent="0.3"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O184" s="1"/>
      <c r="AP184" s="1"/>
      <c r="AQ184" s="1"/>
      <c r="AR184" s="1"/>
      <c r="AS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Q184" s="1"/>
      <c r="BR184" s="1"/>
      <c r="BS184" s="1"/>
      <c r="BT184" s="1"/>
      <c r="BU184" s="1"/>
      <c r="BV184" s="1"/>
      <c r="BW184" s="1"/>
      <c r="BX184" s="1"/>
      <c r="BY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D184" s="1"/>
      <c r="GE184" s="1"/>
      <c r="GF184" s="1"/>
      <c r="GG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</row>
    <row r="185" spans="3:222" x14ac:dyDescent="0.3"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O185" s="1"/>
      <c r="AP185" s="1"/>
      <c r="AQ185" s="1"/>
      <c r="AR185" s="1"/>
      <c r="AS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Q185" s="1"/>
      <c r="BR185" s="1"/>
      <c r="BS185" s="1"/>
      <c r="BT185" s="1"/>
      <c r="BU185" s="1"/>
      <c r="BV185" s="1"/>
      <c r="BW185" s="1"/>
      <c r="BX185" s="1"/>
      <c r="BY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D185" s="1"/>
      <c r="GE185" s="1"/>
      <c r="GF185" s="1"/>
      <c r="GG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</row>
    <row r="186" spans="3:222" x14ac:dyDescent="0.3"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O186" s="1"/>
      <c r="AP186" s="1"/>
      <c r="AQ186" s="1"/>
      <c r="AR186" s="1"/>
      <c r="AS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Q186" s="1"/>
      <c r="BR186" s="1"/>
      <c r="BS186" s="1"/>
      <c r="BT186" s="1"/>
      <c r="BU186" s="1"/>
      <c r="BV186" s="1"/>
      <c r="BW186" s="1"/>
      <c r="BX186" s="1"/>
      <c r="BY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D186" s="1"/>
      <c r="GE186" s="1"/>
      <c r="GF186" s="1"/>
      <c r="GG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</row>
    <row r="187" spans="3:222" x14ac:dyDescent="0.3"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O187" s="1"/>
      <c r="AP187" s="1"/>
      <c r="AQ187" s="1"/>
      <c r="AR187" s="1"/>
      <c r="AS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Q187" s="1"/>
      <c r="BR187" s="1"/>
      <c r="BS187" s="1"/>
      <c r="BT187" s="1"/>
      <c r="BU187" s="1"/>
      <c r="BV187" s="1"/>
      <c r="BW187" s="1"/>
      <c r="BX187" s="1"/>
      <c r="BY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D187" s="1"/>
      <c r="GE187" s="1"/>
      <c r="GF187" s="1"/>
      <c r="GG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</row>
    <row r="188" spans="3:222" x14ac:dyDescent="0.3"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O188" s="1"/>
      <c r="AP188" s="1"/>
      <c r="AQ188" s="1"/>
      <c r="AR188" s="1"/>
      <c r="AS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Q188" s="1"/>
      <c r="BR188" s="1"/>
      <c r="BS188" s="1"/>
      <c r="BT188" s="1"/>
      <c r="BU188" s="1"/>
      <c r="BV188" s="1"/>
      <c r="BW188" s="1"/>
      <c r="BX188" s="1"/>
      <c r="BY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D188" s="1"/>
      <c r="GE188" s="1"/>
      <c r="GF188" s="1"/>
      <c r="GG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</row>
    <row r="189" spans="3:222" x14ac:dyDescent="0.3"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O189" s="1"/>
      <c r="AP189" s="1"/>
      <c r="AQ189" s="1"/>
      <c r="AR189" s="1"/>
      <c r="AS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Q189" s="1"/>
      <c r="BR189" s="1"/>
      <c r="BS189" s="1"/>
      <c r="BT189" s="1"/>
      <c r="BU189" s="1"/>
      <c r="BV189" s="1"/>
      <c r="BW189" s="1"/>
      <c r="BX189" s="1"/>
      <c r="BY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D189" s="1"/>
      <c r="GE189" s="1"/>
      <c r="GF189" s="1"/>
      <c r="GG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</row>
    <row r="190" spans="3:222" x14ac:dyDescent="0.3"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O190" s="1"/>
      <c r="AP190" s="1"/>
      <c r="AQ190" s="1"/>
      <c r="AR190" s="1"/>
      <c r="AS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Q190" s="1"/>
      <c r="BR190" s="1"/>
      <c r="BS190" s="1"/>
      <c r="BT190" s="1"/>
      <c r="BU190" s="1"/>
      <c r="BV190" s="1"/>
      <c r="BW190" s="1"/>
      <c r="BX190" s="1"/>
      <c r="BY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D190" s="1"/>
      <c r="GE190" s="1"/>
      <c r="GF190" s="1"/>
      <c r="GG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</row>
    <row r="191" spans="3:222" x14ac:dyDescent="0.3"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O191" s="1"/>
      <c r="AP191" s="1"/>
      <c r="AQ191" s="1"/>
      <c r="AR191" s="1"/>
      <c r="AS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Q191" s="1"/>
      <c r="BR191" s="1"/>
      <c r="BS191" s="1"/>
      <c r="BT191" s="1"/>
      <c r="BU191" s="1"/>
      <c r="BV191" s="1"/>
      <c r="BW191" s="1"/>
      <c r="BX191" s="1"/>
      <c r="BY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D191" s="1"/>
      <c r="GE191" s="1"/>
      <c r="GF191" s="1"/>
      <c r="GG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</row>
    <row r="192" spans="3:222" x14ac:dyDescent="0.3"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O192" s="1"/>
      <c r="AP192" s="1"/>
      <c r="AQ192" s="1"/>
      <c r="AR192" s="1"/>
      <c r="AS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Q192" s="1"/>
      <c r="BR192" s="1"/>
      <c r="BS192" s="1"/>
      <c r="BT192" s="1"/>
      <c r="BU192" s="1"/>
      <c r="BV192" s="1"/>
      <c r="BW192" s="1"/>
      <c r="BX192" s="1"/>
      <c r="BY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D192" s="1"/>
      <c r="GE192" s="1"/>
      <c r="GF192" s="1"/>
      <c r="GG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</row>
    <row r="193" spans="3:222" x14ac:dyDescent="0.3"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O193" s="1"/>
      <c r="AP193" s="1"/>
      <c r="AQ193" s="1"/>
      <c r="AR193" s="1"/>
      <c r="AS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Q193" s="1"/>
      <c r="BR193" s="1"/>
      <c r="BS193" s="1"/>
      <c r="BT193" s="1"/>
      <c r="BU193" s="1"/>
      <c r="BV193" s="1"/>
      <c r="BW193" s="1"/>
      <c r="BX193" s="1"/>
      <c r="BY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D193" s="1"/>
      <c r="GE193" s="1"/>
      <c r="GF193" s="1"/>
      <c r="GG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</row>
    <row r="194" spans="3:222" x14ac:dyDescent="0.3"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O194" s="1"/>
      <c r="AP194" s="1"/>
      <c r="AQ194" s="1"/>
      <c r="AR194" s="1"/>
      <c r="AS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Q194" s="1"/>
      <c r="BR194" s="1"/>
      <c r="BS194" s="1"/>
      <c r="BT194" s="1"/>
      <c r="BU194" s="1"/>
      <c r="BV194" s="1"/>
      <c r="BW194" s="1"/>
      <c r="BX194" s="1"/>
      <c r="BY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D194" s="1"/>
      <c r="GE194" s="1"/>
      <c r="GF194" s="1"/>
      <c r="GG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</row>
    <row r="195" spans="3:222" x14ac:dyDescent="0.3"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O195" s="1"/>
      <c r="AP195" s="1"/>
      <c r="AQ195" s="1"/>
      <c r="AR195" s="1"/>
      <c r="AS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Q195" s="1"/>
      <c r="BR195" s="1"/>
      <c r="BS195" s="1"/>
      <c r="BT195" s="1"/>
      <c r="BU195" s="1"/>
      <c r="BV195" s="1"/>
      <c r="BW195" s="1"/>
      <c r="BX195" s="1"/>
      <c r="BY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D195" s="1"/>
      <c r="GE195" s="1"/>
      <c r="GF195" s="1"/>
      <c r="GG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</row>
    <row r="196" spans="3:222" x14ac:dyDescent="0.3"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O196" s="1"/>
      <c r="AP196" s="1"/>
      <c r="AQ196" s="1"/>
      <c r="AR196" s="1"/>
      <c r="AS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Q196" s="1"/>
      <c r="BR196" s="1"/>
      <c r="BS196" s="1"/>
      <c r="BT196" s="1"/>
      <c r="BU196" s="1"/>
      <c r="BV196" s="1"/>
      <c r="BW196" s="1"/>
      <c r="BX196" s="1"/>
      <c r="BY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D196" s="1"/>
      <c r="GE196" s="1"/>
      <c r="GF196" s="1"/>
      <c r="GG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</row>
    <row r="197" spans="3:222" x14ac:dyDescent="0.3"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O197" s="1"/>
      <c r="AP197" s="1"/>
      <c r="AQ197" s="1"/>
      <c r="AR197" s="1"/>
      <c r="AS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Q197" s="1"/>
      <c r="BR197" s="1"/>
      <c r="BS197" s="1"/>
      <c r="BT197" s="1"/>
      <c r="BU197" s="1"/>
      <c r="BV197" s="1"/>
      <c r="BW197" s="1"/>
      <c r="BX197" s="1"/>
      <c r="BY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D197" s="1"/>
      <c r="GE197" s="1"/>
      <c r="GF197" s="1"/>
      <c r="GG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</row>
    <row r="198" spans="3:222" x14ac:dyDescent="0.3"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O198" s="1"/>
      <c r="AP198" s="1"/>
      <c r="AQ198" s="1"/>
      <c r="AR198" s="1"/>
      <c r="AS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Q198" s="1"/>
      <c r="BR198" s="1"/>
      <c r="BS198" s="1"/>
      <c r="BT198" s="1"/>
      <c r="BU198" s="1"/>
      <c r="BV198" s="1"/>
      <c r="BW198" s="1"/>
      <c r="BX198" s="1"/>
      <c r="BY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D198" s="1"/>
      <c r="GE198" s="1"/>
      <c r="GF198" s="1"/>
      <c r="GG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</row>
    <row r="199" spans="3:222" x14ac:dyDescent="0.3"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O199" s="1"/>
      <c r="AP199" s="1"/>
      <c r="AQ199" s="1"/>
      <c r="AR199" s="1"/>
      <c r="AS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Q199" s="1"/>
      <c r="BR199" s="1"/>
      <c r="BS199" s="1"/>
      <c r="BT199" s="1"/>
      <c r="BU199" s="1"/>
      <c r="BV199" s="1"/>
      <c r="BW199" s="1"/>
      <c r="BX199" s="1"/>
      <c r="BY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D199" s="1"/>
      <c r="GE199" s="1"/>
      <c r="GF199" s="1"/>
      <c r="GG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</row>
    <row r="200" spans="3:222" x14ac:dyDescent="0.3"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O200" s="1"/>
      <c r="AP200" s="1"/>
      <c r="AQ200" s="1"/>
      <c r="AR200" s="1"/>
      <c r="AS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Q200" s="1"/>
      <c r="BR200" s="1"/>
      <c r="BS200" s="1"/>
      <c r="BT200" s="1"/>
      <c r="BU200" s="1"/>
      <c r="BV200" s="1"/>
      <c r="BW200" s="1"/>
      <c r="BX200" s="1"/>
      <c r="BY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D200" s="1"/>
      <c r="GE200" s="1"/>
      <c r="GF200" s="1"/>
      <c r="GG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</row>
    <row r="201" spans="3:222" x14ac:dyDescent="0.3"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O201" s="1"/>
      <c r="AP201" s="1"/>
      <c r="AQ201" s="1"/>
      <c r="AR201" s="1"/>
      <c r="AS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Q201" s="1"/>
      <c r="BR201" s="1"/>
      <c r="BS201" s="1"/>
      <c r="BT201" s="1"/>
      <c r="BU201" s="1"/>
      <c r="BV201" s="1"/>
      <c r="BW201" s="1"/>
      <c r="BX201" s="1"/>
      <c r="BY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D201" s="1"/>
      <c r="GE201" s="1"/>
      <c r="GF201" s="1"/>
      <c r="GG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</row>
    <row r="202" spans="3:222" x14ac:dyDescent="0.3"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O202" s="1"/>
      <c r="AP202" s="1"/>
      <c r="AQ202" s="1"/>
      <c r="AR202" s="1"/>
      <c r="AS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Q202" s="1"/>
      <c r="BR202" s="1"/>
      <c r="BS202" s="1"/>
      <c r="BT202" s="1"/>
      <c r="BU202" s="1"/>
      <c r="BV202" s="1"/>
      <c r="BW202" s="1"/>
      <c r="BX202" s="1"/>
      <c r="BY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D202" s="1"/>
      <c r="GE202" s="1"/>
      <c r="GF202" s="1"/>
      <c r="GG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</row>
    <row r="203" spans="3:222" x14ac:dyDescent="0.3"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O203" s="1"/>
      <c r="AP203" s="1"/>
      <c r="AQ203" s="1"/>
      <c r="AR203" s="1"/>
      <c r="AS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Q203" s="1"/>
      <c r="BR203" s="1"/>
      <c r="BS203" s="1"/>
      <c r="BT203" s="1"/>
      <c r="BU203" s="1"/>
      <c r="BV203" s="1"/>
      <c r="BW203" s="1"/>
      <c r="BX203" s="1"/>
      <c r="BY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D203" s="1"/>
      <c r="GE203" s="1"/>
      <c r="GF203" s="1"/>
      <c r="GG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</row>
    <row r="204" spans="3:222" x14ac:dyDescent="0.3"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O204" s="1"/>
      <c r="AP204" s="1"/>
      <c r="AQ204" s="1"/>
      <c r="AR204" s="1"/>
      <c r="AS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Q204" s="1"/>
      <c r="BR204" s="1"/>
      <c r="BS204" s="1"/>
      <c r="BT204" s="1"/>
      <c r="BU204" s="1"/>
      <c r="BV204" s="1"/>
      <c r="BW204" s="1"/>
      <c r="BX204" s="1"/>
      <c r="BY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D204" s="1"/>
      <c r="GE204" s="1"/>
      <c r="GF204" s="1"/>
      <c r="GG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</row>
    <row r="205" spans="3:222" x14ac:dyDescent="0.3"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O205" s="1"/>
      <c r="AP205" s="1"/>
      <c r="AQ205" s="1"/>
      <c r="AR205" s="1"/>
      <c r="AS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Q205" s="1"/>
      <c r="BR205" s="1"/>
      <c r="BS205" s="1"/>
      <c r="BT205" s="1"/>
      <c r="BU205" s="1"/>
      <c r="BV205" s="1"/>
      <c r="BW205" s="1"/>
      <c r="BX205" s="1"/>
      <c r="BY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D205" s="1"/>
      <c r="GE205" s="1"/>
      <c r="GF205" s="1"/>
      <c r="GG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</row>
    <row r="206" spans="3:222" x14ac:dyDescent="0.3"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O206" s="1"/>
      <c r="AP206" s="1"/>
      <c r="AQ206" s="1"/>
      <c r="AR206" s="1"/>
      <c r="AS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Q206" s="1"/>
      <c r="BR206" s="1"/>
      <c r="BS206" s="1"/>
      <c r="BT206" s="1"/>
      <c r="BU206" s="1"/>
      <c r="BV206" s="1"/>
      <c r="BW206" s="1"/>
      <c r="BX206" s="1"/>
      <c r="BY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D206" s="1"/>
      <c r="GE206" s="1"/>
      <c r="GF206" s="1"/>
      <c r="GG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</row>
    <row r="207" spans="3:222" x14ac:dyDescent="0.3"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O207" s="1"/>
      <c r="AP207" s="1"/>
      <c r="AQ207" s="1"/>
      <c r="AR207" s="1"/>
      <c r="AS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Q207" s="1"/>
      <c r="BR207" s="1"/>
      <c r="BS207" s="1"/>
      <c r="BT207" s="1"/>
      <c r="BU207" s="1"/>
      <c r="BV207" s="1"/>
      <c r="BW207" s="1"/>
      <c r="BX207" s="1"/>
      <c r="BY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D207" s="1"/>
      <c r="GE207" s="1"/>
      <c r="GF207" s="1"/>
      <c r="GG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</row>
    <row r="208" spans="3:222" x14ac:dyDescent="0.3"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O208" s="1"/>
      <c r="AP208" s="1"/>
      <c r="AQ208" s="1"/>
      <c r="AR208" s="1"/>
      <c r="AS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Q208" s="1"/>
      <c r="BR208" s="1"/>
      <c r="BS208" s="1"/>
      <c r="BT208" s="1"/>
      <c r="BU208" s="1"/>
      <c r="BV208" s="1"/>
      <c r="BW208" s="1"/>
      <c r="BX208" s="1"/>
      <c r="BY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D208" s="1"/>
      <c r="GE208" s="1"/>
      <c r="GF208" s="1"/>
      <c r="GG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</row>
    <row r="209" spans="3:222" x14ac:dyDescent="0.3"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O209" s="1"/>
      <c r="AP209" s="1"/>
      <c r="AQ209" s="1"/>
      <c r="AR209" s="1"/>
      <c r="AS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Q209" s="1"/>
      <c r="BR209" s="1"/>
      <c r="BS209" s="1"/>
      <c r="BT209" s="1"/>
      <c r="BU209" s="1"/>
      <c r="BV209" s="1"/>
      <c r="BW209" s="1"/>
      <c r="BX209" s="1"/>
      <c r="BY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D209" s="1"/>
      <c r="GE209" s="1"/>
      <c r="GF209" s="1"/>
      <c r="GG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</row>
    <row r="210" spans="3:222" x14ac:dyDescent="0.3"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O210" s="1"/>
      <c r="AP210" s="1"/>
      <c r="AQ210" s="1"/>
      <c r="AR210" s="1"/>
      <c r="AS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Q210" s="1"/>
      <c r="BR210" s="1"/>
      <c r="BS210" s="1"/>
      <c r="BT210" s="1"/>
      <c r="BU210" s="1"/>
      <c r="BV210" s="1"/>
      <c r="BW210" s="1"/>
      <c r="BX210" s="1"/>
      <c r="BY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D210" s="1"/>
      <c r="GE210" s="1"/>
      <c r="GF210" s="1"/>
      <c r="GG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</row>
    <row r="211" spans="3:222" x14ac:dyDescent="0.3"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O211" s="1"/>
      <c r="AP211" s="1"/>
      <c r="AQ211" s="1"/>
      <c r="AR211" s="1"/>
      <c r="AS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Q211" s="1"/>
      <c r="BR211" s="1"/>
      <c r="BS211" s="1"/>
      <c r="BT211" s="1"/>
      <c r="BU211" s="1"/>
      <c r="BV211" s="1"/>
      <c r="BW211" s="1"/>
      <c r="BX211" s="1"/>
      <c r="BY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D211" s="1"/>
      <c r="GE211" s="1"/>
      <c r="GF211" s="1"/>
      <c r="GG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</row>
    <row r="212" spans="3:222" x14ac:dyDescent="0.3"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O212" s="1"/>
      <c r="AP212" s="1"/>
      <c r="AQ212" s="1"/>
      <c r="AR212" s="1"/>
      <c r="AS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Q212" s="1"/>
      <c r="BR212" s="1"/>
      <c r="BS212" s="1"/>
      <c r="BT212" s="1"/>
      <c r="BU212" s="1"/>
      <c r="BV212" s="1"/>
      <c r="BW212" s="1"/>
      <c r="BX212" s="1"/>
      <c r="BY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D212" s="1"/>
      <c r="GE212" s="1"/>
      <c r="GF212" s="1"/>
      <c r="GG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</row>
    <row r="213" spans="3:222" x14ac:dyDescent="0.3"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O213" s="1"/>
      <c r="AP213" s="1"/>
      <c r="AQ213" s="1"/>
      <c r="AR213" s="1"/>
      <c r="AS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Q213" s="1"/>
      <c r="BR213" s="1"/>
      <c r="BS213" s="1"/>
      <c r="BT213" s="1"/>
      <c r="BU213" s="1"/>
      <c r="BV213" s="1"/>
      <c r="BW213" s="1"/>
      <c r="BX213" s="1"/>
      <c r="BY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D213" s="1"/>
      <c r="GE213" s="1"/>
      <c r="GF213" s="1"/>
      <c r="GG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</row>
    <row r="214" spans="3:222" x14ac:dyDescent="0.3"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O214" s="1"/>
      <c r="AP214" s="1"/>
      <c r="AQ214" s="1"/>
      <c r="AR214" s="1"/>
      <c r="AS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Q214" s="1"/>
      <c r="BR214" s="1"/>
      <c r="BS214" s="1"/>
      <c r="BT214" s="1"/>
      <c r="BU214" s="1"/>
      <c r="BV214" s="1"/>
      <c r="BW214" s="1"/>
      <c r="BX214" s="1"/>
      <c r="BY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D214" s="1"/>
      <c r="GE214" s="1"/>
      <c r="GF214" s="1"/>
      <c r="GG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</row>
    <row r="215" spans="3:222" x14ac:dyDescent="0.3"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O215" s="1"/>
      <c r="AP215" s="1"/>
      <c r="AQ215" s="1"/>
      <c r="AR215" s="1"/>
      <c r="AS215" s="1"/>
      <c r="AU215" s="1"/>
      <c r="AV215" s="1"/>
      <c r="AW215" s="1"/>
      <c r="AX215" s="1"/>
      <c r="AY215" s="1"/>
      <c r="AZ215" s="1"/>
      <c r="BA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Q215" s="1"/>
      <c r="BR215" s="1"/>
      <c r="BS215" s="1"/>
      <c r="BT215" s="1"/>
      <c r="BU215" s="1"/>
      <c r="BV215" s="1"/>
      <c r="BW215" s="1"/>
      <c r="BX215" s="1"/>
      <c r="BY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D215" s="1"/>
      <c r="GE215" s="1"/>
      <c r="GF215" s="1"/>
      <c r="GG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</row>
    <row r="216" spans="3:222" x14ac:dyDescent="0.3"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O216" s="1"/>
      <c r="AP216" s="1"/>
      <c r="AQ216" s="1"/>
      <c r="AR216" s="1"/>
      <c r="AS216" s="1"/>
      <c r="AU216" s="1"/>
      <c r="AV216" s="1"/>
      <c r="AW216" s="1"/>
      <c r="AX216" s="1"/>
      <c r="AY216" s="1"/>
      <c r="AZ216" s="1"/>
      <c r="BA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Q216" s="1"/>
      <c r="BR216" s="1"/>
      <c r="BS216" s="1"/>
      <c r="BT216" s="1"/>
      <c r="BU216" s="1"/>
      <c r="BV216" s="1"/>
      <c r="BW216" s="1"/>
      <c r="BX216" s="1"/>
      <c r="BY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D216" s="1"/>
      <c r="GE216" s="1"/>
      <c r="GF216" s="1"/>
      <c r="GG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</row>
    <row r="217" spans="3:222" x14ac:dyDescent="0.3"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O217" s="1"/>
      <c r="AP217" s="1"/>
      <c r="AQ217" s="1"/>
      <c r="AR217" s="1"/>
      <c r="AS217" s="1"/>
      <c r="AU217" s="1"/>
      <c r="AV217" s="1"/>
      <c r="AW217" s="1"/>
      <c r="AX217" s="1"/>
      <c r="AY217" s="1"/>
      <c r="AZ217" s="1"/>
      <c r="BA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Q217" s="1"/>
      <c r="BR217" s="1"/>
      <c r="BS217" s="1"/>
      <c r="BT217" s="1"/>
      <c r="BU217" s="1"/>
      <c r="BV217" s="1"/>
      <c r="BW217" s="1"/>
      <c r="BX217" s="1"/>
      <c r="BY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D217" s="1"/>
      <c r="GE217" s="1"/>
      <c r="GF217" s="1"/>
      <c r="GG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</row>
    <row r="218" spans="3:222" x14ac:dyDescent="0.3"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O218" s="1"/>
      <c r="AP218" s="1"/>
      <c r="AQ218" s="1"/>
      <c r="AR218" s="1"/>
      <c r="AS218" s="1"/>
      <c r="AU218" s="1"/>
      <c r="AV218" s="1"/>
      <c r="AW218" s="1"/>
      <c r="AX218" s="1"/>
      <c r="AY218" s="1"/>
      <c r="AZ218" s="1"/>
      <c r="BA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Q218" s="1"/>
      <c r="BR218" s="1"/>
      <c r="BS218" s="1"/>
      <c r="BT218" s="1"/>
      <c r="BU218" s="1"/>
      <c r="BV218" s="1"/>
      <c r="BW218" s="1"/>
      <c r="BX218" s="1"/>
      <c r="BY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D218" s="1"/>
      <c r="GE218" s="1"/>
      <c r="GF218" s="1"/>
      <c r="GG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</row>
    <row r="219" spans="3:222" x14ac:dyDescent="0.3"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O219" s="1"/>
      <c r="AP219" s="1"/>
      <c r="AQ219" s="1"/>
      <c r="AR219" s="1"/>
      <c r="AS219" s="1"/>
      <c r="AU219" s="1"/>
      <c r="AV219" s="1"/>
      <c r="AW219" s="1"/>
      <c r="AX219" s="1"/>
      <c r="AY219" s="1"/>
      <c r="AZ219" s="1"/>
      <c r="BA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Q219" s="1"/>
      <c r="BR219" s="1"/>
      <c r="BS219" s="1"/>
      <c r="BT219" s="1"/>
      <c r="BU219" s="1"/>
      <c r="BV219" s="1"/>
      <c r="BW219" s="1"/>
      <c r="BX219" s="1"/>
      <c r="BY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D219" s="1"/>
      <c r="GE219" s="1"/>
      <c r="GF219" s="1"/>
      <c r="GG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</row>
    <row r="220" spans="3:222" x14ac:dyDescent="0.3"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O220" s="1"/>
      <c r="AP220" s="1"/>
      <c r="AQ220" s="1"/>
      <c r="AR220" s="1"/>
      <c r="AS220" s="1"/>
      <c r="AU220" s="1"/>
      <c r="AV220" s="1"/>
      <c r="AW220" s="1"/>
      <c r="AX220" s="1"/>
      <c r="AY220" s="1"/>
      <c r="AZ220" s="1"/>
      <c r="BA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Q220" s="1"/>
      <c r="BR220" s="1"/>
      <c r="BS220" s="1"/>
      <c r="BT220" s="1"/>
      <c r="BU220" s="1"/>
      <c r="BV220" s="1"/>
      <c r="BW220" s="1"/>
      <c r="BX220" s="1"/>
      <c r="BY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D220" s="1"/>
      <c r="GE220" s="1"/>
      <c r="GF220" s="1"/>
      <c r="GG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</row>
    <row r="221" spans="3:222" x14ac:dyDescent="0.3"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O221" s="1"/>
      <c r="AP221" s="1"/>
      <c r="AQ221" s="1"/>
      <c r="AR221" s="1"/>
      <c r="AS221" s="1"/>
      <c r="AU221" s="1"/>
      <c r="AV221" s="1"/>
      <c r="AW221" s="1"/>
      <c r="AX221" s="1"/>
      <c r="AY221" s="1"/>
      <c r="AZ221" s="1"/>
      <c r="BA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Q221" s="1"/>
      <c r="BR221" s="1"/>
      <c r="BS221" s="1"/>
      <c r="BT221" s="1"/>
      <c r="BU221" s="1"/>
      <c r="BV221" s="1"/>
      <c r="BW221" s="1"/>
      <c r="BX221" s="1"/>
      <c r="BY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D221" s="1"/>
      <c r="GE221" s="1"/>
      <c r="GF221" s="1"/>
      <c r="GG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</row>
    <row r="222" spans="3:222" x14ac:dyDescent="0.3"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O222" s="1"/>
      <c r="AP222" s="1"/>
      <c r="AQ222" s="1"/>
      <c r="AR222" s="1"/>
      <c r="AS222" s="1"/>
      <c r="AU222" s="1"/>
      <c r="AV222" s="1"/>
      <c r="AW222" s="1"/>
      <c r="AX222" s="1"/>
      <c r="AY222" s="1"/>
      <c r="AZ222" s="1"/>
      <c r="BA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Q222" s="1"/>
      <c r="BR222" s="1"/>
      <c r="BS222" s="1"/>
      <c r="BT222" s="1"/>
      <c r="BU222" s="1"/>
      <c r="BV222" s="1"/>
      <c r="BW222" s="1"/>
      <c r="BX222" s="1"/>
      <c r="BY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D222" s="1"/>
      <c r="GE222" s="1"/>
      <c r="GF222" s="1"/>
      <c r="GG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</row>
    <row r="223" spans="3:222" x14ac:dyDescent="0.3"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O223" s="1"/>
      <c r="AP223" s="1"/>
      <c r="AQ223" s="1"/>
      <c r="AR223" s="1"/>
      <c r="AS223" s="1"/>
      <c r="AU223" s="1"/>
      <c r="AV223" s="1"/>
      <c r="AW223" s="1"/>
      <c r="AX223" s="1"/>
      <c r="AY223" s="1"/>
      <c r="AZ223" s="1"/>
      <c r="BA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Q223" s="1"/>
      <c r="BR223" s="1"/>
      <c r="BS223" s="1"/>
      <c r="BT223" s="1"/>
      <c r="BU223" s="1"/>
      <c r="BV223" s="1"/>
      <c r="BW223" s="1"/>
      <c r="BX223" s="1"/>
      <c r="BY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D223" s="1"/>
      <c r="GE223" s="1"/>
      <c r="GF223" s="1"/>
      <c r="GG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</row>
    <row r="224" spans="3:222" x14ac:dyDescent="0.3"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O224" s="1"/>
      <c r="AP224" s="1"/>
      <c r="AQ224" s="1"/>
      <c r="AR224" s="1"/>
      <c r="AS224" s="1"/>
      <c r="AU224" s="1"/>
      <c r="AV224" s="1"/>
      <c r="AW224" s="1"/>
      <c r="AX224" s="1"/>
      <c r="AY224" s="1"/>
      <c r="AZ224" s="1"/>
      <c r="BA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Q224" s="1"/>
      <c r="BR224" s="1"/>
      <c r="BS224" s="1"/>
      <c r="BT224" s="1"/>
      <c r="BU224" s="1"/>
      <c r="BV224" s="1"/>
      <c r="BW224" s="1"/>
      <c r="BX224" s="1"/>
      <c r="BY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D224" s="1"/>
      <c r="GE224" s="1"/>
      <c r="GF224" s="1"/>
      <c r="GG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</row>
    <row r="225" spans="3:222" x14ac:dyDescent="0.3"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O225" s="1"/>
      <c r="AP225" s="1"/>
      <c r="AQ225" s="1"/>
      <c r="AR225" s="1"/>
      <c r="AS225" s="1"/>
      <c r="AU225" s="1"/>
      <c r="AV225" s="1"/>
      <c r="AW225" s="1"/>
      <c r="AX225" s="1"/>
      <c r="AY225" s="1"/>
      <c r="AZ225" s="1"/>
      <c r="BA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Q225" s="1"/>
      <c r="BR225" s="1"/>
      <c r="BS225" s="1"/>
      <c r="BT225" s="1"/>
      <c r="BU225" s="1"/>
      <c r="BV225" s="1"/>
      <c r="BW225" s="1"/>
      <c r="BX225" s="1"/>
      <c r="BY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D225" s="1"/>
      <c r="GE225" s="1"/>
      <c r="GF225" s="1"/>
      <c r="GG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</row>
    <row r="226" spans="3:222" x14ac:dyDescent="0.3"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O226" s="1"/>
      <c r="AP226" s="1"/>
      <c r="AQ226" s="1"/>
      <c r="AR226" s="1"/>
      <c r="AS226" s="1"/>
      <c r="AU226" s="1"/>
      <c r="AV226" s="1"/>
      <c r="AW226" s="1"/>
      <c r="AX226" s="1"/>
      <c r="AY226" s="1"/>
      <c r="AZ226" s="1"/>
      <c r="BA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Q226" s="1"/>
      <c r="BR226" s="1"/>
      <c r="BS226" s="1"/>
      <c r="BT226" s="1"/>
      <c r="BU226" s="1"/>
      <c r="BV226" s="1"/>
      <c r="BW226" s="1"/>
      <c r="BX226" s="1"/>
      <c r="BY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D226" s="1"/>
      <c r="GE226" s="1"/>
      <c r="GF226" s="1"/>
      <c r="GG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</row>
    <row r="227" spans="3:222" x14ac:dyDescent="0.3"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O227" s="1"/>
      <c r="AP227" s="1"/>
      <c r="AQ227" s="1"/>
      <c r="AR227" s="1"/>
      <c r="AS227" s="1"/>
      <c r="AU227" s="1"/>
      <c r="AV227" s="1"/>
      <c r="AW227" s="1"/>
      <c r="AX227" s="1"/>
      <c r="AY227" s="1"/>
      <c r="AZ227" s="1"/>
      <c r="BA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Q227" s="1"/>
      <c r="BR227" s="1"/>
      <c r="BS227" s="1"/>
      <c r="BT227" s="1"/>
      <c r="BU227" s="1"/>
      <c r="BV227" s="1"/>
      <c r="BW227" s="1"/>
      <c r="BX227" s="1"/>
      <c r="BY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D227" s="1"/>
      <c r="GE227" s="1"/>
      <c r="GF227" s="1"/>
      <c r="GG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</row>
    <row r="228" spans="3:222" x14ac:dyDescent="0.3"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O228" s="1"/>
      <c r="AP228" s="1"/>
      <c r="AQ228" s="1"/>
      <c r="AR228" s="1"/>
      <c r="AS228" s="1"/>
      <c r="AU228" s="1"/>
      <c r="AV228" s="1"/>
      <c r="AW228" s="1"/>
      <c r="AX228" s="1"/>
      <c r="AY228" s="1"/>
      <c r="AZ228" s="1"/>
      <c r="BA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Q228" s="1"/>
      <c r="BR228" s="1"/>
      <c r="BS228" s="1"/>
      <c r="BT228" s="1"/>
      <c r="BU228" s="1"/>
      <c r="BV228" s="1"/>
      <c r="BW228" s="1"/>
      <c r="BX228" s="1"/>
      <c r="BY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D228" s="1"/>
      <c r="GE228" s="1"/>
      <c r="GF228" s="1"/>
      <c r="GG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</row>
    <row r="229" spans="3:222" x14ac:dyDescent="0.3"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O229" s="1"/>
      <c r="AP229" s="1"/>
      <c r="AQ229" s="1"/>
      <c r="AR229" s="1"/>
      <c r="AS229" s="1"/>
      <c r="AU229" s="1"/>
      <c r="AV229" s="1"/>
      <c r="AW229" s="1"/>
      <c r="AX229" s="1"/>
      <c r="AY229" s="1"/>
      <c r="AZ229" s="1"/>
      <c r="BA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Q229" s="1"/>
      <c r="BR229" s="1"/>
      <c r="BS229" s="1"/>
      <c r="BT229" s="1"/>
      <c r="BU229" s="1"/>
      <c r="BV229" s="1"/>
      <c r="BW229" s="1"/>
      <c r="BX229" s="1"/>
      <c r="BY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D229" s="1"/>
      <c r="GE229" s="1"/>
      <c r="GF229" s="1"/>
      <c r="GG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</row>
    <row r="230" spans="3:222" x14ac:dyDescent="0.3"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O230" s="1"/>
      <c r="AP230" s="1"/>
      <c r="AQ230" s="1"/>
      <c r="AR230" s="1"/>
      <c r="AS230" s="1"/>
      <c r="AU230" s="1"/>
      <c r="AV230" s="1"/>
      <c r="AW230" s="1"/>
      <c r="AX230" s="1"/>
      <c r="AY230" s="1"/>
      <c r="AZ230" s="1"/>
      <c r="BA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Q230" s="1"/>
      <c r="BR230" s="1"/>
      <c r="BS230" s="1"/>
      <c r="BT230" s="1"/>
      <c r="BU230" s="1"/>
      <c r="BV230" s="1"/>
      <c r="BW230" s="1"/>
      <c r="BX230" s="1"/>
      <c r="BY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D230" s="1"/>
      <c r="GE230" s="1"/>
      <c r="GF230" s="1"/>
      <c r="GG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</row>
    <row r="231" spans="3:222" x14ac:dyDescent="0.3"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O231" s="1"/>
      <c r="AP231" s="1"/>
      <c r="AQ231" s="1"/>
      <c r="AR231" s="1"/>
      <c r="AS231" s="1"/>
      <c r="AU231" s="1"/>
      <c r="AV231" s="1"/>
      <c r="AW231" s="1"/>
      <c r="AX231" s="1"/>
      <c r="AY231" s="1"/>
      <c r="AZ231" s="1"/>
      <c r="BA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Q231" s="1"/>
      <c r="BR231" s="1"/>
      <c r="BS231" s="1"/>
      <c r="BT231" s="1"/>
      <c r="BU231" s="1"/>
      <c r="BV231" s="1"/>
      <c r="BW231" s="1"/>
      <c r="BX231" s="1"/>
      <c r="BY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D231" s="1"/>
      <c r="GE231" s="1"/>
      <c r="GF231" s="1"/>
      <c r="GG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</row>
    <row r="232" spans="3:222" x14ac:dyDescent="0.3"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O232" s="1"/>
      <c r="AP232" s="1"/>
      <c r="AQ232" s="1"/>
      <c r="AR232" s="1"/>
      <c r="AS232" s="1"/>
      <c r="AU232" s="1"/>
      <c r="AV232" s="1"/>
      <c r="AW232" s="1"/>
      <c r="AX232" s="1"/>
      <c r="AY232" s="1"/>
      <c r="AZ232" s="1"/>
      <c r="BA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Q232" s="1"/>
      <c r="BR232" s="1"/>
      <c r="BS232" s="1"/>
      <c r="BT232" s="1"/>
      <c r="BU232" s="1"/>
      <c r="BV232" s="1"/>
      <c r="BW232" s="1"/>
      <c r="BX232" s="1"/>
      <c r="BY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D232" s="1"/>
      <c r="GE232" s="1"/>
      <c r="GF232" s="1"/>
      <c r="GG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</row>
    <row r="233" spans="3:222" x14ac:dyDescent="0.3"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O233" s="1"/>
      <c r="AP233" s="1"/>
      <c r="AQ233" s="1"/>
      <c r="AR233" s="1"/>
      <c r="AS233" s="1"/>
      <c r="AU233" s="1"/>
      <c r="AV233" s="1"/>
      <c r="AW233" s="1"/>
      <c r="AX233" s="1"/>
      <c r="AY233" s="1"/>
      <c r="AZ233" s="1"/>
      <c r="BA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Q233" s="1"/>
      <c r="BR233" s="1"/>
      <c r="BS233" s="1"/>
      <c r="BT233" s="1"/>
      <c r="BU233" s="1"/>
      <c r="BV233" s="1"/>
      <c r="BW233" s="1"/>
      <c r="BX233" s="1"/>
      <c r="BY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D233" s="1"/>
      <c r="GE233" s="1"/>
      <c r="GF233" s="1"/>
      <c r="GG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</row>
    <row r="234" spans="3:222" x14ac:dyDescent="0.3"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O234" s="1"/>
      <c r="AP234" s="1"/>
      <c r="AQ234" s="1"/>
      <c r="AR234" s="1"/>
      <c r="AS234" s="1"/>
      <c r="AU234" s="1"/>
      <c r="AV234" s="1"/>
      <c r="AW234" s="1"/>
      <c r="AX234" s="1"/>
      <c r="AY234" s="1"/>
      <c r="AZ234" s="1"/>
      <c r="BA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Q234" s="1"/>
      <c r="BR234" s="1"/>
      <c r="BS234" s="1"/>
      <c r="BT234" s="1"/>
      <c r="BU234" s="1"/>
      <c r="BV234" s="1"/>
      <c r="BW234" s="1"/>
      <c r="BX234" s="1"/>
      <c r="BY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D234" s="1"/>
      <c r="GE234" s="1"/>
      <c r="GF234" s="1"/>
      <c r="GG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</row>
    <row r="235" spans="3:222" x14ac:dyDescent="0.3"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O235" s="1"/>
      <c r="AP235" s="1"/>
      <c r="AQ235" s="1"/>
      <c r="AR235" s="1"/>
      <c r="AS235" s="1"/>
      <c r="AU235" s="1"/>
      <c r="AV235" s="1"/>
      <c r="AW235" s="1"/>
      <c r="AX235" s="1"/>
      <c r="AY235" s="1"/>
      <c r="AZ235" s="1"/>
      <c r="BA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Q235" s="1"/>
      <c r="BR235" s="1"/>
      <c r="BS235" s="1"/>
      <c r="BT235" s="1"/>
      <c r="BU235" s="1"/>
      <c r="BV235" s="1"/>
      <c r="BW235" s="1"/>
      <c r="BX235" s="1"/>
      <c r="BY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D235" s="1"/>
      <c r="GE235" s="1"/>
      <c r="GF235" s="1"/>
      <c r="GG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</row>
    <row r="236" spans="3:222" x14ac:dyDescent="0.3"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O236" s="1"/>
      <c r="AP236" s="1"/>
      <c r="AQ236" s="1"/>
      <c r="AR236" s="1"/>
      <c r="AS236" s="1"/>
      <c r="AU236" s="1"/>
      <c r="AV236" s="1"/>
      <c r="AW236" s="1"/>
      <c r="AX236" s="1"/>
      <c r="AY236" s="1"/>
      <c r="AZ236" s="1"/>
      <c r="BA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Q236" s="1"/>
      <c r="BR236" s="1"/>
      <c r="BS236" s="1"/>
      <c r="BT236" s="1"/>
      <c r="BU236" s="1"/>
      <c r="BV236" s="1"/>
      <c r="BW236" s="1"/>
      <c r="BX236" s="1"/>
      <c r="BY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D236" s="1"/>
      <c r="GE236" s="1"/>
      <c r="GF236" s="1"/>
      <c r="GG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</row>
    <row r="237" spans="3:222" x14ac:dyDescent="0.3"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O237" s="1"/>
      <c r="AP237" s="1"/>
      <c r="AQ237" s="1"/>
      <c r="AR237" s="1"/>
      <c r="AS237" s="1"/>
      <c r="AU237" s="1"/>
      <c r="AV237" s="1"/>
      <c r="AW237" s="1"/>
      <c r="AX237" s="1"/>
      <c r="AY237" s="1"/>
      <c r="AZ237" s="1"/>
      <c r="BA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Q237" s="1"/>
      <c r="BR237" s="1"/>
      <c r="BS237" s="1"/>
      <c r="BT237" s="1"/>
      <c r="BU237" s="1"/>
      <c r="BV237" s="1"/>
      <c r="BW237" s="1"/>
      <c r="BX237" s="1"/>
      <c r="BY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D237" s="1"/>
      <c r="GE237" s="1"/>
      <c r="GF237" s="1"/>
      <c r="GG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</row>
    <row r="238" spans="3:222" x14ac:dyDescent="0.3"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O238" s="1"/>
      <c r="AP238" s="1"/>
      <c r="AQ238" s="1"/>
      <c r="AR238" s="1"/>
      <c r="AS238" s="1"/>
      <c r="AU238" s="1"/>
      <c r="AV238" s="1"/>
      <c r="AW238" s="1"/>
      <c r="AX238" s="1"/>
      <c r="AY238" s="1"/>
      <c r="AZ238" s="1"/>
      <c r="BA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Q238" s="1"/>
      <c r="BR238" s="1"/>
      <c r="BS238" s="1"/>
      <c r="BT238" s="1"/>
      <c r="BU238" s="1"/>
      <c r="BV238" s="1"/>
      <c r="BW238" s="1"/>
      <c r="BX238" s="1"/>
      <c r="BY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D238" s="1"/>
      <c r="GE238" s="1"/>
      <c r="GF238" s="1"/>
      <c r="GG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</row>
    <row r="239" spans="3:222" x14ac:dyDescent="0.3"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O239" s="1"/>
      <c r="AP239" s="1"/>
      <c r="AQ239" s="1"/>
      <c r="AR239" s="1"/>
      <c r="AS239" s="1"/>
      <c r="AU239" s="1"/>
      <c r="AV239" s="1"/>
      <c r="AW239" s="1"/>
      <c r="AX239" s="1"/>
      <c r="AY239" s="1"/>
      <c r="AZ239" s="1"/>
      <c r="BA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Q239" s="1"/>
      <c r="BR239" s="1"/>
      <c r="BS239" s="1"/>
      <c r="BT239" s="1"/>
      <c r="BU239" s="1"/>
      <c r="BV239" s="1"/>
      <c r="BW239" s="1"/>
      <c r="BX239" s="1"/>
      <c r="BY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D239" s="1"/>
      <c r="GE239" s="1"/>
      <c r="GF239" s="1"/>
      <c r="GG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</row>
    <row r="240" spans="3:222" x14ac:dyDescent="0.3"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O240" s="1"/>
      <c r="AP240" s="1"/>
      <c r="AQ240" s="1"/>
      <c r="AR240" s="1"/>
      <c r="AS240" s="1"/>
      <c r="AU240" s="1"/>
      <c r="AV240" s="1"/>
      <c r="AW240" s="1"/>
      <c r="AX240" s="1"/>
      <c r="AY240" s="1"/>
      <c r="AZ240" s="1"/>
      <c r="BA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Q240" s="1"/>
      <c r="BR240" s="1"/>
      <c r="BS240" s="1"/>
      <c r="BT240" s="1"/>
      <c r="BU240" s="1"/>
      <c r="BV240" s="1"/>
      <c r="BW240" s="1"/>
      <c r="BX240" s="1"/>
      <c r="BY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D240" s="1"/>
      <c r="GE240" s="1"/>
      <c r="GF240" s="1"/>
      <c r="GG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</row>
    <row r="241" spans="3:222" x14ac:dyDescent="0.3"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O241" s="1"/>
      <c r="AP241" s="1"/>
      <c r="AQ241" s="1"/>
      <c r="AR241" s="1"/>
      <c r="AS241" s="1"/>
      <c r="AU241" s="1"/>
      <c r="AV241" s="1"/>
      <c r="AW241" s="1"/>
      <c r="AX241" s="1"/>
      <c r="AY241" s="1"/>
      <c r="AZ241" s="1"/>
      <c r="BA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Q241" s="1"/>
      <c r="BR241" s="1"/>
      <c r="BS241" s="1"/>
      <c r="BT241" s="1"/>
      <c r="BU241" s="1"/>
      <c r="BV241" s="1"/>
      <c r="BW241" s="1"/>
      <c r="BX241" s="1"/>
      <c r="BY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D241" s="1"/>
      <c r="GE241" s="1"/>
      <c r="GF241" s="1"/>
      <c r="GG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</row>
    <row r="242" spans="3:222" x14ac:dyDescent="0.3"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O242" s="1"/>
      <c r="AP242" s="1"/>
      <c r="AQ242" s="1"/>
      <c r="AR242" s="1"/>
      <c r="AS242" s="1"/>
      <c r="AU242" s="1"/>
      <c r="AV242" s="1"/>
      <c r="AW242" s="1"/>
      <c r="AX242" s="1"/>
      <c r="AY242" s="1"/>
      <c r="AZ242" s="1"/>
      <c r="BA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Q242" s="1"/>
      <c r="BR242" s="1"/>
      <c r="BS242" s="1"/>
      <c r="BT242" s="1"/>
      <c r="BU242" s="1"/>
      <c r="BV242" s="1"/>
      <c r="BW242" s="1"/>
      <c r="BX242" s="1"/>
      <c r="BY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D242" s="1"/>
      <c r="GE242" s="1"/>
      <c r="GF242" s="1"/>
      <c r="GG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</row>
    <row r="243" spans="3:222" x14ac:dyDescent="0.3"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O243" s="1"/>
      <c r="AP243" s="1"/>
      <c r="AQ243" s="1"/>
      <c r="AR243" s="1"/>
      <c r="AS243" s="1"/>
      <c r="AU243" s="1"/>
      <c r="AV243" s="1"/>
      <c r="AW243" s="1"/>
      <c r="AX243" s="1"/>
      <c r="AY243" s="1"/>
      <c r="AZ243" s="1"/>
      <c r="BA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Q243" s="1"/>
      <c r="BR243" s="1"/>
      <c r="BS243" s="1"/>
      <c r="BT243" s="1"/>
      <c r="BU243" s="1"/>
      <c r="BV243" s="1"/>
      <c r="BW243" s="1"/>
      <c r="BX243" s="1"/>
      <c r="BY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D243" s="1"/>
      <c r="GE243" s="1"/>
      <c r="GF243" s="1"/>
      <c r="GG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</row>
    <row r="244" spans="3:222" x14ac:dyDescent="0.3"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O244" s="1"/>
      <c r="AP244" s="1"/>
      <c r="AQ244" s="1"/>
      <c r="AR244" s="1"/>
      <c r="AS244" s="1"/>
      <c r="AU244" s="1"/>
      <c r="AV244" s="1"/>
      <c r="AW244" s="1"/>
      <c r="AX244" s="1"/>
      <c r="AY244" s="1"/>
      <c r="AZ244" s="1"/>
      <c r="BA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Q244" s="1"/>
      <c r="BR244" s="1"/>
      <c r="BS244" s="1"/>
      <c r="BT244" s="1"/>
      <c r="BU244" s="1"/>
      <c r="BV244" s="1"/>
      <c r="BW244" s="1"/>
      <c r="BX244" s="1"/>
      <c r="BY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D244" s="1"/>
      <c r="GE244" s="1"/>
      <c r="GF244" s="1"/>
      <c r="GG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</row>
    <row r="245" spans="3:222" x14ac:dyDescent="0.3"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O245" s="1"/>
      <c r="AP245" s="1"/>
      <c r="AQ245" s="1"/>
      <c r="AR245" s="1"/>
      <c r="AS245" s="1"/>
      <c r="AU245" s="1"/>
      <c r="AV245" s="1"/>
      <c r="AW245" s="1"/>
      <c r="AX245" s="1"/>
      <c r="AY245" s="1"/>
      <c r="AZ245" s="1"/>
      <c r="BA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Q245" s="1"/>
      <c r="BR245" s="1"/>
      <c r="BS245" s="1"/>
      <c r="BT245" s="1"/>
      <c r="BU245" s="1"/>
      <c r="BV245" s="1"/>
      <c r="BW245" s="1"/>
      <c r="BX245" s="1"/>
      <c r="BY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D245" s="1"/>
      <c r="GE245" s="1"/>
      <c r="GF245" s="1"/>
      <c r="GG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</row>
    <row r="246" spans="3:222" x14ac:dyDescent="0.3"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O246" s="1"/>
      <c r="AP246" s="1"/>
      <c r="AQ246" s="1"/>
      <c r="AR246" s="1"/>
      <c r="AS246" s="1"/>
      <c r="AU246" s="1"/>
      <c r="AV246" s="1"/>
      <c r="AW246" s="1"/>
      <c r="AX246" s="1"/>
      <c r="AY246" s="1"/>
      <c r="AZ246" s="1"/>
      <c r="BA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Q246" s="1"/>
      <c r="BR246" s="1"/>
      <c r="BS246" s="1"/>
      <c r="BT246" s="1"/>
      <c r="BU246" s="1"/>
      <c r="BV246" s="1"/>
      <c r="BW246" s="1"/>
      <c r="BX246" s="1"/>
      <c r="BY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D246" s="1"/>
      <c r="GE246" s="1"/>
      <c r="GF246" s="1"/>
      <c r="GG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</row>
    <row r="247" spans="3:222" x14ac:dyDescent="0.3"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O247" s="1"/>
      <c r="AP247" s="1"/>
      <c r="AQ247" s="1"/>
      <c r="AR247" s="1"/>
      <c r="AS247" s="1"/>
      <c r="AU247" s="1"/>
      <c r="AV247" s="1"/>
      <c r="AW247" s="1"/>
      <c r="AX247" s="1"/>
      <c r="AY247" s="1"/>
      <c r="AZ247" s="1"/>
      <c r="BA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Q247" s="1"/>
      <c r="BR247" s="1"/>
      <c r="BS247" s="1"/>
      <c r="BT247" s="1"/>
      <c r="BU247" s="1"/>
      <c r="BV247" s="1"/>
      <c r="BW247" s="1"/>
      <c r="BX247" s="1"/>
      <c r="BY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D247" s="1"/>
      <c r="GE247" s="1"/>
      <c r="GF247" s="1"/>
      <c r="GG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</row>
    <row r="248" spans="3:222" x14ac:dyDescent="0.3"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O248" s="1"/>
      <c r="AP248" s="1"/>
      <c r="AQ248" s="1"/>
      <c r="AR248" s="1"/>
      <c r="AS248" s="1"/>
      <c r="AU248" s="1"/>
      <c r="AV248" s="1"/>
      <c r="AW248" s="1"/>
      <c r="AX248" s="1"/>
      <c r="AY248" s="1"/>
      <c r="AZ248" s="1"/>
      <c r="BA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Q248" s="1"/>
      <c r="BR248" s="1"/>
      <c r="BS248" s="1"/>
      <c r="BT248" s="1"/>
      <c r="BU248" s="1"/>
      <c r="BV248" s="1"/>
      <c r="BW248" s="1"/>
      <c r="BX248" s="1"/>
      <c r="BY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D248" s="1"/>
      <c r="GE248" s="1"/>
      <c r="GF248" s="1"/>
      <c r="GG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</row>
    <row r="249" spans="3:222" x14ac:dyDescent="0.3"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O249" s="1"/>
      <c r="AP249" s="1"/>
      <c r="AQ249" s="1"/>
      <c r="AR249" s="1"/>
      <c r="AS249" s="1"/>
      <c r="AU249" s="1"/>
      <c r="AV249" s="1"/>
      <c r="AW249" s="1"/>
      <c r="AX249" s="1"/>
      <c r="AY249" s="1"/>
      <c r="AZ249" s="1"/>
      <c r="BA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Q249" s="1"/>
      <c r="BR249" s="1"/>
      <c r="BS249" s="1"/>
      <c r="BT249" s="1"/>
      <c r="BU249" s="1"/>
      <c r="BV249" s="1"/>
      <c r="BW249" s="1"/>
      <c r="BX249" s="1"/>
      <c r="BY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D249" s="1"/>
      <c r="GE249" s="1"/>
      <c r="GF249" s="1"/>
      <c r="GG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</row>
    <row r="250" spans="3:222" x14ac:dyDescent="0.3"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O250" s="1"/>
      <c r="AP250" s="1"/>
      <c r="AQ250" s="1"/>
      <c r="AR250" s="1"/>
      <c r="AS250" s="1"/>
      <c r="AU250" s="1"/>
      <c r="AV250" s="1"/>
      <c r="AW250" s="1"/>
      <c r="AX250" s="1"/>
      <c r="AY250" s="1"/>
      <c r="AZ250" s="1"/>
      <c r="BA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Q250" s="1"/>
      <c r="BR250" s="1"/>
      <c r="BS250" s="1"/>
      <c r="BT250" s="1"/>
      <c r="BU250" s="1"/>
      <c r="BV250" s="1"/>
      <c r="BW250" s="1"/>
      <c r="BX250" s="1"/>
      <c r="BY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D250" s="1"/>
      <c r="GE250" s="1"/>
      <c r="GF250" s="1"/>
      <c r="GG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</row>
    <row r="251" spans="3:222" x14ac:dyDescent="0.3"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O251" s="1"/>
      <c r="AP251" s="1"/>
      <c r="AQ251" s="1"/>
      <c r="AR251" s="1"/>
      <c r="AS251" s="1"/>
      <c r="AU251" s="1"/>
      <c r="AV251" s="1"/>
      <c r="AW251" s="1"/>
      <c r="AX251" s="1"/>
      <c r="AY251" s="1"/>
      <c r="AZ251" s="1"/>
      <c r="BA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Q251" s="1"/>
      <c r="BR251" s="1"/>
      <c r="BS251" s="1"/>
      <c r="BT251" s="1"/>
      <c r="BU251" s="1"/>
      <c r="BV251" s="1"/>
      <c r="BW251" s="1"/>
      <c r="BX251" s="1"/>
      <c r="BY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D251" s="1"/>
      <c r="GE251" s="1"/>
      <c r="GF251" s="1"/>
      <c r="GG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</row>
    <row r="252" spans="3:222" x14ac:dyDescent="0.3"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O252" s="1"/>
      <c r="AP252" s="1"/>
      <c r="AQ252" s="1"/>
      <c r="AR252" s="1"/>
      <c r="AS252" s="1"/>
      <c r="AU252" s="1"/>
      <c r="AV252" s="1"/>
      <c r="AW252" s="1"/>
      <c r="AX252" s="1"/>
      <c r="AY252" s="1"/>
      <c r="AZ252" s="1"/>
      <c r="BA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Q252" s="1"/>
      <c r="BR252" s="1"/>
      <c r="BS252" s="1"/>
      <c r="BT252" s="1"/>
      <c r="BU252" s="1"/>
      <c r="BV252" s="1"/>
      <c r="BW252" s="1"/>
      <c r="BX252" s="1"/>
      <c r="BY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D252" s="1"/>
      <c r="GE252" s="1"/>
      <c r="GF252" s="1"/>
      <c r="GG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</row>
    <row r="253" spans="3:222" x14ac:dyDescent="0.3"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O253" s="1"/>
      <c r="AP253" s="1"/>
      <c r="AQ253" s="1"/>
      <c r="AR253" s="1"/>
      <c r="AS253" s="1"/>
      <c r="AU253" s="1"/>
      <c r="AV253" s="1"/>
      <c r="AW253" s="1"/>
      <c r="AX253" s="1"/>
      <c r="AY253" s="1"/>
      <c r="AZ253" s="1"/>
      <c r="BA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Q253" s="1"/>
      <c r="BR253" s="1"/>
      <c r="BS253" s="1"/>
      <c r="BT253" s="1"/>
      <c r="BU253" s="1"/>
      <c r="BV253" s="1"/>
      <c r="BW253" s="1"/>
      <c r="BX253" s="1"/>
      <c r="BY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D253" s="1"/>
      <c r="GE253" s="1"/>
      <c r="GF253" s="1"/>
      <c r="GG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</row>
    <row r="254" spans="3:222" x14ac:dyDescent="0.3"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O254" s="1"/>
      <c r="AP254" s="1"/>
      <c r="AQ254" s="1"/>
      <c r="AR254" s="1"/>
      <c r="AS254" s="1"/>
      <c r="AU254" s="1"/>
      <c r="AV254" s="1"/>
      <c r="AW254" s="1"/>
      <c r="AX254" s="1"/>
      <c r="AY254" s="1"/>
      <c r="AZ254" s="1"/>
      <c r="BA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Q254" s="1"/>
      <c r="BR254" s="1"/>
      <c r="BS254" s="1"/>
      <c r="BT254" s="1"/>
      <c r="BU254" s="1"/>
      <c r="BV254" s="1"/>
      <c r="BW254" s="1"/>
      <c r="BX254" s="1"/>
      <c r="BY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D254" s="1"/>
      <c r="GE254" s="1"/>
      <c r="GF254" s="1"/>
      <c r="GG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</row>
    <row r="255" spans="3:222" x14ac:dyDescent="0.3"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O255" s="1"/>
      <c r="AP255" s="1"/>
      <c r="AQ255" s="1"/>
      <c r="AR255" s="1"/>
      <c r="AS255" s="1"/>
      <c r="AU255" s="1"/>
      <c r="AV255" s="1"/>
      <c r="AW255" s="1"/>
      <c r="AX255" s="1"/>
      <c r="AY255" s="1"/>
      <c r="AZ255" s="1"/>
      <c r="BA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Q255" s="1"/>
      <c r="BR255" s="1"/>
      <c r="BS255" s="1"/>
      <c r="BT255" s="1"/>
      <c r="BU255" s="1"/>
      <c r="BV255" s="1"/>
      <c r="BW255" s="1"/>
      <c r="BX255" s="1"/>
      <c r="BY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D255" s="1"/>
      <c r="GE255" s="1"/>
      <c r="GF255" s="1"/>
      <c r="GG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</row>
    <row r="256" spans="3:222" x14ac:dyDescent="0.3"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O256" s="1"/>
      <c r="AP256" s="1"/>
      <c r="AQ256" s="1"/>
      <c r="AR256" s="1"/>
      <c r="AS256" s="1"/>
      <c r="AU256" s="1"/>
      <c r="AV256" s="1"/>
      <c r="AW256" s="1"/>
      <c r="AX256" s="1"/>
      <c r="AY256" s="1"/>
      <c r="AZ256" s="1"/>
      <c r="BA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Q256" s="1"/>
      <c r="BR256" s="1"/>
      <c r="BS256" s="1"/>
      <c r="BT256" s="1"/>
      <c r="BU256" s="1"/>
      <c r="BV256" s="1"/>
      <c r="BW256" s="1"/>
      <c r="BX256" s="1"/>
      <c r="BY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D256" s="1"/>
      <c r="GE256" s="1"/>
      <c r="GF256" s="1"/>
      <c r="GG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</row>
    <row r="257" spans="3:222" x14ac:dyDescent="0.3"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O257" s="1"/>
      <c r="AP257" s="1"/>
      <c r="AQ257" s="1"/>
      <c r="AR257" s="1"/>
      <c r="AS257" s="1"/>
      <c r="AU257" s="1"/>
      <c r="AV257" s="1"/>
      <c r="AW257" s="1"/>
      <c r="AX257" s="1"/>
      <c r="AY257" s="1"/>
      <c r="AZ257" s="1"/>
      <c r="BA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Q257" s="1"/>
      <c r="BR257" s="1"/>
      <c r="BS257" s="1"/>
      <c r="BT257" s="1"/>
      <c r="BU257" s="1"/>
      <c r="BV257" s="1"/>
      <c r="BW257" s="1"/>
      <c r="BX257" s="1"/>
      <c r="BY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D257" s="1"/>
      <c r="GE257" s="1"/>
      <c r="GF257" s="1"/>
      <c r="GG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</row>
    <row r="258" spans="3:222" x14ac:dyDescent="0.3"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O258" s="1"/>
      <c r="AP258" s="1"/>
      <c r="AQ258" s="1"/>
      <c r="AR258" s="1"/>
      <c r="AS258" s="1"/>
      <c r="AU258" s="1"/>
      <c r="AV258" s="1"/>
      <c r="AW258" s="1"/>
      <c r="AX258" s="1"/>
      <c r="AY258" s="1"/>
      <c r="AZ258" s="1"/>
      <c r="BA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Q258" s="1"/>
      <c r="BR258" s="1"/>
      <c r="BS258" s="1"/>
      <c r="BT258" s="1"/>
      <c r="BU258" s="1"/>
      <c r="BV258" s="1"/>
      <c r="BW258" s="1"/>
      <c r="BX258" s="1"/>
      <c r="BY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D258" s="1"/>
      <c r="GE258" s="1"/>
      <c r="GF258" s="1"/>
      <c r="GG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</row>
    <row r="259" spans="3:222" x14ac:dyDescent="0.3"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O259" s="1"/>
      <c r="AP259" s="1"/>
      <c r="AQ259" s="1"/>
      <c r="AR259" s="1"/>
      <c r="AS259" s="1"/>
      <c r="AU259" s="1"/>
      <c r="AV259" s="1"/>
      <c r="AW259" s="1"/>
      <c r="AX259" s="1"/>
      <c r="AY259" s="1"/>
      <c r="AZ259" s="1"/>
      <c r="BA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Q259" s="1"/>
      <c r="BR259" s="1"/>
      <c r="BS259" s="1"/>
      <c r="BT259" s="1"/>
      <c r="BU259" s="1"/>
      <c r="BV259" s="1"/>
      <c r="BW259" s="1"/>
      <c r="BX259" s="1"/>
      <c r="BY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D259" s="1"/>
      <c r="GE259" s="1"/>
      <c r="GF259" s="1"/>
      <c r="GG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</row>
    <row r="260" spans="3:222" x14ac:dyDescent="0.3"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O260" s="1"/>
      <c r="AP260" s="1"/>
      <c r="AQ260" s="1"/>
      <c r="AR260" s="1"/>
      <c r="AS260" s="1"/>
      <c r="AU260" s="1"/>
      <c r="AV260" s="1"/>
      <c r="AW260" s="1"/>
      <c r="AX260" s="1"/>
      <c r="AY260" s="1"/>
      <c r="AZ260" s="1"/>
      <c r="BA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Q260" s="1"/>
      <c r="BR260" s="1"/>
      <c r="BS260" s="1"/>
      <c r="BT260" s="1"/>
      <c r="BU260" s="1"/>
      <c r="BV260" s="1"/>
      <c r="BW260" s="1"/>
      <c r="BX260" s="1"/>
      <c r="BY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D260" s="1"/>
      <c r="GE260" s="1"/>
      <c r="GF260" s="1"/>
      <c r="GG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</row>
    <row r="261" spans="3:222" x14ac:dyDescent="0.3"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O261" s="1"/>
      <c r="AP261" s="1"/>
      <c r="AQ261" s="1"/>
      <c r="AR261" s="1"/>
      <c r="AS261" s="1"/>
      <c r="AU261" s="1"/>
      <c r="AV261" s="1"/>
      <c r="AW261" s="1"/>
      <c r="AX261" s="1"/>
      <c r="AY261" s="1"/>
      <c r="AZ261" s="1"/>
      <c r="BA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Q261" s="1"/>
      <c r="BR261" s="1"/>
      <c r="BS261" s="1"/>
      <c r="BT261" s="1"/>
      <c r="BU261" s="1"/>
      <c r="BV261" s="1"/>
      <c r="BW261" s="1"/>
      <c r="BX261" s="1"/>
      <c r="BY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D261" s="1"/>
      <c r="GE261" s="1"/>
      <c r="GF261" s="1"/>
      <c r="GG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</row>
    <row r="262" spans="3:222" x14ac:dyDescent="0.3"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O262" s="1"/>
      <c r="AP262" s="1"/>
      <c r="AQ262" s="1"/>
      <c r="AR262" s="1"/>
      <c r="AS262" s="1"/>
      <c r="AU262" s="1"/>
      <c r="AV262" s="1"/>
      <c r="AW262" s="1"/>
      <c r="AX262" s="1"/>
      <c r="AY262" s="1"/>
      <c r="AZ262" s="1"/>
      <c r="BA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Q262" s="1"/>
      <c r="BR262" s="1"/>
      <c r="BS262" s="1"/>
      <c r="BT262" s="1"/>
      <c r="BU262" s="1"/>
      <c r="BV262" s="1"/>
      <c r="BW262" s="1"/>
      <c r="BX262" s="1"/>
      <c r="BY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D262" s="1"/>
      <c r="GE262" s="1"/>
      <c r="GF262" s="1"/>
      <c r="GG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</row>
    <row r="263" spans="3:222" x14ac:dyDescent="0.3"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O263" s="1"/>
      <c r="AP263" s="1"/>
      <c r="AQ263" s="1"/>
      <c r="AR263" s="1"/>
      <c r="AS263" s="1"/>
      <c r="AU263" s="1"/>
      <c r="AV263" s="1"/>
      <c r="AW263" s="1"/>
      <c r="AX263" s="1"/>
      <c r="AY263" s="1"/>
      <c r="AZ263" s="1"/>
      <c r="BA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Q263" s="1"/>
      <c r="BR263" s="1"/>
      <c r="BS263" s="1"/>
      <c r="BT263" s="1"/>
      <c r="BU263" s="1"/>
      <c r="BV263" s="1"/>
      <c r="BW263" s="1"/>
      <c r="BX263" s="1"/>
      <c r="BY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D263" s="1"/>
      <c r="GE263" s="1"/>
      <c r="GF263" s="1"/>
      <c r="GG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</row>
    <row r="264" spans="3:222" x14ac:dyDescent="0.3"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O264" s="1"/>
      <c r="AP264" s="1"/>
      <c r="AQ264" s="1"/>
      <c r="AR264" s="1"/>
      <c r="AS264" s="1"/>
      <c r="AU264" s="1"/>
      <c r="AV264" s="1"/>
      <c r="AW264" s="1"/>
      <c r="AX264" s="1"/>
      <c r="AY264" s="1"/>
      <c r="AZ264" s="1"/>
      <c r="BA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Q264" s="1"/>
      <c r="BR264" s="1"/>
      <c r="BS264" s="1"/>
      <c r="BT264" s="1"/>
      <c r="BU264" s="1"/>
      <c r="BV264" s="1"/>
      <c r="BW264" s="1"/>
      <c r="BX264" s="1"/>
      <c r="BY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D264" s="1"/>
      <c r="GE264" s="1"/>
      <c r="GF264" s="1"/>
      <c r="GG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</row>
    <row r="265" spans="3:222" x14ac:dyDescent="0.3"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O265" s="1"/>
      <c r="AP265" s="1"/>
      <c r="AQ265" s="1"/>
      <c r="AR265" s="1"/>
      <c r="AS265" s="1"/>
      <c r="AU265" s="1"/>
      <c r="AV265" s="1"/>
      <c r="AW265" s="1"/>
      <c r="AX265" s="1"/>
      <c r="AY265" s="1"/>
      <c r="AZ265" s="1"/>
      <c r="BA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Q265" s="1"/>
      <c r="BR265" s="1"/>
      <c r="BS265" s="1"/>
      <c r="BT265" s="1"/>
      <c r="BU265" s="1"/>
      <c r="BV265" s="1"/>
      <c r="BW265" s="1"/>
      <c r="BX265" s="1"/>
      <c r="BY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D265" s="1"/>
      <c r="GE265" s="1"/>
      <c r="GF265" s="1"/>
      <c r="GG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</row>
    <row r="266" spans="3:222" x14ac:dyDescent="0.3"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O266" s="1"/>
      <c r="AP266" s="1"/>
      <c r="AQ266" s="1"/>
      <c r="AR266" s="1"/>
      <c r="AS266" s="1"/>
      <c r="AU266" s="1"/>
      <c r="AV266" s="1"/>
      <c r="AW266" s="1"/>
      <c r="AX266" s="1"/>
      <c r="AY266" s="1"/>
      <c r="AZ266" s="1"/>
      <c r="BA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Q266" s="1"/>
      <c r="BR266" s="1"/>
      <c r="BS266" s="1"/>
      <c r="BT266" s="1"/>
      <c r="BU266" s="1"/>
      <c r="BV266" s="1"/>
      <c r="BW266" s="1"/>
      <c r="BX266" s="1"/>
      <c r="BY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D266" s="1"/>
      <c r="GE266" s="1"/>
      <c r="GF266" s="1"/>
      <c r="GG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</row>
    <row r="267" spans="3:222" x14ac:dyDescent="0.3"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O267" s="1"/>
      <c r="AP267" s="1"/>
      <c r="AQ267" s="1"/>
      <c r="AR267" s="1"/>
      <c r="AS267" s="1"/>
      <c r="AU267" s="1"/>
      <c r="AV267" s="1"/>
      <c r="AW267" s="1"/>
      <c r="AX267" s="1"/>
      <c r="AY267" s="1"/>
      <c r="AZ267" s="1"/>
      <c r="BA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Q267" s="1"/>
      <c r="BR267" s="1"/>
      <c r="BS267" s="1"/>
      <c r="BT267" s="1"/>
      <c r="BU267" s="1"/>
      <c r="BV267" s="1"/>
      <c r="BW267" s="1"/>
      <c r="BX267" s="1"/>
      <c r="BY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D267" s="1"/>
      <c r="GE267" s="1"/>
      <c r="GF267" s="1"/>
      <c r="GG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</row>
    <row r="268" spans="3:222" x14ac:dyDescent="0.3"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O268" s="1"/>
      <c r="AP268" s="1"/>
      <c r="AQ268" s="1"/>
      <c r="AR268" s="1"/>
      <c r="AS268" s="1"/>
      <c r="AU268" s="1"/>
      <c r="AV268" s="1"/>
      <c r="AW268" s="1"/>
      <c r="AX268" s="1"/>
      <c r="AY268" s="1"/>
      <c r="AZ268" s="1"/>
      <c r="BA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Q268" s="1"/>
      <c r="BR268" s="1"/>
      <c r="BS268" s="1"/>
      <c r="BT268" s="1"/>
      <c r="BU268" s="1"/>
      <c r="BV268" s="1"/>
      <c r="BW268" s="1"/>
      <c r="BX268" s="1"/>
      <c r="BY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D268" s="1"/>
      <c r="GE268" s="1"/>
      <c r="GF268" s="1"/>
      <c r="GG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</row>
    <row r="269" spans="3:222" x14ac:dyDescent="0.3"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O269" s="1"/>
      <c r="AP269" s="1"/>
      <c r="AQ269" s="1"/>
      <c r="AR269" s="1"/>
      <c r="AS269" s="1"/>
      <c r="AU269" s="1"/>
      <c r="AV269" s="1"/>
      <c r="AW269" s="1"/>
      <c r="AX269" s="1"/>
      <c r="AY269" s="1"/>
      <c r="AZ269" s="1"/>
      <c r="BA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Q269" s="1"/>
      <c r="BR269" s="1"/>
      <c r="BS269" s="1"/>
      <c r="BT269" s="1"/>
      <c r="BU269" s="1"/>
      <c r="BV269" s="1"/>
      <c r="BW269" s="1"/>
      <c r="BX269" s="1"/>
      <c r="BY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D269" s="1"/>
      <c r="GE269" s="1"/>
      <c r="GF269" s="1"/>
      <c r="GG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</row>
    <row r="270" spans="3:222" x14ac:dyDescent="0.3"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O270" s="1"/>
      <c r="AP270" s="1"/>
      <c r="AQ270" s="1"/>
      <c r="AR270" s="1"/>
      <c r="AS270" s="1"/>
      <c r="AU270" s="1"/>
      <c r="AV270" s="1"/>
      <c r="AW270" s="1"/>
      <c r="AX270" s="1"/>
      <c r="AY270" s="1"/>
      <c r="AZ270" s="1"/>
      <c r="BA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Q270" s="1"/>
      <c r="BR270" s="1"/>
      <c r="BS270" s="1"/>
      <c r="BT270" s="1"/>
      <c r="BU270" s="1"/>
      <c r="BV270" s="1"/>
      <c r="BW270" s="1"/>
      <c r="BX270" s="1"/>
      <c r="BY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D270" s="1"/>
      <c r="GE270" s="1"/>
      <c r="GF270" s="1"/>
      <c r="GG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</row>
    <row r="271" spans="3:222" x14ac:dyDescent="0.3"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O271" s="1"/>
      <c r="AP271" s="1"/>
      <c r="AQ271" s="1"/>
      <c r="AR271" s="1"/>
      <c r="AS271" s="1"/>
      <c r="AU271" s="1"/>
      <c r="AV271" s="1"/>
      <c r="AW271" s="1"/>
      <c r="AX271" s="1"/>
      <c r="AY271" s="1"/>
      <c r="AZ271" s="1"/>
      <c r="BA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Q271" s="1"/>
      <c r="BR271" s="1"/>
      <c r="BS271" s="1"/>
      <c r="BT271" s="1"/>
      <c r="BU271" s="1"/>
      <c r="BV271" s="1"/>
      <c r="BW271" s="1"/>
      <c r="BX271" s="1"/>
      <c r="BY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D271" s="1"/>
      <c r="GE271" s="1"/>
      <c r="GF271" s="1"/>
      <c r="GG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</row>
    <row r="272" spans="3:222" x14ac:dyDescent="0.3"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O272" s="1"/>
      <c r="AP272" s="1"/>
      <c r="AQ272" s="1"/>
      <c r="AR272" s="1"/>
      <c r="AS272" s="1"/>
      <c r="AU272" s="1"/>
      <c r="AV272" s="1"/>
      <c r="AW272" s="1"/>
      <c r="AX272" s="1"/>
      <c r="AY272" s="1"/>
      <c r="AZ272" s="1"/>
      <c r="BA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Q272" s="1"/>
      <c r="BR272" s="1"/>
      <c r="BS272" s="1"/>
      <c r="BT272" s="1"/>
      <c r="BU272" s="1"/>
      <c r="BV272" s="1"/>
      <c r="BW272" s="1"/>
      <c r="BX272" s="1"/>
      <c r="BY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D272" s="1"/>
      <c r="GE272" s="1"/>
      <c r="GF272" s="1"/>
      <c r="GG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</row>
    <row r="273" spans="3:222" x14ac:dyDescent="0.3"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O273" s="1"/>
      <c r="AP273" s="1"/>
      <c r="AQ273" s="1"/>
      <c r="AR273" s="1"/>
      <c r="AS273" s="1"/>
      <c r="AU273" s="1"/>
      <c r="AV273" s="1"/>
      <c r="AW273" s="1"/>
      <c r="AX273" s="1"/>
      <c r="AY273" s="1"/>
      <c r="AZ273" s="1"/>
      <c r="BA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Q273" s="1"/>
      <c r="BR273" s="1"/>
      <c r="BS273" s="1"/>
      <c r="BT273" s="1"/>
      <c r="BU273" s="1"/>
      <c r="BV273" s="1"/>
      <c r="BW273" s="1"/>
      <c r="BX273" s="1"/>
      <c r="BY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D273" s="1"/>
      <c r="GE273" s="1"/>
      <c r="GF273" s="1"/>
      <c r="GG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</row>
    <row r="274" spans="3:222" x14ac:dyDescent="0.3"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O274" s="1"/>
      <c r="AP274" s="1"/>
      <c r="AQ274" s="1"/>
      <c r="AR274" s="1"/>
      <c r="AS274" s="1"/>
      <c r="AU274" s="1"/>
      <c r="AV274" s="1"/>
      <c r="AW274" s="1"/>
      <c r="AX274" s="1"/>
      <c r="AY274" s="1"/>
      <c r="AZ274" s="1"/>
      <c r="BA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Q274" s="1"/>
      <c r="BR274" s="1"/>
      <c r="BS274" s="1"/>
      <c r="BT274" s="1"/>
      <c r="BU274" s="1"/>
      <c r="BV274" s="1"/>
      <c r="BW274" s="1"/>
      <c r="BX274" s="1"/>
      <c r="BY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D274" s="1"/>
      <c r="GE274" s="1"/>
      <c r="GF274" s="1"/>
      <c r="GG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</row>
    <row r="275" spans="3:222" x14ac:dyDescent="0.3"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O275" s="1"/>
      <c r="AP275" s="1"/>
      <c r="AQ275" s="1"/>
      <c r="AR275" s="1"/>
      <c r="AS275" s="1"/>
      <c r="AU275" s="1"/>
      <c r="AV275" s="1"/>
      <c r="AW275" s="1"/>
      <c r="AX275" s="1"/>
      <c r="AY275" s="1"/>
      <c r="AZ275" s="1"/>
      <c r="BA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Q275" s="1"/>
      <c r="BR275" s="1"/>
      <c r="BS275" s="1"/>
      <c r="BT275" s="1"/>
      <c r="BU275" s="1"/>
      <c r="BV275" s="1"/>
      <c r="BW275" s="1"/>
      <c r="BX275" s="1"/>
      <c r="BY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D275" s="1"/>
      <c r="GE275" s="1"/>
      <c r="GF275" s="1"/>
      <c r="GG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</row>
    <row r="276" spans="3:222" x14ac:dyDescent="0.3"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O276" s="1"/>
      <c r="AP276" s="1"/>
      <c r="AQ276" s="1"/>
      <c r="AR276" s="1"/>
      <c r="AS276" s="1"/>
      <c r="AU276" s="1"/>
      <c r="AV276" s="1"/>
      <c r="AW276" s="1"/>
      <c r="AX276" s="1"/>
      <c r="AY276" s="1"/>
      <c r="AZ276" s="1"/>
      <c r="BA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Q276" s="1"/>
      <c r="BR276" s="1"/>
      <c r="BS276" s="1"/>
      <c r="BT276" s="1"/>
      <c r="BU276" s="1"/>
      <c r="BV276" s="1"/>
      <c r="BW276" s="1"/>
      <c r="BX276" s="1"/>
      <c r="BY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D276" s="1"/>
      <c r="GE276" s="1"/>
      <c r="GF276" s="1"/>
      <c r="GG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</row>
    <row r="277" spans="3:222" x14ac:dyDescent="0.3"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O277" s="1"/>
      <c r="AP277" s="1"/>
      <c r="AQ277" s="1"/>
      <c r="AR277" s="1"/>
      <c r="AS277" s="1"/>
      <c r="AU277" s="1"/>
      <c r="AV277" s="1"/>
      <c r="AW277" s="1"/>
      <c r="AX277" s="1"/>
      <c r="AY277" s="1"/>
      <c r="AZ277" s="1"/>
      <c r="BA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Q277" s="1"/>
      <c r="BR277" s="1"/>
      <c r="BS277" s="1"/>
      <c r="BT277" s="1"/>
      <c r="BU277" s="1"/>
      <c r="BV277" s="1"/>
      <c r="BW277" s="1"/>
      <c r="BX277" s="1"/>
      <c r="BY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D277" s="1"/>
      <c r="GE277" s="1"/>
      <c r="GF277" s="1"/>
      <c r="GG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</row>
    <row r="278" spans="3:222" x14ac:dyDescent="0.3"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O278" s="1"/>
      <c r="AP278" s="1"/>
      <c r="AQ278" s="1"/>
      <c r="AR278" s="1"/>
      <c r="AS278" s="1"/>
      <c r="AU278" s="1"/>
      <c r="AV278" s="1"/>
      <c r="AW278" s="1"/>
      <c r="AX278" s="1"/>
      <c r="AY278" s="1"/>
      <c r="AZ278" s="1"/>
      <c r="BA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Q278" s="1"/>
      <c r="BR278" s="1"/>
      <c r="BS278" s="1"/>
      <c r="BT278" s="1"/>
      <c r="BU278" s="1"/>
      <c r="BV278" s="1"/>
      <c r="BW278" s="1"/>
      <c r="BX278" s="1"/>
      <c r="BY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D278" s="1"/>
      <c r="GE278" s="1"/>
      <c r="GF278" s="1"/>
      <c r="GG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</row>
    <row r="279" spans="3:222" x14ac:dyDescent="0.3"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O279" s="1"/>
      <c r="AP279" s="1"/>
      <c r="AQ279" s="1"/>
      <c r="AR279" s="1"/>
      <c r="AS279" s="1"/>
      <c r="AU279" s="1"/>
      <c r="AV279" s="1"/>
      <c r="AW279" s="1"/>
      <c r="AX279" s="1"/>
      <c r="AY279" s="1"/>
      <c r="AZ279" s="1"/>
      <c r="BA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Q279" s="1"/>
      <c r="BR279" s="1"/>
      <c r="BS279" s="1"/>
      <c r="BT279" s="1"/>
      <c r="BU279" s="1"/>
      <c r="BV279" s="1"/>
      <c r="BW279" s="1"/>
      <c r="BX279" s="1"/>
      <c r="BY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D279" s="1"/>
      <c r="GE279" s="1"/>
      <c r="GF279" s="1"/>
      <c r="GG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</row>
    <row r="280" spans="3:222" x14ac:dyDescent="0.3"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O280" s="1"/>
      <c r="AP280" s="1"/>
      <c r="AQ280" s="1"/>
      <c r="AR280" s="1"/>
      <c r="AS280" s="1"/>
      <c r="AU280" s="1"/>
      <c r="AV280" s="1"/>
      <c r="AW280" s="1"/>
      <c r="AX280" s="1"/>
      <c r="AY280" s="1"/>
      <c r="AZ280" s="1"/>
      <c r="BA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Q280" s="1"/>
      <c r="BR280" s="1"/>
      <c r="BS280" s="1"/>
      <c r="BT280" s="1"/>
      <c r="BU280" s="1"/>
      <c r="BV280" s="1"/>
      <c r="BW280" s="1"/>
      <c r="BX280" s="1"/>
      <c r="BY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D280" s="1"/>
      <c r="GE280" s="1"/>
      <c r="GF280" s="1"/>
      <c r="GG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</row>
    <row r="281" spans="3:222" x14ac:dyDescent="0.3"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O281" s="1"/>
      <c r="AP281" s="1"/>
      <c r="AQ281" s="1"/>
      <c r="AR281" s="1"/>
      <c r="AS281" s="1"/>
      <c r="AU281" s="1"/>
      <c r="AV281" s="1"/>
      <c r="AW281" s="1"/>
      <c r="AX281" s="1"/>
      <c r="AY281" s="1"/>
      <c r="AZ281" s="1"/>
      <c r="BA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Q281" s="1"/>
      <c r="BR281" s="1"/>
      <c r="BS281" s="1"/>
      <c r="BT281" s="1"/>
      <c r="BU281" s="1"/>
      <c r="BV281" s="1"/>
      <c r="BW281" s="1"/>
      <c r="BX281" s="1"/>
      <c r="BY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D281" s="1"/>
      <c r="GE281" s="1"/>
      <c r="GF281" s="1"/>
      <c r="GG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</row>
    <row r="282" spans="3:222" x14ac:dyDescent="0.3"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O282" s="1"/>
      <c r="AP282" s="1"/>
      <c r="AQ282" s="1"/>
      <c r="AR282" s="1"/>
      <c r="AS282" s="1"/>
      <c r="AU282" s="1"/>
      <c r="AV282" s="1"/>
      <c r="AW282" s="1"/>
      <c r="AX282" s="1"/>
      <c r="AY282" s="1"/>
      <c r="AZ282" s="1"/>
      <c r="BA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Q282" s="1"/>
      <c r="BR282" s="1"/>
      <c r="BS282" s="1"/>
      <c r="BT282" s="1"/>
      <c r="BU282" s="1"/>
      <c r="BV282" s="1"/>
      <c r="BW282" s="1"/>
      <c r="BX282" s="1"/>
      <c r="BY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D282" s="1"/>
      <c r="GE282" s="1"/>
      <c r="GF282" s="1"/>
      <c r="GG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</row>
    <row r="283" spans="3:222" x14ac:dyDescent="0.3"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O283" s="1"/>
      <c r="AP283" s="1"/>
      <c r="AQ283" s="1"/>
      <c r="AR283" s="1"/>
      <c r="AS283" s="1"/>
      <c r="AU283" s="1"/>
      <c r="AV283" s="1"/>
      <c r="AW283" s="1"/>
      <c r="AX283" s="1"/>
      <c r="AY283" s="1"/>
      <c r="AZ283" s="1"/>
      <c r="BA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Q283" s="1"/>
      <c r="BR283" s="1"/>
      <c r="BS283" s="1"/>
      <c r="BT283" s="1"/>
      <c r="BU283" s="1"/>
      <c r="BV283" s="1"/>
      <c r="BW283" s="1"/>
      <c r="BX283" s="1"/>
      <c r="BY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D283" s="1"/>
      <c r="GE283" s="1"/>
      <c r="GF283" s="1"/>
      <c r="GG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</row>
    <row r="284" spans="3:222" x14ac:dyDescent="0.3"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O284" s="1"/>
      <c r="AP284" s="1"/>
      <c r="AQ284" s="1"/>
      <c r="AR284" s="1"/>
      <c r="AS284" s="1"/>
      <c r="AU284" s="1"/>
      <c r="AV284" s="1"/>
      <c r="AW284" s="1"/>
      <c r="AX284" s="1"/>
      <c r="AY284" s="1"/>
      <c r="AZ284" s="1"/>
      <c r="BA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Q284" s="1"/>
      <c r="BR284" s="1"/>
      <c r="BS284" s="1"/>
      <c r="BT284" s="1"/>
      <c r="BU284" s="1"/>
      <c r="BV284" s="1"/>
      <c r="BW284" s="1"/>
      <c r="BX284" s="1"/>
      <c r="BY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D284" s="1"/>
      <c r="GE284" s="1"/>
      <c r="GF284" s="1"/>
      <c r="GG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</row>
    <row r="285" spans="3:222" x14ac:dyDescent="0.3"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O285" s="1"/>
      <c r="AP285" s="1"/>
      <c r="AQ285" s="1"/>
      <c r="AR285" s="1"/>
      <c r="AS285" s="1"/>
      <c r="AU285" s="1"/>
      <c r="AV285" s="1"/>
      <c r="AW285" s="1"/>
      <c r="AX285" s="1"/>
      <c r="AY285" s="1"/>
      <c r="AZ285" s="1"/>
      <c r="BA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Q285" s="1"/>
      <c r="BR285" s="1"/>
      <c r="BS285" s="1"/>
      <c r="BT285" s="1"/>
      <c r="BU285" s="1"/>
      <c r="BV285" s="1"/>
      <c r="BW285" s="1"/>
      <c r="BX285" s="1"/>
      <c r="BY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D285" s="1"/>
      <c r="GE285" s="1"/>
      <c r="GF285" s="1"/>
      <c r="GG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</row>
    <row r="286" spans="3:222" x14ac:dyDescent="0.3"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O286" s="1"/>
      <c r="AP286" s="1"/>
      <c r="AQ286" s="1"/>
      <c r="AR286" s="1"/>
      <c r="AS286" s="1"/>
      <c r="AU286" s="1"/>
      <c r="AV286" s="1"/>
      <c r="AW286" s="1"/>
      <c r="AX286" s="1"/>
      <c r="AY286" s="1"/>
      <c r="AZ286" s="1"/>
      <c r="BA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Q286" s="1"/>
      <c r="BR286" s="1"/>
      <c r="BS286" s="1"/>
      <c r="BT286" s="1"/>
      <c r="BU286" s="1"/>
      <c r="BV286" s="1"/>
      <c r="BW286" s="1"/>
      <c r="BX286" s="1"/>
      <c r="BY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D286" s="1"/>
      <c r="GE286" s="1"/>
      <c r="GF286" s="1"/>
      <c r="GG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</row>
    <row r="287" spans="3:222" x14ac:dyDescent="0.3"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O287" s="1"/>
      <c r="AP287" s="1"/>
      <c r="AQ287" s="1"/>
      <c r="AR287" s="1"/>
      <c r="AS287" s="1"/>
      <c r="AU287" s="1"/>
      <c r="AV287" s="1"/>
      <c r="AW287" s="1"/>
      <c r="AX287" s="1"/>
      <c r="AY287" s="1"/>
      <c r="AZ287" s="1"/>
      <c r="BA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Q287" s="1"/>
      <c r="BR287" s="1"/>
      <c r="BS287" s="1"/>
      <c r="BT287" s="1"/>
      <c r="BU287" s="1"/>
      <c r="BV287" s="1"/>
      <c r="BW287" s="1"/>
      <c r="BX287" s="1"/>
      <c r="BY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D287" s="1"/>
      <c r="GE287" s="1"/>
      <c r="GF287" s="1"/>
      <c r="GG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</row>
    <row r="288" spans="3:222" x14ac:dyDescent="0.3"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O288" s="1"/>
      <c r="AP288" s="1"/>
      <c r="AQ288" s="1"/>
      <c r="AR288" s="1"/>
      <c r="AS288" s="1"/>
      <c r="AU288" s="1"/>
      <c r="AV288" s="1"/>
      <c r="AW288" s="1"/>
      <c r="AX288" s="1"/>
      <c r="AY288" s="1"/>
      <c r="AZ288" s="1"/>
      <c r="BA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Q288" s="1"/>
      <c r="BR288" s="1"/>
      <c r="BS288" s="1"/>
      <c r="BT288" s="1"/>
      <c r="BU288" s="1"/>
      <c r="BV288" s="1"/>
      <c r="BW288" s="1"/>
      <c r="BX288" s="1"/>
      <c r="BY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D288" s="1"/>
      <c r="GE288" s="1"/>
      <c r="GF288" s="1"/>
      <c r="GG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</row>
    <row r="289" spans="3:222" x14ac:dyDescent="0.3"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O289" s="1"/>
      <c r="AP289" s="1"/>
      <c r="AQ289" s="1"/>
      <c r="AR289" s="1"/>
      <c r="AS289" s="1"/>
      <c r="AU289" s="1"/>
      <c r="AV289" s="1"/>
      <c r="AW289" s="1"/>
      <c r="AX289" s="1"/>
      <c r="AY289" s="1"/>
      <c r="AZ289" s="1"/>
      <c r="BA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Q289" s="1"/>
      <c r="BR289" s="1"/>
      <c r="BS289" s="1"/>
      <c r="BT289" s="1"/>
      <c r="BU289" s="1"/>
      <c r="BV289" s="1"/>
      <c r="BW289" s="1"/>
      <c r="BX289" s="1"/>
      <c r="BY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D289" s="1"/>
      <c r="GE289" s="1"/>
      <c r="GF289" s="1"/>
      <c r="GG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</row>
    <row r="290" spans="3:222" x14ac:dyDescent="0.3"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O290" s="1"/>
      <c r="AP290" s="1"/>
      <c r="AQ290" s="1"/>
      <c r="AR290" s="1"/>
      <c r="AS290" s="1"/>
      <c r="AU290" s="1"/>
      <c r="AV290" s="1"/>
      <c r="AW290" s="1"/>
      <c r="AX290" s="1"/>
      <c r="AY290" s="1"/>
      <c r="AZ290" s="1"/>
      <c r="BA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Q290" s="1"/>
      <c r="BR290" s="1"/>
      <c r="BS290" s="1"/>
      <c r="BT290" s="1"/>
      <c r="BU290" s="1"/>
      <c r="BV290" s="1"/>
      <c r="BW290" s="1"/>
      <c r="BX290" s="1"/>
      <c r="BY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D290" s="1"/>
      <c r="GE290" s="1"/>
      <c r="GF290" s="1"/>
      <c r="GG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</row>
    <row r="291" spans="3:222" x14ac:dyDescent="0.3"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O291" s="1"/>
      <c r="AP291" s="1"/>
      <c r="AQ291" s="1"/>
      <c r="AR291" s="1"/>
      <c r="AS291" s="1"/>
      <c r="AU291" s="1"/>
      <c r="AV291" s="1"/>
      <c r="AW291" s="1"/>
      <c r="AX291" s="1"/>
      <c r="AY291" s="1"/>
      <c r="AZ291" s="1"/>
      <c r="BA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Q291" s="1"/>
      <c r="BR291" s="1"/>
      <c r="BS291" s="1"/>
      <c r="BT291" s="1"/>
      <c r="BU291" s="1"/>
      <c r="BV291" s="1"/>
      <c r="BW291" s="1"/>
      <c r="BX291" s="1"/>
      <c r="BY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D291" s="1"/>
      <c r="GE291" s="1"/>
      <c r="GF291" s="1"/>
      <c r="GG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</row>
    <row r="292" spans="3:222" x14ac:dyDescent="0.3"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O292" s="1"/>
      <c r="AP292" s="1"/>
      <c r="AQ292" s="1"/>
      <c r="AR292" s="1"/>
      <c r="AS292" s="1"/>
      <c r="AU292" s="1"/>
      <c r="AV292" s="1"/>
      <c r="AW292" s="1"/>
      <c r="AX292" s="1"/>
      <c r="AY292" s="1"/>
      <c r="AZ292" s="1"/>
      <c r="BA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Q292" s="1"/>
      <c r="BR292" s="1"/>
      <c r="BS292" s="1"/>
      <c r="BT292" s="1"/>
      <c r="BU292" s="1"/>
      <c r="BV292" s="1"/>
      <c r="BW292" s="1"/>
      <c r="BX292" s="1"/>
      <c r="BY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D292" s="1"/>
      <c r="GE292" s="1"/>
      <c r="GF292" s="1"/>
      <c r="GG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</row>
    <row r="293" spans="3:222" x14ac:dyDescent="0.3"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O293" s="1"/>
      <c r="AP293" s="1"/>
      <c r="AQ293" s="1"/>
      <c r="AR293" s="1"/>
      <c r="AS293" s="1"/>
      <c r="AU293" s="1"/>
      <c r="AV293" s="1"/>
      <c r="AW293" s="1"/>
      <c r="AX293" s="1"/>
      <c r="AY293" s="1"/>
      <c r="AZ293" s="1"/>
      <c r="BA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Q293" s="1"/>
      <c r="BR293" s="1"/>
      <c r="BS293" s="1"/>
      <c r="BT293" s="1"/>
      <c r="BU293" s="1"/>
      <c r="BV293" s="1"/>
      <c r="BW293" s="1"/>
      <c r="BX293" s="1"/>
      <c r="BY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D293" s="1"/>
      <c r="GE293" s="1"/>
      <c r="GF293" s="1"/>
      <c r="GG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</row>
    <row r="294" spans="3:222" x14ac:dyDescent="0.3"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O294" s="1"/>
      <c r="AP294" s="1"/>
      <c r="AQ294" s="1"/>
      <c r="AR294" s="1"/>
      <c r="AS294" s="1"/>
      <c r="AU294" s="1"/>
      <c r="AV294" s="1"/>
      <c r="AW294" s="1"/>
      <c r="AX294" s="1"/>
      <c r="AY294" s="1"/>
      <c r="AZ294" s="1"/>
      <c r="BA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Q294" s="1"/>
      <c r="BR294" s="1"/>
      <c r="BS294" s="1"/>
      <c r="BT294" s="1"/>
      <c r="BU294" s="1"/>
      <c r="BV294" s="1"/>
      <c r="BW294" s="1"/>
      <c r="BX294" s="1"/>
      <c r="BY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D294" s="1"/>
      <c r="GE294" s="1"/>
      <c r="GF294" s="1"/>
      <c r="GG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</row>
    <row r="295" spans="3:222" x14ac:dyDescent="0.3"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O295" s="1"/>
      <c r="AP295" s="1"/>
      <c r="AQ295" s="1"/>
      <c r="AR295" s="1"/>
      <c r="AS295" s="1"/>
      <c r="AU295" s="1"/>
      <c r="AV295" s="1"/>
      <c r="AW295" s="1"/>
      <c r="AX295" s="1"/>
      <c r="AY295" s="1"/>
      <c r="AZ295" s="1"/>
      <c r="BA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Q295" s="1"/>
      <c r="BR295" s="1"/>
      <c r="BS295" s="1"/>
      <c r="BT295" s="1"/>
      <c r="BU295" s="1"/>
      <c r="BV295" s="1"/>
      <c r="BW295" s="1"/>
      <c r="BX295" s="1"/>
      <c r="BY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D295" s="1"/>
      <c r="GE295" s="1"/>
      <c r="GF295" s="1"/>
      <c r="GG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</row>
    <row r="296" spans="3:222" x14ac:dyDescent="0.3"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O296" s="1"/>
      <c r="AP296" s="1"/>
      <c r="AQ296" s="1"/>
      <c r="AR296" s="1"/>
      <c r="AS296" s="1"/>
      <c r="AU296" s="1"/>
      <c r="AV296" s="1"/>
      <c r="AW296" s="1"/>
      <c r="AX296" s="1"/>
      <c r="AY296" s="1"/>
      <c r="AZ296" s="1"/>
      <c r="BA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Q296" s="1"/>
      <c r="BR296" s="1"/>
      <c r="BS296" s="1"/>
      <c r="BT296" s="1"/>
      <c r="BU296" s="1"/>
      <c r="BV296" s="1"/>
      <c r="BW296" s="1"/>
      <c r="BX296" s="1"/>
      <c r="BY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D296" s="1"/>
      <c r="GE296" s="1"/>
      <c r="GF296" s="1"/>
      <c r="GG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</row>
    <row r="297" spans="3:222" x14ac:dyDescent="0.3"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O297" s="1"/>
      <c r="AP297" s="1"/>
      <c r="AQ297" s="1"/>
      <c r="AR297" s="1"/>
      <c r="AS297" s="1"/>
      <c r="AU297" s="1"/>
      <c r="AV297" s="1"/>
      <c r="AW297" s="1"/>
      <c r="AX297" s="1"/>
      <c r="AY297" s="1"/>
      <c r="AZ297" s="1"/>
      <c r="BA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Q297" s="1"/>
      <c r="BR297" s="1"/>
      <c r="BS297" s="1"/>
      <c r="BT297" s="1"/>
      <c r="BU297" s="1"/>
      <c r="BV297" s="1"/>
      <c r="BW297" s="1"/>
      <c r="BX297" s="1"/>
      <c r="BY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D297" s="1"/>
      <c r="GE297" s="1"/>
      <c r="GF297" s="1"/>
      <c r="GG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</row>
    <row r="298" spans="3:222" x14ac:dyDescent="0.3"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O298" s="1"/>
      <c r="AP298" s="1"/>
      <c r="AQ298" s="1"/>
      <c r="AR298" s="1"/>
      <c r="AS298" s="1"/>
      <c r="AU298" s="1"/>
      <c r="AV298" s="1"/>
      <c r="AW298" s="1"/>
      <c r="AX298" s="1"/>
      <c r="AY298" s="1"/>
      <c r="AZ298" s="1"/>
      <c r="BA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Q298" s="1"/>
      <c r="BR298" s="1"/>
      <c r="BS298" s="1"/>
      <c r="BT298" s="1"/>
      <c r="BU298" s="1"/>
      <c r="BV298" s="1"/>
      <c r="BW298" s="1"/>
      <c r="BX298" s="1"/>
      <c r="BY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D298" s="1"/>
      <c r="GE298" s="1"/>
      <c r="GF298" s="1"/>
      <c r="GG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</row>
    <row r="299" spans="3:222" x14ac:dyDescent="0.3"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O299" s="1"/>
      <c r="AP299" s="1"/>
      <c r="AQ299" s="1"/>
      <c r="AR299" s="1"/>
      <c r="AS299" s="1"/>
      <c r="AU299" s="1"/>
      <c r="AV299" s="1"/>
      <c r="AW299" s="1"/>
      <c r="AX299" s="1"/>
      <c r="AY299" s="1"/>
      <c r="AZ299" s="1"/>
      <c r="BA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Q299" s="1"/>
      <c r="BR299" s="1"/>
      <c r="BS299" s="1"/>
      <c r="BT299" s="1"/>
      <c r="BU299" s="1"/>
      <c r="BV299" s="1"/>
      <c r="BW299" s="1"/>
      <c r="BX299" s="1"/>
      <c r="BY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D299" s="1"/>
      <c r="GE299" s="1"/>
      <c r="GF299" s="1"/>
      <c r="GG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</row>
    <row r="300" spans="3:222" x14ac:dyDescent="0.3"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O300" s="1"/>
      <c r="AP300" s="1"/>
      <c r="AQ300" s="1"/>
      <c r="AR300" s="1"/>
      <c r="AS300" s="1"/>
      <c r="AU300" s="1"/>
      <c r="AV300" s="1"/>
      <c r="AW300" s="1"/>
      <c r="AX300" s="1"/>
      <c r="AY300" s="1"/>
      <c r="AZ300" s="1"/>
      <c r="BA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Q300" s="1"/>
      <c r="BR300" s="1"/>
      <c r="BS300" s="1"/>
      <c r="BT300" s="1"/>
      <c r="BU300" s="1"/>
      <c r="BV300" s="1"/>
      <c r="BW300" s="1"/>
      <c r="BX300" s="1"/>
      <c r="BY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D300" s="1"/>
      <c r="GE300" s="1"/>
      <c r="GF300" s="1"/>
      <c r="GG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</row>
    <row r="301" spans="3:222" x14ac:dyDescent="0.3"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O301" s="1"/>
      <c r="AP301" s="1"/>
      <c r="AQ301" s="1"/>
      <c r="AR301" s="1"/>
      <c r="AS301" s="1"/>
      <c r="AU301" s="1"/>
      <c r="AV301" s="1"/>
      <c r="AW301" s="1"/>
      <c r="AX301" s="1"/>
      <c r="AY301" s="1"/>
      <c r="AZ301" s="1"/>
      <c r="BA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Q301" s="1"/>
      <c r="BR301" s="1"/>
      <c r="BS301" s="1"/>
      <c r="BT301" s="1"/>
      <c r="BU301" s="1"/>
      <c r="BV301" s="1"/>
      <c r="BW301" s="1"/>
      <c r="BX301" s="1"/>
      <c r="BY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D301" s="1"/>
      <c r="GE301" s="1"/>
      <c r="GF301" s="1"/>
      <c r="GG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</row>
    <row r="302" spans="3:222" x14ac:dyDescent="0.3"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O302" s="1"/>
      <c r="AP302" s="1"/>
      <c r="AQ302" s="1"/>
      <c r="AR302" s="1"/>
      <c r="AS302" s="1"/>
      <c r="AU302" s="1"/>
      <c r="AV302" s="1"/>
      <c r="AW302" s="1"/>
      <c r="AX302" s="1"/>
      <c r="AY302" s="1"/>
      <c r="AZ302" s="1"/>
      <c r="BA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Q302" s="1"/>
      <c r="BR302" s="1"/>
      <c r="BS302" s="1"/>
      <c r="BT302" s="1"/>
      <c r="BU302" s="1"/>
      <c r="BV302" s="1"/>
      <c r="BW302" s="1"/>
      <c r="BX302" s="1"/>
      <c r="BY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D302" s="1"/>
      <c r="GE302" s="1"/>
      <c r="GF302" s="1"/>
      <c r="GG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</row>
    <row r="303" spans="3:222" x14ac:dyDescent="0.3"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O303" s="1"/>
      <c r="AP303" s="1"/>
      <c r="AQ303" s="1"/>
      <c r="AR303" s="1"/>
      <c r="AS303" s="1"/>
      <c r="AU303" s="1"/>
      <c r="AV303" s="1"/>
      <c r="AW303" s="1"/>
      <c r="AX303" s="1"/>
      <c r="AY303" s="1"/>
      <c r="AZ303" s="1"/>
      <c r="BA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Q303" s="1"/>
      <c r="BR303" s="1"/>
      <c r="BS303" s="1"/>
      <c r="BT303" s="1"/>
      <c r="BU303" s="1"/>
      <c r="BV303" s="1"/>
      <c r="BW303" s="1"/>
      <c r="BX303" s="1"/>
      <c r="BY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D303" s="1"/>
      <c r="GE303" s="1"/>
      <c r="GF303" s="1"/>
      <c r="GG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</row>
    <row r="304" spans="3:222" x14ac:dyDescent="0.3"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O304" s="1"/>
      <c r="AP304" s="1"/>
      <c r="AQ304" s="1"/>
      <c r="AR304" s="1"/>
      <c r="AS304" s="1"/>
      <c r="AU304" s="1"/>
      <c r="AV304" s="1"/>
      <c r="AW304" s="1"/>
      <c r="AX304" s="1"/>
      <c r="AY304" s="1"/>
      <c r="AZ304" s="1"/>
      <c r="BA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Q304" s="1"/>
      <c r="BR304" s="1"/>
      <c r="BS304" s="1"/>
      <c r="BT304" s="1"/>
      <c r="BU304" s="1"/>
      <c r="BV304" s="1"/>
      <c r="BW304" s="1"/>
      <c r="BX304" s="1"/>
      <c r="BY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D304" s="1"/>
      <c r="GE304" s="1"/>
      <c r="GF304" s="1"/>
      <c r="GG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</row>
    <row r="305" spans="3:222" x14ac:dyDescent="0.3"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O305" s="1"/>
      <c r="AP305" s="1"/>
      <c r="AQ305" s="1"/>
      <c r="AR305" s="1"/>
      <c r="AS305" s="1"/>
      <c r="AU305" s="1"/>
      <c r="AV305" s="1"/>
      <c r="AW305" s="1"/>
      <c r="AX305" s="1"/>
      <c r="AY305" s="1"/>
      <c r="AZ305" s="1"/>
      <c r="BA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Q305" s="1"/>
      <c r="BR305" s="1"/>
      <c r="BS305" s="1"/>
      <c r="BT305" s="1"/>
      <c r="BU305" s="1"/>
      <c r="BV305" s="1"/>
      <c r="BW305" s="1"/>
      <c r="BX305" s="1"/>
      <c r="BY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D305" s="1"/>
      <c r="GE305" s="1"/>
      <c r="GF305" s="1"/>
      <c r="GG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</row>
    <row r="306" spans="3:222" x14ac:dyDescent="0.3"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O306" s="1"/>
      <c r="AP306" s="1"/>
      <c r="AQ306" s="1"/>
      <c r="AR306" s="1"/>
      <c r="AS306" s="1"/>
      <c r="AU306" s="1"/>
      <c r="AV306" s="1"/>
      <c r="AW306" s="1"/>
      <c r="AX306" s="1"/>
      <c r="AY306" s="1"/>
      <c r="AZ306" s="1"/>
      <c r="BA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Q306" s="1"/>
      <c r="BR306" s="1"/>
      <c r="BS306" s="1"/>
      <c r="BT306" s="1"/>
      <c r="BU306" s="1"/>
      <c r="BV306" s="1"/>
      <c r="BW306" s="1"/>
      <c r="BX306" s="1"/>
      <c r="BY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D306" s="1"/>
      <c r="GE306" s="1"/>
      <c r="GF306" s="1"/>
      <c r="GG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</row>
    <row r="307" spans="3:222" x14ac:dyDescent="0.3"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O307" s="1"/>
      <c r="AP307" s="1"/>
      <c r="AQ307" s="1"/>
      <c r="AR307" s="1"/>
      <c r="AS307" s="1"/>
      <c r="AU307" s="1"/>
      <c r="AV307" s="1"/>
      <c r="AW307" s="1"/>
      <c r="AX307" s="1"/>
      <c r="AY307" s="1"/>
      <c r="AZ307" s="1"/>
      <c r="BA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Q307" s="1"/>
      <c r="BR307" s="1"/>
      <c r="BS307" s="1"/>
      <c r="BT307" s="1"/>
      <c r="BU307" s="1"/>
      <c r="BV307" s="1"/>
      <c r="BW307" s="1"/>
      <c r="BX307" s="1"/>
      <c r="BY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D307" s="1"/>
      <c r="GE307" s="1"/>
      <c r="GF307" s="1"/>
      <c r="GG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</row>
    <row r="308" spans="3:222" x14ac:dyDescent="0.3"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O308" s="1"/>
      <c r="AP308" s="1"/>
      <c r="AQ308" s="1"/>
      <c r="AR308" s="1"/>
      <c r="AS308" s="1"/>
      <c r="AU308" s="1"/>
      <c r="AV308" s="1"/>
      <c r="AW308" s="1"/>
      <c r="AX308" s="1"/>
      <c r="AY308" s="1"/>
      <c r="AZ308" s="1"/>
      <c r="BA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Q308" s="1"/>
      <c r="BR308" s="1"/>
      <c r="BS308" s="1"/>
      <c r="BT308" s="1"/>
      <c r="BU308" s="1"/>
      <c r="BV308" s="1"/>
      <c r="BW308" s="1"/>
      <c r="BX308" s="1"/>
      <c r="BY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D308" s="1"/>
      <c r="GE308" s="1"/>
      <c r="GF308" s="1"/>
      <c r="GG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</row>
    <row r="309" spans="3:222" x14ac:dyDescent="0.3"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O309" s="1"/>
      <c r="AP309" s="1"/>
      <c r="AQ309" s="1"/>
      <c r="AR309" s="1"/>
      <c r="AS309" s="1"/>
      <c r="AU309" s="1"/>
      <c r="AV309" s="1"/>
      <c r="AW309" s="1"/>
      <c r="AX309" s="1"/>
      <c r="AY309" s="1"/>
      <c r="AZ309" s="1"/>
      <c r="BA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Q309" s="1"/>
      <c r="BR309" s="1"/>
      <c r="BS309" s="1"/>
      <c r="BT309" s="1"/>
      <c r="BU309" s="1"/>
      <c r="BV309" s="1"/>
      <c r="BW309" s="1"/>
      <c r="BX309" s="1"/>
      <c r="BY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D309" s="1"/>
      <c r="GE309" s="1"/>
      <c r="GF309" s="1"/>
      <c r="GG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</row>
    <row r="310" spans="3:222" x14ac:dyDescent="0.3"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O310" s="1"/>
      <c r="AP310" s="1"/>
      <c r="AQ310" s="1"/>
      <c r="AR310" s="1"/>
      <c r="AS310" s="1"/>
      <c r="AU310" s="1"/>
      <c r="AV310" s="1"/>
      <c r="AW310" s="1"/>
      <c r="AX310" s="1"/>
      <c r="AY310" s="1"/>
      <c r="AZ310" s="1"/>
      <c r="BA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Q310" s="1"/>
      <c r="BR310" s="1"/>
      <c r="BS310" s="1"/>
      <c r="BT310" s="1"/>
      <c r="BU310" s="1"/>
      <c r="BV310" s="1"/>
      <c r="BW310" s="1"/>
      <c r="BX310" s="1"/>
      <c r="BY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D310" s="1"/>
      <c r="GE310" s="1"/>
      <c r="GF310" s="1"/>
      <c r="GG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</row>
    <row r="311" spans="3:222" x14ac:dyDescent="0.3"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O311" s="1"/>
      <c r="AP311" s="1"/>
      <c r="AQ311" s="1"/>
      <c r="AR311" s="1"/>
      <c r="AS311" s="1"/>
      <c r="AU311" s="1"/>
      <c r="AV311" s="1"/>
      <c r="AW311" s="1"/>
      <c r="AX311" s="1"/>
      <c r="AY311" s="1"/>
      <c r="AZ311" s="1"/>
      <c r="BA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Q311" s="1"/>
      <c r="BR311" s="1"/>
      <c r="BS311" s="1"/>
      <c r="BT311" s="1"/>
      <c r="BU311" s="1"/>
      <c r="BV311" s="1"/>
      <c r="BW311" s="1"/>
      <c r="BX311" s="1"/>
      <c r="BY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D311" s="1"/>
      <c r="GE311" s="1"/>
      <c r="GF311" s="1"/>
      <c r="GG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</row>
    <row r="312" spans="3:222" x14ac:dyDescent="0.3"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O312" s="1"/>
      <c r="AP312" s="1"/>
      <c r="AQ312" s="1"/>
      <c r="AR312" s="1"/>
      <c r="AS312" s="1"/>
      <c r="AU312" s="1"/>
      <c r="AV312" s="1"/>
      <c r="AW312" s="1"/>
      <c r="AX312" s="1"/>
      <c r="AY312" s="1"/>
      <c r="AZ312" s="1"/>
      <c r="BA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Q312" s="1"/>
      <c r="BR312" s="1"/>
      <c r="BS312" s="1"/>
      <c r="BT312" s="1"/>
      <c r="BU312" s="1"/>
      <c r="BV312" s="1"/>
      <c r="BW312" s="1"/>
      <c r="BX312" s="1"/>
      <c r="BY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D312" s="1"/>
      <c r="GE312" s="1"/>
      <c r="GF312" s="1"/>
      <c r="GG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</row>
    <row r="313" spans="3:222" x14ac:dyDescent="0.3"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O313" s="1"/>
      <c r="AP313" s="1"/>
      <c r="AQ313" s="1"/>
      <c r="AR313" s="1"/>
      <c r="AS313" s="1"/>
      <c r="AU313" s="1"/>
      <c r="AV313" s="1"/>
      <c r="AW313" s="1"/>
      <c r="AX313" s="1"/>
      <c r="AY313" s="1"/>
      <c r="AZ313" s="1"/>
      <c r="BA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Q313" s="1"/>
      <c r="BR313" s="1"/>
      <c r="BS313" s="1"/>
      <c r="BT313" s="1"/>
      <c r="BU313" s="1"/>
      <c r="BV313" s="1"/>
      <c r="BW313" s="1"/>
      <c r="BX313" s="1"/>
      <c r="BY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D313" s="1"/>
      <c r="GE313" s="1"/>
      <c r="GF313" s="1"/>
      <c r="GG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</row>
    <row r="314" spans="3:222" x14ac:dyDescent="0.3"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O314" s="1"/>
      <c r="AP314" s="1"/>
      <c r="AQ314" s="1"/>
      <c r="AR314" s="1"/>
      <c r="AS314" s="1"/>
      <c r="AU314" s="1"/>
      <c r="AV314" s="1"/>
      <c r="AW314" s="1"/>
      <c r="AX314" s="1"/>
      <c r="AY314" s="1"/>
      <c r="AZ314" s="1"/>
      <c r="BA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Q314" s="1"/>
      <c r="BR314" s="1"/>
      <c r="BS314" s="1"/>
      <c r="BT314" s="1"/>
      <c r="BU314" s="1"/>
      <c r="BV314" s="1"/>
      <c r="BW314" s="1"/>
      <c r="BX314" s="1"/>
      <c r="BY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D314" s="1"/>
      <c r="GE314" s="1"/>
      <c r="GF314" s="1"/>
      <c r="GG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</row>
    <row r="315" spans="3:222" x14ac:dyDescent="0.3"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O315" s="1"/>
      <c r="AP315" s="1"/>
      <c r="AQ315" s="1"/>
      <c r="AR315" s="1"/>
      <c r="AS315" s="1"/>
      <c r="AU315" s="1"/>
      <c r="AV315" s="1"/>
      <c r="AW315" s="1"/>
      <c r="AX315" s="1"/>
      <c r="AY315" s="1"/>
      <c r="AZ315" s="1"/>
      <c r="BA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Q315" s="1"/>
      <c r="BR315" s="1"/>
      <c r="BS315" s="1"/>
      <c r="BT315" s="1"/>
      <c r="BU315" s="1"/>
      <c r="BV315" s="1"/>
      <c r="BW315" s="1"/>
      <c r="BX315" s="1"/>
      <c r="BY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D315" s="1"/>
      <c r="GE315" s="1"/>
      <c r="GF315" s="1"/>
      <c r="GG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</row>
    <row r="316" spans="3:222" x14ac:dyDescent="0.3"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O316" s="1"/>
      <c r="AP316" s="1"/>
      <c r="AQ316" s="1"/>
      <c r="AR316" s="1"/>
      <c r="AS316" s="1"/>
      <c r="AU316" s="1"/>
      <c r="AV316" s="1"/>
      <c r="AW316" s="1"/>
      <c r="AX316" s="1"/>
      <c r="AY316" s="1"/>
      <c r="AZ316" s="1"/>
      <c r="BA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Q316" s="1"/>
      <c r="BR316" s="1"/>
      <c r="BS316" s="1"/>
      <c r="BT316" s="1"/>
      <c r="BU316" s="1"/>
      <c r="BV316" s="1"/>
      <c r="BW316" s="1"/>
      <c r="BX316" s="1"/>
      <c r="BY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D316" s="1"/>
      <c r="GE316" s="1"/>
      <c r="GF316" s="1"/>
      <c r="GG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</row>
    <row r="317" spans="3:222" x14ac:dyDescent="0.3"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O317" s="1"/>
      <c r="AP317" s="1"/>
      <c r="AQ317" s="1"/>
      <c r="AR317" s="1"/>
      <c r="AS317" s="1"/>
      <c r="AU317" s="1"/>
      <c r="AV317" s="1"/>
      <c r="AW317" s="1"/>
      <c r="AX317" s="1"/>
      <c r="AY317" s="1"/>
      <c r="AZ317" s="1"/>
      <c r="BA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Q317" s="1"/>
      <c r="BR317" s="1"/>
      <c r="BS317" s="1"/>
      <c r="BT317" s="1"/>
      <c r="BU317" s="1"/>
      <c r="BV317" s="1"/>
      <c r="BW317" s="1"/>
      <c r="BX317" s="1"/>
      <c r="BY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D317" s="1"/>
      <c r="GE317" s="1"/>
      <c r="GF317" s="1"/>
      <c r="GG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</row>
    <row r="318" spans="3:222" x14ac:dyDescent="0.3"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O318" s="1"/>
      <c r="AP318" s="1"/>
      <c r="AQ318" s="1"/>
      <c r="AR318" s="1"/>
      <c r="AS318" s="1"/>
      <c r="AU318" s="1"/>
      <c r="AV318" s="1"/>
      <c r="AW318" s="1"/>
      <c r="AX318" s="1"/>
      <c r="AY318" s="1"/>
      <c r="AZ318" s="1"/>
      <c r="BA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Q318" s="1"/>
      <c r="BR318" s="1"/>
      <c r="BS318" s="1"/>
      <c r="BT318" s="1"/>
      <c r="BU318" s="1"/>
      <c r="BV318" s="1"/>
      <c r="BW318" s="1"/>
      <c r="BX318" s="1"/>
      <c r="BY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D318" s="1"/>
      <c r="GE318" s="1"/>
      <c r="GF318" s="1"/>
      <c r="GG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</row>
    <row r="319" spans="3:222" x14ac:dyDescent="0.3"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O319" s="1"/>
      <c r="AP319" s="1"/>
      <c r="AQ319" s="1"/>
      <c r="AR319" s="1"/>
      <c r="AS319" s="1"/>
      <c r="AU319" s="1"/>
      <c r="AV319" s="1"/>
      <c r="AW319" s="1"/>
      <c r="AX319" s="1"/>
      <c r="AY319" s="1"/>
      <c r="AZ319" s="1"/>
      <c r="BA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Q319" s="1"/>
      <c r="BR319" s="1"/>
      <c r="BS319" s="1"/>
      <c r="BT319" s="1"/>
      <c r="BU319" s="1"/>
      <c r="BV319" s="1"/>
      <c r="BW319" s="1"/>
      <c r="BX319" s="1"/>
      <c r="BY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D319" s="1"/>
      <c r="GE319" s="1"/>
      <c r="GF319" s="1"/>
      <c r="GG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</row>
    <row r="320" spans="3:222" x14ac:dyDescent="0.3"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O320" s="1"/>
      <c r="AP320" s="1"/>
      <c r="AQ320" s="1"/>
      <c r="AR320" s="1"/>
      <c r="AS320" s="1"/>
      <c r="AU320" s="1"/>
      <c r="AV320" s="1"/>
      <c r="AW320" s="1"/>
      <c r="AX320" s="1"/>
      <c r="AY320" s="1"/>
      <c r="AZ320" s="1"/>
      <c r="BA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Q320" s="1"/>
      <c r="BR320" s="1"/>
      <c r="BS320" s="1"/>
      <c r="BT320" s="1"/>
      <c r="BU320" s="1"/>
      <c r="BV320" s="1"/>
      <c r="BW320" s="1"/>
      <c r="BX320" s="1"/>
      <c r="BY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D320" s="1"/>
      <c r="GE320" s="1"/>
      <c r="GF320" s="1"/>
      <c r="GG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</row>
    <row r="321" spans="3:222" x14ac:dyDescent="0.3"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O321" s="1"/>
      <c r="AP321" s="1"/>
      <c r="AQ321" s="1"/>
      <c r="AR321" s="1"/>
      <c r="AS321" s="1"/>
      <c r="AU321" s="1"/>
      <c r="AV321" s="1"/>
      <c r="AW321" s="1"/>
      <c r="AX321" s="1"/>
      <c r="AY321" s="1"/>
      <c r="AZ321" s="1"/>
      <c r="BA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Q321" s="1"/>
      <c r="BR321" s="1"/>
      <c r="BS321" s="1"/>
      <c r="BT321" s="1"/>
      <c r="BU321" s="1"/>
      <c r="BV321" s="1"/>
      <c r="BW321" s="1"/>
      <c r="BX321" s="1"/>
      <c r="BY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D321" s="1"/>
      <c r="GE321" s="1"/>
      <c r="GF321" s="1"/>
      <c r="GG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</row>
    <row r="322" spans="3:222" x14ac:dyDescent="0.3"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O322" s="1"/>
      <c r="AP322" s="1"/>
      <c r="AQ322" s="1"/>
      <c r="AR322" s="1"/>
      <c r="AS322" s="1"/>
      <c r="AU322" s="1"/>
      <c r="AV322" s="1"/>
      <c r="AW322" s="1"/>
      <c r="AX322" s="1"/>
      <c r="AY322" s="1"/>
      <c r="AZ322" s="1"/>
      <c r="BA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Q322" s="1"/>
      <c r="BR322" s="1"/>
      <c r="BS322" s="1"/>
      <c r="BT322" s="1"/>
      <c r="BU322" s="1"/>
      <c r="BV322" s="1"/>
      <c r="BW322" s="1"/>
      <c r="BX322" s="1"/>
      <c r="BY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D322" s="1"/>
      <c r="GE322" s="1"/>
      <c r="GF322" s="1"/>
      <c r="GG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</row>
    <row r="323" spans="3:222" x14ac:dyDescent="0.3"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O323" s="1"/>
      <c r="AP323" s="1"/>
      <c r="AQ323" s="1"/>
      <c r="AR323" s="1"/>
      <c r="AS323" s="1"/>
      <c r="AU323" s="1"/>
      <c r="AV323" s="1"/>
      <c r="AW323" s="1"/>
      <c r="AX323" s="1"/>
      <c r="AY323" s="1"/>
      <c r="AZ323" s="1"/>
      <c r="BA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Q323" s="1"/>
      <c r="BR323" s="1"/>
      <c r="BS323" s="1"/>
      <c r="BT323" s="1"/>
      <c r="BU323" s="1"/>
      <c r="BV323" s="1"/>
      <c r="BW323" s="1"/>
      <c r="BX323" s="1"/>
      <c r="BY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D323" s="1"/>
      <c r="GE323" s="1"/>
      <c r="GF323" s="1"/>
      <c r="GG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</row>
    <row r="324" spans="3:222" x14ac:dyDescent="0.3"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O324" s="1"/>
      <c r="AP324" s="1"/>
      <c r="AQ324" s="1"/>
      <c r="AR324" s="1"/>
      <c r="AS324" s="1"/>
      <c r="AU324" s="1"/>
      <c r="AV324" s="1"/>
      <c r="AW324" s="1"/>
      <c r="AX324" s="1"/>
      <c r="AY324" s="1"/>
      <c r="AZ324" s="1"/>
      <c r="BA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Q324" s="1"/>
      <c r="BR324" s="1"/>
      <c r="BS324" s="1"/>
      <c r="BT324" s="1"/>
      <c r="BU324" s="1"/>
      <c r="BV324" s="1"/>
      <c r="BW324" s="1"/>
      <c r="BX324" s="1"/>
      <c r="BY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D324" s="1"/>
      <c r="GE324" s="1"/>
      <c r="GF324" s="1"/>
      <c r="GG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</row>
    <row r="325" spans="3:222" x14ac:dyDescent="0.3"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O325" s="1"/>
      <c r="AP325" s="1"/>
      <c r="AQ325" s="1"/>
      <c r="AR325" s="1"/>
      <c r="AS325" s="1"/>
      <c r="AU325" s="1"/>
      <c r="AV325" s="1"/>
      <c r="AW325" s="1"/>
      <c r="AX325" s="1"/>
      <c r="AY325" s="1"/>
      <c r="AZ325" s="1"/>
      <c r="BA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Q325" s="1"/>
      <c r="BR325" s="1"/>
      <c r="BS325" s="1"/>
      <c r="BT325" s="1"/>
      <c r="BU325" s="1"/>
      <c r="BV325" s="1"/>
      <c r="BW325" s="1"/>
      <c r="BX325" s="1"/>
      <c r="BY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D325" s="1"/>
      <c r="GE325" s="1"/>
      <c r="GF325" s="1"/>
      <c r="GG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</row>
    <row r="326" spans="3:222" x14ac:dyDescent="0.3"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O326" s="1"/>
      <c r="AP326" s="1"/>
      <c r="AQ326" s="1"/>
      <c r="AR326" s="1"/>
      <c r="AS326" s="1"/>
      <c r="AU326" s="1"/>
      <c r="AV326" s="1"/>
      <c r="AW326" s="1"/>
      <c r="AX326" s="1"/>
      <c r="AY326" s="1"/>
      <c r="AZ326" s="1"/>
      <c r="BA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Q326" s="1"/>
      <c r="BR326" s="1"/>
      <c r="BS326" s="1"/>
      <c r="BT326" s="1"/>
      <c r="BU326" s="1"/>
      <c r="BV326" s="1"/>
      <c r="BW326" s="1"/>
      <c r="BX326" s="1"/>
      <c r="BY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D326" s="1"/>
      <c r="GE326" s="1"/>
      <c r="GF326" s="1"/>
      <c r="GG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</row>
    <row r="327" spans="3:222" x14ac:dyDescent="0.3"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O327" s="1"/>
      <c r="AP327" s="1"/>
      <c r="AQ327" s="1"/>
      <c r="AR327" s="1"/>
      <c r="AS327" s="1"/>
      <c r="AU327" s="1"/>
      <c r="AV327" s="1"/>
      <c r="AW327" s="1"/>
      <c r="AX327" s="1"/>
      <c r="AY327" s="1"/>
      <c r="AZ327" s="1"/>
      <c r="BA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Q327" s="1"/>
      <c r="BR327" s="1"/>
      <c r="BS327" s="1"/>
      <c r="BT327" s="1"/>
      <c r="BU327" s="1"/>
      <c r="BV327" s="1"/>
      <c r="BW327" s="1"/>
      <c r="BX327" s="1"/>
      <c r="BY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D327" s="1"/>
      <c r="GE327" s="1"/>
      <c r="GF327" s="1"/>
      <c r="GG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</row>
    <row r="328" spans="3:222" x14ac:dyDescent="0.3"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O328" s="1"/>
      <c r="AP328" s="1"/>
      <c r="AQ328" s="1"/>
      <c r="AR328" s="1"/>
      <c r="AS328" s="1"/>
      <c r="AU328" s="1"/>
      <c r="AV328" s="1"/>
      <c r="AW328" s="1"/>
      <c r="AX328" s="1"/>
      <c r="AY328" s="1"/>
      <c r="AZ328" s="1"/>
      <c r="BA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Q328" s="1"/>
      <c r="BR328" s="1"/>
      <c r="BS328" s="1"/>
      <c r="BT328" s="1"/>
      <c r="BU328" s="1"/>
      <c r="BV328" s="1"/>
      <c r="BW328" s="1"/>
      <c r="BX328" s="1"/>
      <c r="BY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D328" s="1"/>
      <c r="GE328" s="1"/>
      <c r="GF328" s="1"/>
      <c r="GG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</row>
    <row r="329" spans="3:222" x14ac:dyDescent="0.3"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O329" s="1"/>
      <c r="AP329" s="1"/>
      <c r="AQ329" s="1"/>
      <c r="AR329" s="1"/>
      <c r="AS329" s="1"/>
      <c r="AU329" s="1"/>
      <c r="AV329" s="1"/>
      <c r="AW329" s="1"/>
      <c r="AX329" s="1"/>
      <c r="AY329" s="1"/>
      <c r="AZ329" s="1"/>
      <c r="BA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Q329" s="1"/>
      <c r="BR329" s="1"/>
      <c r="BS329" s="1"/>
      <c r="BT329" s="1"/>
      <c r="BU329" s="1"/>
      <c r="BV329" s="1"/>
      <c r="BW329" s="1"/>
      <c r="BX329" s="1"/>
      <c r="BY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D329" s="1"/>
      <c r="GE329" s="1"/>
      <c r="GF329" s="1"/>
      <c r="GG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</row>
    <row r="330" spans="3:222" x14ac:dyDescent="0.3"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O330" s="1"/>
      <c r="AP330" s="1"/>
      <c r="AQ330" s="1"/>
      <c r="AR330" s="1"/>
      <c r="AS330" s="1"/>
      <c r="AU330" s="1"/>
      <c r="AV330" s="1"/>
      <c r="AW330" s="1"/>
      <c r="AX330" s="1"/>
      <c r="AY330" s="1"/>
      <c r="AZ330" s="1"/>
      <c r="BA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Q330" s="1"/>
      <c r="BR330" s="1"/>
      <c r="BS330" s="1"/>
      <c r="BT330" s="1"/>
      <c r="BU330" s="1"/>
      <c r="BV330" s="1"/>
      <c r="BW330" s="1"/>
      <c r="BX330" s="1"/>
      <c r="BY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D330" s="1"/>
      <c r="GE330" s="1"/>
      <c r="GF330" s="1"/>
      <c r="GG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</row>
    <row r="331" spans="3:222" x14ac:dyDescent="0.3"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O331" s="1"/>
      <c r="AP331" s="1"/>
      <c r="AQ331" s="1"/>
      <c r="AR331" s="1"/>
      <c r="AS331" s="1"/>
      <c r="AU331" s="1"/>
      <c r="AV331" s="1"/>
      <c r="AW331" s="1"/>
      <c r="AX331" s="1"/>
      <c r="AY331" s="1"/>
      <c r="AZ331" s="1"/>
      <c r="BA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Q331" s="1"/>
      <c r="BR331" s="1"/>
      <c r="BS331" s="1"/>
      <c r="BT331" s="1"/>
      <c r="BU331" s="1"/>
      <c r="BV331" s="1"/>
      <c r="BW331" s="1"/>
      <c r="BX331" s="1"/>
      <c r="BY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D331" s="1"/>
      <c r="GE331" s="1"/>
      <c r="GF331" s="1"/>
      <c r="GG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</row>
    <row r="332" spans="3:222" x14ac:dyDescent="0.3"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O332" s="1"/>
      <c r="AP332" s="1"/>
      <c r="AQ332" s="1"/>
      <c r="AR332" s="1"/>
      <c r="AS332" s="1"/>
      <c r="AU332" s="1"/>
      <c r="AV332" s="1"/>
      <c r="AW332" s="1"/>
      <c r="AX332" s="1"/>
      <c r="AY332" s="1"/>
      <c r="AZ332" s="1"/>
      <c r="BA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Q332" s="1"/>
      <c r="BR332" s="1"/>
      <c r="BS332" s="1"/>
      <c r="BT332" s="1"/>
      <c r="BU332" s="1"/>
      <c r="BV332" s="1"/>
      <c r="BW332" s="1"/>
      <c r="BX332" s="1"/>
      <c r="BY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D332" s="1"/>
      <c r="GE332" s="1"/>
      <c r="GF332" s="1"/>
      <c r="GG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</row>
    <row r="333" spans="3:222" x14ac:dyDescent="0.3"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O333" s="1"/>
      <c r="AP333" s="1"/>
      <c r="AQ333" s="1"/>
      <c r="AR333" s="1"/>
      <c r="AS333" s="1"/>
      <c r="AU333" s="1"/>
      <c r="AV333" s="1"/>
      <c r="AW333" s="1"/>
      <c r="AX333" s="1"/>
      <c r="AY333" s="1"/>
      <c r="AZ333" s="1"/>
      <c r="BA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Q333" s="1"/>
      <c r="BR333" s="1"/>
      <c r="BS333" s="1"/>
      <c r="BT333" s="1"/>
      <c r="BU333" s="1"/>
      <c r="BV333" s="1"/>
      <c r="BW333" s="1"/>
      <c r="BX333" s="1"/>
      <c r="BY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D333" s="1"/>
      <c r="GE333" s="1"/>
      <c r="GF333" s="1"/>
      <c r="GG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</row>
    <row r="334" spans="3:222" x14ac:dyDescent="0.3"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O334" s="1"/>
      <c r="AP334" s="1"/>
      <c r="AQ334" s="1"/>
      <c r="AR334" s="1"/>
      <c r="AS334" s="1"/>
      <c r="AU334" s="1"/>
      <c r="AV334" s="1"/>
      <c r="AW334" s="1"/>
      <c r="AX334" s="1"/>
      <c r="AY334" s="1"/>
      <c r="AZ334" s="1"/>
      <c r="BA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Q334" s="1"/>
      <c r="BR334" s="1"/>
      <c r="BS334" s="1"/>
      <c r="BT334" s="1"/>
      <c r="BU334" s="1"/>
      <c r="BV334" s="1"/>
      <c r="BW334" s="1"/>
      <c r="BX334" s="1"/>
      <c r="BY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D334" s="1"/>
      <c r="GE334" s="1"/>
      <c r="GF334" s="1"/>
      <c r="GG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</row>
    <row r="335" spans="3:222" x14ac:dyDescent="0.3"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O335" s="1"/>
      <c r="AP335" s="1"/>
      <c r="AQ335" s="1"/>
      <c r="AR335" s="1"/>
      <c r="AS335" s="1"/>
      <c r="AU335" s="1"/>
      <c r="AV335" s="1"/>
      <c r="AW335" s="1"/>
      <c r="AX335" s="1"/>
      <c r="AY335" s="1"/>
      <c r="AZ335" s="1"/>
      <c r="BA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Q335" s="1"/>
      <c r="BR335" s="1"/>
      <c r="BS335" s="1"/>
      <c r="BT335" s="1"/>
      <c r="BU335" s="1"/>
      <c r="BV335" s="1"/>
      <c r="BW335" s="1"/>
      <c r="BX335" s="1"/>
      <c r="BY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D335" s="1"/>
      <c r="GE335" s="1"/>
      <c r="GF335" s="1"/>
      <c r="GG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</row>
    <row r="336" spans="3:222" x14ac:dyDescent="0.3"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O336" s="1"/>
      <c r="AP336" s="1"/>
      <c r="AQ336" s="1"/>
      <c r="AR336" s="1"/>
      <c r="AS336" s="1"/>
      <c r="AU336" s="1"/>
      <c r="AV336" s="1"/>
      <c r="AW336" s="1"/>
      <c r="AX336" s="1"/>
      <c r="AY336" s="1"/>
      <c r="AZ336" s="1"/>
      <c r="BA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Q336" s="1"/>
      <c r="BR336" s="1"/>
      <c r="BS336" s="1"/>
      <c r="BT336" s="1"/>
      <c r="BU336" s="1"/>
      <c r="BV336" s="1"/>
      <c r="BW336" s="1"/>
      <c r="BX336" s="1"/>
      <c r="BY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D336" s="1"/>
      <c r="GE336" s="1"/>
      <c r="GF336" s="1"/>
      <c r="GG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</row>
    <row r="337" spans="3:222" x14ac:dyDescent="0.3"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O337" s="1"/>
      <c r="AP337" s="1"/>
      <c r="AQ337" s="1"/>
      <c r="AR337" s="1"/>
      <c r="AS337" s="1"/>
      <c r="AU337" s="1"/>
      <c r="AV337" s="1"/>
      <c r="AW337" s="1"/>
      <c r="AX337" s="1"/>
      <c r="AY337" s="1"/>
      <c r="AZ337" s="1"/>
      <c r="BA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Q337" s="1"/>
      <c r="BR337" s="1"/>
      <c r="BS337" s="1"/>
      <c r="BT337" s="1"/>
      <c r="BU337" s="1"/>
      <c r="BV337" s="1"/>
      <c r="BW337" s="1"/>
      <c r="BX337" s="1"/>
      <c r="BY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D337" s="1"/>
      <c r="GE337" s="1"/>
      <c r="GF337" s="1"/>
      <c r="GG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</row>
    <row r="338" spans="3:222" x14ac:dyDescent="0.3"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O338" s="1"/>
      <c r="AP338" s="1"/>
      <c r="AQ338" s="1"/>
      <c r="AR338" s="1"/>
      <c r="AS338" s="1"/>
      <c r="AU338" s="1"/>
      <c r="AV338" s="1"/>
      <c r="AW338" s="1"/>
      <c r="AX338" s="1"/>
      <c r="AY338" s="1"/>
      <c r="AZ338" s="1"/>
      <c r="BA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Q338" s="1"/>
      <c r="BR338" s="1"/>
      <c r="BS338" s="1"/>
      <c r="BT338" s="1"/>
      <c r="BU338" s="1"/>
      <c r="BV338" s="1"/>
      <c r="BW338" s="1"/>
      <c r="BX338" s="1"/>
      <c r="BY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D338" s="1"/>
      <c r="GE338" s="1"/>
      <c r="GF338" s="1"/>
      <c r="GG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</row>
    <row r="339" spans="3:222" x14ac:dyDescent="0.3"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O339" s="1"/>
      <c r="AP339" s="1"/>
      <c r="AQ339" s="1"/>
      <c r="AR339" s="1"/>
      <c r="AS339" s="1"/>
      <c r="AU339" s="1"/>
      <c r="AV339" s="1"/>
      <c r="AW339" s="1"/>
      <c r="AX339" s="1"/>
      <c r="AY339" s="1"/>
      <c r="AZ339" s="1"/>
      <c r="BA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Q339" s="1"/>
      <c r="BR339" s="1"/>
      <c r="BS339" s="1"/>
      <c r="BT339" s="1"/>
      <c r="BU339" s="1"/>
      <c r="BV339" s="1"/>
      <c r="BW339" s="1"/>
      <c r="BX339" s="1"/>
      <c r="BY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D339" s="1"/>
      <c r="GE339" s="1"/>
      <c r="GF339" s="1"/>
      <c r="GG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</row>
    <row r="340" spans="3:222" x14ac:dyDescent="0.3"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O340" s="1"/>
      <c r="AP340" s="1"/>
      <c r="AQ340" s="1"/>
      <c r="AR340" s="1"/>
      <c r="AS340" s="1"/>
      <c r="AU340" s="1"/>
      <c r="AV340" s="1"/>
      <c r="AW340" s="1"/>
      <c r="AX340" s="1"/>
      <c r="AY340" s="1"/>
      <c r="AZ340" s="1"/>
      <c r="BA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Q340" s="1"/>
      <c r="BR340" s="1"/>
      <c r="BS340" s="1"/>
      <c r="BT340" s="1"/>
      <c r="BU340" s="1"/>
      <c r="BV340" s="1"/>
      <c r="BW340" s="1"/>
      <c r="BX340" s="1"/>
      <c r="BY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D340" s="1"/>
      <c r="GE340" s="1"/>
      <c r="GF340" s="1"/>
      <c r="GG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</row>
    <row r="341" spans="3:222" x14ac:dyDescent="0.3"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O341" s="1"/>
      <c r="AP341" s="1"/>
      <c r="AQ341" s="1"/>
      <c r="AR341" s="1"/>
      <c r="AS341" s="1"/>
      <c r="AU341" s="1"/>
      <c r="AV341" s="1"/>
      <c r="AW341" s="1"/>
      <c r="AX341" s="1"/>
      <c r="AY341" s="1"/>
      <c r="AZ341" s="1"/>
      <c r="BA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Q341" s="1"/>
      <c r="BR341" s="1"/>
      <c r="BS341" s="1"/>
      <c r="BT341" s="1"/>
      <c r="BU341" s="1"/>
      <c r="BV341" s="1"/>
      <c r="BW341" s="1"/>
      <c r="BX341" s="1"/>
      <c r="BY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D341" s="1"/>
      <c r="GE341" s="1"/>
      <c r="GF341" s="1"/>
      <c r="GG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</row>
    <row r="342" spans="3:222" x14ac:dyDescent="0.3"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O342" s="1"/>
      <c r="AP342" s="1"/>
      <c r="AQ342" s="1"/>
      <c r="AR342" s="1"/>
      <c r="AS342" s="1"/>
      <c r="AU342" s="1"/>
      <c r="AV342" s="1"/>
      <c r="AW342" s="1"/>
      <c r="AX342" s="1"/>
      <c r="AY342" s="1"/>
      <c r="AZ342" s="1"/>
      <c r="BA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Q342" s="1"/>
      <c r="BR342" s="1"/>
      <c r="BS342" s="1"/>
      <c r="BT342" s="1"/>
      <c r="BU342" s="1"/>
      <c r="BV342" s="1"/>
      <c r="BW342" s="1"/>
      <c r="BX342" s="1"/>
      <c r="BY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D342" s="1"/>
      <c r="GE342" s="1"/>
      <c r="GF342" s="1"/>
      <c r="GG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</row>
    <row r="343" spans="3:222" x14ac:dyDescent="0.3"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O343" s="1"/>
      <c r="AP343" s="1"/>
      <c r="AQ343" s="1"/>
      <c r="AR343" s="1"/>
      <c r="AS343" s="1"/>
      <c r="AU343" s="1"/>
      <c r="AV343" s="1"/>
      <c r="AW343" s="1"/>
      <c r="AX343" s="1"/>
      <c r="AY343" s="1"/>
      <c r="AZ343" s="1"/>
      <c r="BA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Q343" s="1"/>
      <c r="BR343" s="1"/>
      <c r="BS343" s="1"/>
      <c r="BT343" s="1"/>
      <c r="BU343" s="1"/>
      <c r="BV343" s="1"/>
      <c r="BW343" s="1"/>
      <c r="BX343" s="1"/>
      <c r="BY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D343" s="1"/>
      <c r="GE343" s="1"/>
      <c r="GF343" s="1"/>
      <c r="GG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</row>
    <row r="344" spans="3:222" x14ac:dyDescent="0.3"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O344" s="1"/>
      <c r="AP344" s="1"/>
      <c r="AQ344" s="1"/>
      <c r="AR344" s="1"/>
      <c r="AS344" s="1"/>
      <c r="AU344" s="1"/>
      <c r="AV344" s="1"/>
      <c r="AW344" s="1"/>
      <c r="AX344" s="1"/>
      <c r="AY344" s="1"/>
      <c r="AZ344" s="1"/>
      <c r="BA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Q344" s="1"/>
      <c r="BR344" s="1"/>
      <c r="BS344" s="1"/>
      <c r="BT344" s="1"/>
      <c r="BU344" s="1"/>
      <c r="BV344" s="1"/>
      <c r="BW344" s="1"/>
      <c r="BX344" s="1"/>
      <c r="BY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D344" s="1"/>
      <c r="GE344" s="1"/>
      <c r="GF344" s="1"/>
      <c r="GG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</row>
    <row r="345" spans="3:222" x14ac:dyDescent="0.3"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O345" s="1"/>
      <c r="AP345" s="1"/>
      <c r="AQ345" s="1"/>
      <c r="AR345" s="1"/>
      <c r="AS345" s="1"/>
      <c r="AU345" s="1"/>
      <c r="AV345" s="1"/>
      <c r="AW345" s="1"/>
      <c r="AX345" s="1"/>
      <c r="AY345" s="1"/>
      <c r="AZ345" s="1"/>
      <c r="BA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Q345" s="1"/>
      <c r="BR345" s="1"/>
      <c r="BS345" s="1"/>
      <c r="BT345" s="1"/>
      <c r="BU345" s="1"/>
      <c r="BV345" s="1"/>
      <c r="BW345" s="1"/>
      <c r="BX345" s="1"/>
      <c r="BY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D345" s="1"/>
      <c r="GE345" s="1"/>
      <c r="GF345" s="1"/>
      <c r="GG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</row>
    <row r="346" spans="3:222" x14ac:dyDescent="0.3"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O346" s="1"/>
      <c r="AP346" s="1"/>
      <c r="AQ346" s="1"/>
      <c r="AR346" s="1"/>
      <c r="AS346" s="1"/>
      <c r="AU346" s="1"/>
      <c r="AV346" s="1"/>
      <c r="AW346" s="1"/>
      <c r="AX346" s="1"/>
      <c r="AY346" s="1"/>
      <c r="AZ346" s="1"/>
      <c r="BA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Q346" s="1"/>
      <c r="BR346" s="1"/>
      <c r="BS346" s="1"/>
      <c r="BT346" s="1"/>
      <c r="BU346" s="1"/>
      <c r="BV346" s="1"/>
      <c r="BW346" s="1"/>
      <c r="BX346" s="1"/>
      <c r="BY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D346" s="1"/>
      <c r="GE346" s="1"/>
      <c r="GF346" s="1"/>
      <c r="GG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</row>
    <row r="347" spans="3:222" x14ac:dyDescent="0.3"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O347" s="1"/>
      <c r="AP347" s="1"/>
      <c r="AQ347" s="1"/>
      <c r="AR347" s="1"/>
      <c r="AS347" s="1"/>
      <c r="AU347" s="1"/>
      <c r="AV347" s="1"/>
      <c r="AW347" s="1"/>
      <c r="AX347" s="1"/>
      <c r="AY347" s="1"/>
      <c r="AZ347" s="1"/>
      <c r="BA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Q347" s="1"/>
      <c r="BR347" s="1"/>
      <c r="BS347" s="1"/>
      <c r="BT347" s="1"/>
      <c r="BU347" s="1"/>
      <c r="BV347" s="1"/>
      <c r="BW347" s="1"/>
      <c r="BX347" s="1"/>
      <c r="BY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D347" s="1"/>
      <c r="GE347" s="1"/>
      <c r="GF347" s="1"/>
      <c r="GG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</row>
    <row r="348" spans="3:222" x14ac:dyDescent="0.3"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O348" s="1"/>
      <c r="AP348" s="1"/>
      <c r="AQ348" s="1"/>
      <c r="AR348" s="1"/>
      <c r="AS348" s="1"/>
      <c r="AU348" s="1"/>
      <c r="AV348" s="1"/>
      <c r="AW348" s="1"/>
      <c r="AX348" s="1"/>
      <c r="AY348" s="1"/>
      <c r="AZ348" s="1"/>
      <c r="BA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Q348" s="1"/>
      <c r="BR348" s="1"/>
      <c r="BS348" s="1"/>
      <c r="BT348" s="1"/>
      <c r="BU348" s="1"/>
      <c r="BV348" s="1"/>
      <c r="BW348" s="1"/>
      <c r="BX348" s="1"/>
      <c r="BY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D348" s="1"/>
      <c r="GE348" s="1"/>
      <c r="GF348" s="1"/>
      <c r="GG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</row>
    <row r="349" spans="3:222" x14ac:dyDescent="0.3"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O349" s="1"/>
      <c r="AP349" s="1"/>
      <c r="AQ349" s="1"/>
      <c r="AR349" s="1"/>
      <c r="AS349" s="1"/>
      <c r="AU349" s="1"/>
      <c r="AV349" s="1"/>
      <c r="AW349" s="1"/>
      <c r="AX349" s="1"/>
      <c r="AY349" s="1"/>
      <c r="AZ349" s="1"/>
      <c r="BA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Q349" s="1"/>
      <c r="BR349" s="1"/>
      <c r="BS349" s="1"/>
      <c r="BT349" s="1"/>
      <c r="BU349" s="1"/>
      <c r="BV349" s="1"/>
      <c r="BW349" s="1"/>
      <c r="BX349" s="1"/>
      <c r="BY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D349" s="1"/>
      <c r="GE349" s="1"/>
      <c r="GF349" s="1"/>
      <c r="GG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</row>
    <row r="350" spans="3:222" x14ac:dyDescent="0.3"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O350" s="1"/>
      <c r="AP350" s="1"/>
      <c r="AQ350" s="1"/>
      <c r="AR350" s="1"/>
      <c r="AS350" s="1"/>
      <c r="AU350" s="1"/>
      <c r="AV350" s="1"/>
      <c r="AW350" s="1"/>
      <c r="AX350" s="1"/>
      <c r="AY350" s="1"/>
      <c r="AZ350" s="1"/>
      <c r="BA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Q350" s="1"/>
      <c r="BR350" s="1"/>
      <c r="BS350" s="1"/>
      <c r="BT350" s="1"/>
      <c r="BU350" s="1"/>
      <c r="BV350" s="1"/>
      <c r="BW350" s="1"/>
      <c r="BX350" s="1"/>
      <c r="BY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D350" s="1"/>
      <c r="GE350" s="1"/>
      <c r="GF350" s="1"/>
      <c r="GG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</row>
    <row r="351" spans="3:222" x14ac:dyDescent="0.3"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O351" s="1"/>
      <c r="AP351" s="1"/>
      <c r="AQ351" s="1"/>
      <c r="AR351" s="1"/>
      <c r="AS351" s="1"/>
      <c r="AU351" s="1"/>
      <c r="AV351" s="1"/>
      <c r="AW351" s="1"/>
      <c r="AX351" s="1"/>
      <c r="AY351" s="1"/>
      <c r="AZ351" s="1"/>
      <c r="BA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Q351" s="1"/>
      <c r="BR351" s="1"/>
      <c r="BS351" s="1"/>
      <c r="BT351" s="1"/>
      <c r="BU351" s="1"/>
      <c r="BV351" s="1"/>
      <c r="BW351" s="1"/>
      <c r="BX351" s="1"/>
      <c r="BY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D351" s="1"/>
      <c r="GE351" s="1"/>
      <c r="GF351" s="1"/>
      <c r="GG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</row>
    <row r="352" spans="3:222" x14ac:dyDescent="0.3"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O352" s="1"/>
      <c r="AP352" s="1"/>
      <c r="AQ352" s="1"/>
      <c r="AR352" s="1"/>
      <c r="AS352" s="1"/>
      <c r="AU352" s="1"/>
      <c r="AV352" s="1"/>
      <c r="AW352" s="1"/>
      <c r="AX352" s="1"/>
      <c r="AY352" s="1"/>
      <c r="AZ352" s="1"/>
      <c r="BA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Q352" s="1"/>
      <c r="BR352" s="1"/>
      <c r="BS352" s="1"/>
      <c r="BT352" s="1"/>
      <c r="BU352" s="1"/>
      <c r="BV352" s="1"/>
      <c r="BW352" s="1"/>
      <c r="BX352" s="1"/>
      <c r="BY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D352" s="1"/>
      <c r="GE352" s="1"/>
      <c r="GF352" s="1"/>
      <c r="GG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</row>
    <row r="353" spans="3:222" x14ac:dyDescent="0.3"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O353" s="1"/>
      <c r="AP353" s="1"/>
      <c r="AQ353" s="1"/>
      <c r="AR353" s="1"/>
      <c r="AS353" s="1"/>
      <c r="AU353" s="1"/>
      <c r="AV353" s="1"/>
      <c r="AW353" s="1"/>
      <c r="AX353" s="1"/>
      <c r="AY353" s="1"/>
      <c r="AZ353" s="1"/>
      <c r="BA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Q353" s="1"/>
      <c r="BR353" s="1"/>
      <c r="BS353" s="1"/>
      <c r="BT353" s="1"/>
      <c r="BU353" s="1"/>
      <c r="BV353" s="1"/>
      <c r="BW353" s="1"/>
      <c r="BX353" s="1"/>
      <c r="BY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D353" s="1"/>
      <c r="GE353" s="1"/>
      <c r="GF353" s="1"/>
      <c r="GG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</row>
    <row r="354" spans="3:222" x14ac:dyDescent="0.3"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O354" s="1"/>
      <c r="AP354" s="1"/>
      <c r="AQ354" s="1"/>
      <c r="AR354" s="1"/>
      <c r="AS354" s="1"/>
      <c r="AU354" s="1"/>
      <c r="AV354" s="1"/>
      <c r="AW354" s="1"/>
      <c r="AX354" s="1"/>
      <c r="AY354" s="1"/>
      <c r="AZ354" s="1"/>
      <c r="BA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Q354" s="1"/>
      <c r="BR354" s="1"/>
      <c r="BS354" s="1"/>
      <c r="BT354" s="1"/>
      <c r="BU354" s="1"/>
      <c r="BV354" s="1"/>
      <c r="BW354" s="1"/>
      <c r="BX354" s="1"/>
      <c r="BY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D354" s="1"/>
      <c r="GE354" s="1"/>
      <c r="GF354" s="1"/>
      <c r="GG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</row>
    <row r="355" spans="3:222" x14ac:dyDescent="0.3"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O355" s="1"/>
      <c r="AP355" s="1"/>
      <c r="AQ355" s="1"/>
      <c r="AR355" s="1"/>
      <c r="AS355" s="1"/>
      <c r="AU355" s="1"/>
      <c r="AV355" s="1"/>
      <c r="AW355" s="1"/>
      <c r="AX355" s="1"/>
      <c r="AY355" s="1"/>
      <c r="AZ355" s="1"/>
      <c r="BA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Q355" s="1"/>
      <c r="BR355" s="1"/>
      <c r="BS355" s="1"/>
      <c r="BT355" s="1"/>
      <c r="BU355" s="1"/>
      <c r="BV355" s="1"/>
      <c r="BW355" s="1"/>
      <c r="BX355" s="1"/>
      <c r="BY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D355" s="1"/>
      <c r="GE355" s="1"/>
      <c r="GF355" s="1"/>
      <c r="GG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</row>
    <row r="356" spans="3:222" x14ac:dyDescent="0.3"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O356" s="1"/>
      <c r="AP356" s="1"/>
      <c r="AQ356" s="1"/>
      <c r="AR356" s="1"/>
      <c r="AS356" s="1"/>
      <c r="AU356" s="1"/>
      <c r="AV356" s="1"/>
      <c r="AW356" s="1"/>
      <c r="AX356" s="1"/>
      <c r="AY356" s="1"/>
      <c r="AZ356" s="1"/>
      <c r="BA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Q356" s="1"/>
      <c r="BR356" s="1"/>
      <c r="BS356" s="1"/>
      <c r="BT356" s="1"/>
      <c r="BU356" s="1"/>
      <c r="BV356" s="1"/>
      <c r="BW356" s="1"/>
      <c r="BX356" s="1"/>
      <c r="BY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D356" s="1"/>
      <c r="GE356" s="1"/>
      <c r="GF356" s="1"/>
      <c r="GG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</row>
    <row r="357" spans="3:222" x14ac:dyDescent="0.3"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O357" s="1"/>
      <c r="AP357" s="1"/>
      <c r="AQ357" s="1"/>
      <c r="AR357" s="1"/>
      <c r="AS357" s="1"/>
      <c r="AU357" s="1"/>
      <c r="AV357" s="1"/>
      <c r="AW357" s="1"/>
      <c r="AX357" s="1"/>
      <c r="AY357" s="1"/>
      <c r="AZ357" s="1"/>
      <c r="BA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Q357" s="1"/>
      <c r="BR357" s="1"/>
      <c r="BS357" s="1"/>
      <c r="BT357" s="1"/>
      <c r="BU357" s="1"/>
      <c r="BV357" s="1"/>
      <c r="BW357" s="1"/>
      <c r="BX357" s="1"/>
      <c r="BY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D357" s="1"/>
      <c r="GE357" s="1"/>
      <c r="GF357" s="1"/>
      <c r="GG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</row>
    <row r="358" spans="3:222" x14ac:dyDescent="0.3"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O358" s="1"/>
      <c r="AP358" s="1"/>
      <c r="AQ358" s="1"/>
      <c r="AR358" s="1"/>
      <c r="AS358" s="1"/>
      <c r="AU358" s="1"/>
      <c r="AV358" s="1"/>
      <c r="AW358" s="1"/>
      <c r="AX358" s="1"/>
      <c r="AY358" s="1"/>
      <c r="AZ358" s="1"/>
      <c r="BA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Q358" s="1"/>
      <c r="BR358" s="1"/>
      <c r="BS358" s="1"/>
      <c r="BT358" s="1"/>
      <c r="BU358" s="1"/>
      <c r="BV358" s="1"/>
      <c r="BW358" s="1"/>
      <c r="BX358" s="1"/>
      <c r="BY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D358" s="1"/>
      <c r="GE358" s="1"/>
      <c r="GF358" s="1"/>
      <c r="GG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</row>
    <row r="359" spans="3:222" x14ac:dyDescent="0.3"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O359" s="1"/>
      <c r="AP359" s="1"/>
      <c r="AQ359" s="1"/>
      <c r="AR359" s="1"/>
      <c r="AS359" s="1"/>
      <c r="AU359" s="1"/>
      <c r="AV359" s="1"/>
      <c r="AW359" s="1"/>
      <c r="AX359" s="1"/>
      <c r="AY359" s="1"/>
      <c r="AZ359" s="1"/>
      <c r="BA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Q359" s="1"/>
      <c r="BR359" s="1"/>
      <c r="BS359" s="1"/>
      <c r="BT359" s="1"/>
      <c r="BU359" s="1"/>
      <c r="BV359" s="1"/>
      <c r="BW359" s="1"/>
      <c r="BX359" s="1"/>
      <c r="BY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D359" s="1"/>
      <c r="GE359" s="1"/>
      <c r="GF359" s="1"/>
      <c r="GG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</row>
    <row r="360" spans="3:222" x14ac:dyDescent="0.3"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O360" s="1"/>
      <c r="AP360" s="1"/>
      <c r="AQ360" s="1"/>
      <c r="AR360" s="1"/>
      <c r="AS360" s="1"/>
      <c r="AU360" s="1"/>
      <c r="AV360" s="1"/>
      <c r="AW360" s="1"/>
      <c r="AX360" s="1"/>
      <c r="AY360" s="1"/>
      <c r="AZ360" s="1"/>
      <c r="BA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Q360" s="1"/>
      <c r="BR360" s="1"/>
      <c r="BS360" s="1"/>
      <c r="BT360" s="1"/>
      <c r="BU360" s="1"/>
      <c r="BV360" s="1"/>
      <c r="BW360" s="1"/>
      <c r="BX360" s="1"/>
      <c r="BY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D360" s="1"/>
      <c r="GE360" s="1"/>
      <c r="GF360" s="1"/>
      <c r="GG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</row>
    <row r="361" spans="3:222" x14ac:dyDescent="0.3"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O361" s="1"/>
      <c r="AP361" s="1"/>
      <c r="AQ361" s="1"/>
      <c r="AR361" s="1"/>
      <c r="AS361" s="1"/>
      <c r="AU361" s="1"/>
      <c r="AV361" s="1"/>
      <c r="AW361" s="1"/>
      <c r="AX361" s="1"/>
      <c r="AY361" s="1"/>
      <c r="AZ361" s="1"/>
      <c r="BA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Q361" s="1"/>
      <c r="BR361" s="1"/>
      <c r="BS361" s="1"/>
      <c r="BT361" s="1"/>
      <c r="BU361" s="1"/>
      <c r="BV361" s="1"/>
      <c r="BW361" s="1"/>
      <c r="BX361" s="1"/>
      <c r="BY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D361" s="1"/>
      <c r="GE361" s="1"/>
      <c r="GF361" s="1"/>
      <c r="GG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</row>
    <row r="362" spans="3:222" x14ac:dyDescent="0.3"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O362" s="1"/>
      <c r="AP362" s="1"/>
      <c r="AQ362" s="1"/>
      <c r="AR362" s="1"/>
      <c r="AS362" s="1"/>
      <c r="AU362" s="1"/>
      <c r="AV362" s="1"/>
      <c r="AW362" s="1"/>
      <c r="AX362" s="1"/>
      <c r="AY362" s="1"/>
      <c r="AZ362" s="1"/>
      <c r="BA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Q362" s="1"/>
      <c r="BR362" s="1"/>
      <c r="BS362" s="1"/>
      <c r="BT362" s="1"/>
      <c r="BU362" s="1"/>
      <c r="BV362" s="1"/>
      <c r="BW362" s="1"/>
      <c r="BX362" s="1"/>
      <c r="BY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D362" s="1"/>
      <c r="GE362" s="1"/>
      <c r="GF362" s="1"/>
      <c r="GG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</row>
    <row r="363" spans="3:222" x14ac:dyDescent="0.3"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O363" s="1"/>
      <c r="AP363" s="1"/>
      <c r="AQ363" s="1"/>
      <c r="AR363" s="1"/>
      <c r="AS363" s="1"/>
      <c r="AU363" s="1"/>
      <c r="AV363" s="1"/>
      <c r="AW363" s="1"/>
      <c r="AX363" s="1"/>
      <c r="AY363" s="1"/>
      <c r="AZ363" s="1"/>
      <c r="BA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Q363" s="1"/>
      <c r="BR363" s="1"/>
      <c r="BS363" s="1"/>
      <c r="BT363" s="1"/>
      <c r="BU363" s="1"/>
      <c r="BV363" s="1"/>
      <c r="BW363" s="1"/>
      <c r="BX363" s="1"/>
      <c r="BY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D363" s="1"/>
      <c r="GE363" s="1"/>
      <c r="GF363" s="1"/>
      <c r="GG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</row>
    <row r="364" spans="3:222" x14ac:dyDescent="0.3"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O364" s="1"/>
      <c r="AP364" s="1"/>
      <c r="AQ364" s="1"/>
      <c r="AR364" s="1"/>
      <c r="AS364" s="1"/>
      <c r="AU364" s="1"/>
      <c r="AV364" s="1"/>
      <c r="AW364" s="1"/>
      <c r="AX364" s="1"/>
      <c r="AY364" s="1"/>
      <c r="AZ364" s="1"/>
      <c r="BA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Q364" s="1"/>
      <c r="BR364" s="1"/>
      <c r="BS364" s="1"/>
      <c r="BT364" s="1"/>
      <c r="BU364" s="1"/>
      <c r="BV364" s="1"/>
      <c r="BW364" s="1"/>
      <c r="BX364" s="1"/>
      <c r="BY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D364" s="1"/>
      <c r="GE364" s="1"/>
      <c r="GF364" s="1"/>
      <c r="GG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</row>
    <row r="365" spans="3:222" x14ac:dyDescent="0.3"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O365" s="1"/>
      <c r="AP365" s="1"/>
      <c r="AQ365" s="1"/>
      <c r="AR365" s="1"/>
      <c r="AS365" s="1"/>
      <c r="AU365" s="1"/>
      <c r="AV365" s="1"/>
      <c r="AW365" s="1"/>
      <c r="AX365" s="1"/>
      <c r="AY365" s="1"/>
      <c r="AZ365" s="1"/>
      <c r="BA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Q365" s="1"/>
      <c r="BR365" s="1"/>
      <c r="BS365" s="1"/>
      <c r="BT365" s="1"/>
      <c r="BU365" s="1"/>
      <c r="BV365" s="1"/>
      <c r="BW365" s="1"/>
      <c r="BX365" s="1"/>
      <c r="BY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D365" s="1"/>
      <c r="GE365" s="1"/>
      <c r="GF365" s="1"/>
      <c r="GG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</row>
    <row r="366" spans="3:222" x14ac:dyDescent="0.3"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O366" s="1"/>
      <c r="AP366" s="1"/>
      <c r="AQ366" s="1"/>
      <c r="AR366" s="1"/>
      <c r="AS366" s="1"/>
      <c r="AU366" s="1"/>
      <c r="AV366" s="1"/>
      <c r="AW366" s="1"/>
      <c r="AX366" s="1"/>
      <c r="AY366" s="1"/>
      <c r="AZ366" s="1"/>
      <c r="BA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Q366" s="1"/>
      <c r="BR366" s="1"/>
      <c r="BS366" s="1"/>
      <c r="BT366" s="1"/>
      <c r="BU366" s="1"/>
      <c r="BV366" s="1"/>
      <c r="BW366" s="1"/>
      <c r="BX366" s="1"/>
      <c r="BY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D366" s="1"/>
      <c r="GE366" s="1"/>
      <c r="GF366" s="1"/>
      <c r="GG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</row>
    <row r="367" spans="3:222" x14ac:dyDescent="0.3"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O367" s="1"/>
      <c r="AP367" s="1"/>
      <c r="AQ367" s="1"/>
      <c r="AR367" s="1"/>
      <c r="AS367" s="1"/>
      <c r="AU367" s="1"/>
      <c r="AV367" s="1"/>
      <c r="AW367" s="1"/>
      <c r="AX367" s="1"/>
      <c r="AY367" s="1"/>
      <c r="AZ367" s="1"/>
      <c r="BA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Q367" s="1"/>
      <c r="BR367" s="1"/>
      <c r="BS367" s="1"/>
      <c r="BT367" s="1"/>
      <c r="BU367" s="1"/>
      <c r="BV367" s="1"/>
      <c r="BW367" s="1"/>
      <c r="BX367" s="1"/>
      <c r="BY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D367" s="1"/>
      <c r="GE367" s="1"/>
      <c r="GF367" s="1"/>
      <c r="GG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</row>
    <row r="368" spans="3:222" x14ac:dyDescent="0.3"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O368" s="1"/>
      <c r="AP368" s="1"/>
      <c r="AQ368" s="1"/>
      <c r="AR368" s="1"/>
      <c r="AS368" s="1"/>
      <c r="AU368" s="1"/>
      <c r="AV368" s="1"/>
      <c r="AW368" s="1"/>
      <c r="AX368" s="1"/>
      <c r="AY368" s="1"/>
      <c r="AZ368" s="1"/>
      <c r="BA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Q368" s="1"/>
      <c r="BR368" s="1"/>
      <c r="BS368" s="1"/>
      <c r="BT368" s="1"/>
      <c r="BU368" s="1"/>
      <c r="BV368" s="1"/>
      <c r="BW368" s="1"/>
      <c r="BX368" s="1"/>
      <c r="BY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D368" s="1"/>
      <c r="GE368" s="1"/>
      <c r="GF368" s="1"/>
      <c r="GG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</row>
    <row r="369" spans="3:222" x14ac:dyDescent="0.3"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O369" s="1"/>
      <c r="AP369" s="1"/>
      <c r="AQ369" s="1"/>
      <c r="AR369" s="1"/>
      <c r="AS369" s="1"/>
      <c r="AU369" s="1"/>
      <c r="AV369" s="1"/>
      <c r="AW369" s="1"/>
      <c r="AX369" s="1"/>
      <c r="AY369" s="1"/>
      <c r="AZ369" s="1"/>
      <c r="BA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Q369" s="1"/>
      <c r="BR369" s="1"/>
      <c r="BS369" s="1"/>
      <c r="BT369" s="1"/>
      <c r="BU369" s="1"/>
      <c r="BV369" s="1"/>
      <c r="BW369" s="1"/>
      <c r="BX369" s="1"/>
      <c r="BY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D369" s="1"/>
      <c r="GE369" s="1"/>
      <c r="GF369" s="1"/>
      <c r="GG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</row>
    <row r="370" spans="3:222" x14ac:dyDescent="0.3"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O370" s="1"/>
      <c r="AP370" s="1"/>
      <c r="AQ370" s="1"/>
      <c r="AR370" s="1"/>
      <c r="AS370" s="1"/>
      <c r="AU370" s="1"/>
      <c r="AV370" s="1"/>
      <c r="AW370" s="1"/>
      <c r="AX370" s="1"/>
      <c r="AY370" s="1"/>
      <c r="AZ370" s="1"/>
      <c r="BA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Q370" s="1"/>
      <c r="BR370" s="1"/>
      <c r="BS370" s="1"/>
      <c r="BT370" s="1"/>
      <c r="BU370" s="1"/>
      <c r="BV370" s="1"/>
      <c r="BW370" s="1"/>
      <c r="BX370" s="1"/>
      <c r="BY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D370" s="1"/>
      <c r="GE370" s="1"/>
      <c r="GF370" s="1"/>
      <c r="GG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</row>
    <row r="371" spans="3:222" x14ac:dyDescent="0.3"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O371" s="1"/>
      <c r="AP371" s="1"/>
      <c r="AQ371" s="1"/>
      <c r="AR371" s="1"/>
      <c r="AS371" s="1"/>
      <c r="AU371" s="1"/>
      <c r="AV371" s="1"/>
      <c r="AW371" s="1"/>
      <c r="AX371" s="1"/>
      <c r="AY371" s="1"/>
      <c r="AZ371" s="1"/>
      <c r="BA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Q371" s="1"/>
      <c r="BR371" s="1"/>
      <c r="BS371" s="1"/>
      <c r="BT371" s="1"/>
      <c r="BU371" s="1"/>
      <c r="BV371" s="1"/>
      <c r="BW371" s="1"/>
      <c r="BX371" s="1"/>
      <c r="BY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D371" s="1"/>
      <c r="GE371" s="1"/>
      <c r="GF371" s="1"/>
      <c r="GG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</row>
    <row r="372" spans="3:222" x14ac:dyDescent="0.3"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O372" s="1"/>
      <c r="AP372" s="1"/>
      <c r="AQ372" s="1"/>
      <c r="AR372" s="1"/>
      <c r="AS372" s="1"/>
      <c r="AU372" s="1"/>
      <c r="AV372" s="1"/>
      <c r="AW372" s="1"/>
      <c r="AX372" s="1"/>
      <c r="AY372" s="1"/>
      <c r="AZ372" s="1"/>
      <c r="BA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Q372" s="1"/>
      <c r="BR372" s="1"/>
      <c r="BS372" s="1"/>
      <c r="BT372" s="1"/>
      <c r="BU372" s="1"/>
      <c r="BV372" s="1"/>
      <c r="BW372" s="1"/>
      <c r="BX372" s="1"/>
      <c r="BY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D372" s="1"/>
      <c r="GE372" s="1"/>
      <c r="GF372" s="1"/>
      <c r="GG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</row>
    <row r="373" spans="3:222" x14ac:dyDescent="0.3"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O373" s="1"/>
      <c r="AP373" s="1"/>
      <c r="AQ373" s="1"/>
      <c r="AR373" s="1"/>
      <c r="AS373" s="1"/>
      <c r="AU373" s="1"/>
      <c r="AV373" s="1"/>
      <c r="AW373" s="1"/>
      <c r="AX373" s="1"/>
      <c r="AY373" s="1"/>
      <c r="AZ373" s="1"/>
      <c r="BA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Q373" s="1"/>
      <c r="BR373" s="1"/>
      <c r="BS373" s="1"/>
      <c r="BT373" s="1"/>
      <c r="BU373" s="1"/>
      <c r="BV373" s="1"/>
      <c r="BW373" s="1"/>
      <c r="BX373" s="1"/>
      <c r="BY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D373" s="1"/>
      <c r="GE373" s="1"/>
      <c r="GF373" s="1"/>
      <c r="GG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</row>
    <row r="374" spans="3:222" x14ac:dyDescent="0.3"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O374" s="1"/>
      <c r="AP374" s="1"/>
      <c r="AQ374" s="1"/>
      <c r="AR374" s="1"/>
      <c r="AS374" s="1"/>
      <c r="AU374" s="1"/>
      <c r="AV374" s="1"/>
      <c r="AW374" s="1"/>
      <c r="AX374" s="1"/>
      <c r="AY374" s="1"/>
      <c r="AZ374" s="1"/>
      <c r="BA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Q374" s="1"/>
      <c r="BR374" s="1"/>
      <c r="BS374" s="1"/>
      <c r="BT374" s="1"/>
      <c r="BU374" s="1"/>
      <c r="BV374" s="1"/>
      <c r="BW374" s="1"/>
      <c r="BX374" s="1"/>
      <c r="BY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D374" s="1"/>
      <c r="GE374" s="1"/>
      <c r="GF374" s="1"/>
      <c r="GG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</row>
    <row r="375" spans="3:222" x14ac:dyDescent="0.3"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O375" s="1"/>
      <c r="AP375" s="1"/>
      <c r="AQ375" s="1"/>
      <c r="AR375" s="1"/>
      <c r="AS375" s="1"/>
      <c r="AU375" s="1"/>
      <c r="AV375" s="1"/>
      <c r="AW375" s="1"/>
      <c r="AX375" s="1"/>
      <c r="AY375" s="1"/>
      <c r="AZ375" s="1"/>
      <c r="BA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Q375" s="1"/>
      <c r="BR375" s="1"/>
      <c r="BS375" s="1"/>
      <c r="BT375" s="1"/>
      <c r="BU375" s="1"/>
      <c r="BV375" s="1"/>
      <c r="BW375" s="1"/>
      <c r="BX375" s="1"/>
      <c r="BY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D375" s="1"/>
      <c r="GE375" s="1"/>
      <c r="GF375" s="1"/>
      <c r="GG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</row>
    <row r="376" spans="3:222" x14ac:dyDescent="0.3"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O376" s="1"/>
      <c r="AP376" s="1"/>
      <c r="AQ376" s="1"/>
      <c r="AR376" s="1"/>
      <c r="AS376" s="1"/>
      <c r="AU376" s="1"/>
      <c r="AV376" s="1"/>
      <c r="AW376" s="1"/>
      <c r="AX376" s="1"/>
      <c r="AY376" s="1"/>
      <c r="AZ376" s="1"/>
      <c r="BA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Q376" s="1"/>
      <c r="BR376" s="1"/>
      <c r="BS376" s="1"/>
      <c r="BT376" s="1"/>
      <c r="BU376" s="1"/>
      <c r="BV376" s="1"/>
      <c r="BW376" s="1"/>
      <c r="BX376" s="1"/>
      <c r="BY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D376" s="1"/>
      <c r="GE376" s="1"/>
      <c r="GF376" s="1"/>
      <c r="GG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</row>
    <row r="377" spans="3:222" x14ac:dyDescent="0.3"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O377" s="1"/>
      <c r="AP377" s="1"/>
      <c r="AQ377" s="1"/>
      <c r="AR377" s="1"/>
      <c r="AS377" s="1"/>
      <c r="AU377" s="1"/>
      <c r="AV377" s="1"/>
      <c r="AW377" s="1"/>
      <c r="AX377" s="1"/>
      <c r="AY377" s="1"/>
      <c r="AZ377" s="1"/>
      <c r="BA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Q377" s="1"/>
      <c r="BR377" s="1"/>
      <c r="BS377" s="1"/>
      <c r="BT377" s="1"/>
      <c r="BU377" s="1"/>
      <c r="BV377" s="1"/>
      <c r="BW377" s="1"/>
      <c r="BX377" s="1"/>
      <c r="BY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D377" s="1"/>
      <c r="GE377" s="1"/>
      <c r="GF377" s="1"/>
      <c r="GG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</row>
    <row r="378" spans="3:222" x14ac:dyDescent="0.3"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O378" s="1"/>
      <c r="AP378" s="1"/>
      <c r="AQ378" s="1"/>
      <c r="AR378" s="1"/>
      <c r="AS378" s="1"/>
      <c r="AU378" s="1"/>
      <c r="AV378" s="1"/>
      <c r="AW378" s="1"/>
      <c r="AX378" s="1"/>
      <c r="AY378" s="1"/>
      <c r="AZ378" s="1"/>
      <c r="BA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Q378" s="1"/>
      <c r="BR378" s="1"/>
      <c r="BS378" s="1"/>
      <c r="BT378" s="1"/>
      <c r="BU378" s="1"/>
      <c r="BV378" s="1"/>
      <c r="BW378" s="1"/>
      <c r="BX378" s="1"/>
      <c r="BY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D378" s="1"/>
      <c r="GE378" s="1"/>
      <c r="GF378" s="1"/>
      <c r="GG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</row>
    <row r="379" spans="3:222" x14ac:dyDescent="0.3"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O379" s="1"/>
      <c r="AP379" s="1"/>
      <c r="AQ379" s="1"/>
      <c r="AR379" s="1"/>
      <c r="AS379" s="1"/>
      <c r="AU379" s="1"/>
      <c r="AV379" s="1"/>
      <c r="AW379" s="1"/>
      <c r="AX379" s="1"/>
      <c r="AY379" s="1"/>
      <c r="AZ379" s="1"/>
      <c r="BA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Q379" s="1"/>
      <c r="BR379" s="1"/>
      <c r="BS379" s="1"/>
      <c r="BT379" s="1"/>
      <c r="BU379" s="1"/>
      <c r="BV379" s="1"/>
      <c r="BW379" s="1"/>
      <c r="BX379" s="1"/>
      <c r="BY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D379" s="1"/>
      <c r="GE379" s="1"/>
      <c r="GF379" s="1"/>
      <c r="GG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</row>
    <row r="380" spans="3:222" x14ac:dyDescent="0.3"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O380" s="1"/>
      <c r="AP380" s="1"/>
      <c r="AQ380" s="1"/>
      <c r="AR380" s="1"/>
      <c r="AS380" s="1"/>
      <c r="AU380" s="1"/>
      <c r="AV380" s="1"/>
      <c r="AW380" s="1"/>
      <c r="AX380" s="1"/>
      <c r="AY380" s="1"/>
      <c r="AZ380" s="1"/>
      <c r="BA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Q380" s="1"/>
      <c r="BR380" s="1"/>
      <c r="BS380" s="1"/>
      <c r="BT380" s="1"/>
      <c r="BU380" s="1"/>
      <c r="BV380" s="1"/>
      <c r="BW380" s="1"/>
      <c r="BX380" s="1"/>
      <c r="BY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D380" s="1"/>
      <c r="GE380" s="1"/>
      <c r="GF380" s="1"/>
      <c r="GG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</row>
    <row r="381" spans="3:222" x14ac:dyDescent="0.3"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O381" s="1"/>
      <c r="AP381" s="1"/>
      <c r="AQ381" s="1"/>
      <c r="AR381" s="1"/>
      <c r="AS381" s="1"/>
      <c r="AU381" s="1"/>
      <c r="AV381" s="1"/>
      <c r="AW381" s="1"/>
      <c r="AX381" s="1"/>
      <c r="AY381" s="1"/>
      <c r="AZ381" s="1"/>
      <c r="BA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Q381" s="1"/>
      <c r="BR381" s="1"/>
      <c r="BS381" s="1"/>
      <c r="BT381" s="1"/>
      <c r="BU381" s="1"/>
      <c r="BV381" s="1"/>
      <c r="BW381" s="1"/>
      <c r="BX381" s="1"/>
      <c r="BY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D381" s="1"/>
      <c r="GE381" s="1"/>
      <c r="GF381" s="1"/>
      <c r="GG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</row>
    <row r="382" spans="3:222" x14ac:dyDescent="0.3"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O382" s="1"/>
      <c r="AP382" s="1"/>
      <c r="AQ382" s="1"/>
      <c r="AR382" s="1"/>
      <c r="AS382" s="1"/>
      <c r="AU382" s="1"/>
      <c r="AV382" s="1"/>
      <c r="AW382" s="1"/>
      <c r="AX382" s="1"/>
      <c r="AY382" s="1"/>
      <c r="AZ382" s="1"/>
      <c r="BA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Q382" s="1"/>
      <c r="BR382" s="1"/>
      <c r="BS382" s="1"/>
      <c r="BT382" s="1"/>
      <c r="BU382" s="1"/>
      <c r="BV382" s="1"/>
      <c r="BW382" s="1"/>
      <c r="BX382" s="1"/>
      <c r="BY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D382" s="1"/>
      <c r="GE382" s="1"/>
      <c r="GF382" s="1"/>
      <c r="GG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</row>
    <row r="383" spans="3:222" x14ac:dyDescent="0.3"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O383" s="1"/>
      <c r="AP383" s="1"/>
      <c r="AQ383" s="1"/>
      <c r="AR383" s="1"/>
      <c r="AS383" s="1"/>
      <c r="AU383" s="1"/>
      <c r="AV383" s="1"/>
      <c r="AW383" s="1"/>
      <c r="AX383" s="1"/>
      <c r="AY383" s="1"/>
      <c r="AZ383" s="1"/>
      <c r="BA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Q383" s="1"/>
      <c r="BR383" s="1"/>
      <c r="BS383" s="1"/>
      <c r="BT383" s="1"/>
      <c r="BU383" s="1"/>
      <c r="BV383" s="1"/>
      <c r="BW383" s="1"/>
      <c r="BX383" s="1"/>
      <c r="BY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D383" s="1"/>
      <c r="GE383" s="1"/>
      <c r="GF383" s="1"/>
      <c r="GG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</row>
    <row r="384" spans="3:222" x14ac:dyDescent="0.3"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O384" s="1"/>
      <c r="AP384" s="1"/>
      <c r="AQ384" s="1"/>
      <c r="AR384" s="1"/>
      <c r="AS384" s="1"/>
      <c r="AU384" s="1"/>
      <c r="AV384" s="1"/>
      <c r="AW384" s="1"/>
      <c r="AX384" s="1"/>
      <c r="AY384" s="1"/>
      <c r="AZ384" s="1"/>
      <c r="BA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Q384" s="1"/>
      <c r="BR384" s="1"/>
      <c r="BS384" s="1"/>
      <c r="BT384" s="1"/>
      <c r="BU384" s="1"/>
      <c r="BV384" s="1"/>
      <c r="BW384" s="1"/>
      <c r="BX384" s="1"/>
      <c r="BY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D384" s="1"/>
      <c r="GE384" s="1"/>
      <c r="GF384" s="1"/>
      <c r="GG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</row>
    <row r="385" spans="3:222" x14ac:dyDescent="0.3"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O385" s="1"/>
      <c r="AP385" s="1"/>
      <c r="AQ385" s="1"/>
      <c r="AR385" s="1"/>
      <c r="AS385" s="1"/>
      <c r="AU385" s="1"/>
      <c r="AV385" s="1"/>
      <c r="AW385" s="1"/>
      <c r="AX385" s="1"/>
      <c r="AY385" s="1"/>
      <c r="AZ385" s="1"/>
      <c r="BA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Q385" s="1"/>
      <c r="BR385" s="1"/>
      <c r="BS385" s="1"/>
      <c r="BT385" s="1"/>
      <c r="BU385" s="1"/>
      <c r="BV385" s="1"/>
      <c r="BW385" s="1"/>
      <c r="BX385" s="1"/>
      <c r="BY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D385" s="1"/>
      <c r="GE385" s="1"/>
      <c r="GF385" s="1"/>
      <c r="GG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</row>
    <row r="386" spans="3:222" x14ac:dyDescent="0.3"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O386" s="1"/>
      <c r="AP386" s="1"/>
      <c r="AQ386" s="1"/>
      <c r="AR386" s="1"/>
      <c r="AS386" s="1"/>
      <c r="AU386" s="1"/>
      <c r="AV386" s="1"/>
      <c r="AW386" s="1"/>
      <c r="AX386" s="1"/>
      <c r="AY386" s="1"/>
      <c r="AZ386" s="1"/>
      <c r="BA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Q386" s="1"/>
      <c r="BR386" s="1"/>
      <c r="BS386" s="1"/>
      <c r="BT386" s="1"/>
      <c r="BU386" s="1"/>
      <c r="BV386" s="1"/>
      <c r="BW386" s="1"/>
      <c r="BX386" s="1"/>
      <c r="BY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D386" s="1"/>
      <c r="GE386" s="1"/>
      <c r="GF386" s="1"/>
      <c r="GG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</row>
    <row r="387" spans="3:222" x14ac:dyDescent="0.3"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O387" s="1"/>
      <c r="AP387" s="1"/>
      <c r="AQ387" s="1"/>
      <c r="AR387" s="1"/>
      <c r="AS387" s="1"/>
      <c r="AU387" s="1"/>
      <c r="AV387" s="1"/>
      <c r="AW387" s="1"/>
      <c r="AX387" s="1"/>
      <c r="AY387" s="1"/>
      <c r="AZ387" s="1"/>
      <c r="BA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Q387" s="1"/>
      <c r="BR387" s="1"/>
      <c r="BS387" s="1"/>
      <c r="BT387" s="1"/>
      <c r="BU387" s="1"/>
      <c r="BV387" s="1"/>
      <c r="BW387" s="1"/>
      <c r="BX387" s="1"/>
      <c r="BY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D387" s="1"/>
      <c r="GE387" s="1"/>
      <c r="GF387" s="1"/>
      <c r="GG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</row>
    <row r="388" spans="3:222" x14ac:dyDescent="0.3"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O388" s="1"/>
      <c r="AP388" s="1"/>
      <c r="AQ388" s="1"/>
      <c r="AR388" s="1"/>
      <c r="AS388" s="1"/>
      <c r="AU388" s="1"/>
      <c r="AV388" s="1"/>
      <c r="AW388" s="1"/>
      <c r="AX388" s="1"/>
      <c r="AY388" s="1"/>
      <c r="AZ388" s="1"/>
      <c r="BA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Q388" s="1"/>
      <c r="BR388" s="1"/>
      <c r="BS388" s="1"/>
      <c r="BT388" s="1"/>
      <c r="BU388" s="1"/>
      <c r="BV388" s="1"/>
      <c r="BW388" s="1"/>
      <c r="BX388" s="1"/>
      <c r="BY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D388" s="1"/>
      <c r="GE388" s="1"/>
      <c r="GF388" s="1"/>
      <c r="GG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</row>
    <row r="389" spans="3:222" x14ac:dyDescent="0.3"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O389" s="1"/>
      <c r="AP389" s="1"/>
      <c r="AQ389" s="1"/>
      <c r="AR389" s="1"/>
      <c r="AS389" s="1"/>
      <c r="AU389" s="1"/>
      <c r="AV389" s="1"/>
      <c r="AW389" s="1"/>
      <c r="AX389" s="1"/>
      <c r="AY389" s="1"/>
      <c r="AZ389" s="1"/>
      <c r="BA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Q389" s="1"/>
      <c r="BR389" s="1"/>
      <c r="BS389" s="1"/>
      <c r="BT389" s="1"/>
      <c r="BU389" s="1"/>
      <c r="BV389" s="1"/>
      <c r="BW389" s="1"/>
      <c r="BX389" s="1"/>
      <c r="BY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D389" s="1"/>
      <c r="GE389" s="1"/>
      <c r="GF389" s="1"/>
      <c r="GG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</row>
    <row r="390" spans="3:222" x14ac:dyDescent="0.3"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O390" s="1"/>
      <c r="AP390" s="1"/>
      <c r="AQ390" s="1"/>
      <c r="AR390" s="1"/>
      <c r="AS390" s="1"/>
      <c r="AU390" s="1"/>
      <c r="AV390" s="1"/>
      <c r="AW390" s="1"/>
      <c r="AX390" s="1"/>
      <c r="AY390" s="1"/>
      <c r="AZ390" s="1"/>
      <c r="BA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Q390" s="1"/>
      <c r="BR390" s="1"/>
      <c r="BS390" s="1"/>
      <c r="BT390" s="1"/>
      <c r="BU390" s="1"/>
      <c r="BV390" s="1"/>
      <c r="BW390" s="1"/>
      <c r="BX390" s="1"/>
      <c r="BY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D390" s="1"/>
      <c r="GE390" s="1"/>
      <c r="GF390" s="1"/>
      <c r="GG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</row>
    <row r="391" spans="3:222" x14ac:dyDescent="0.3"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O391" s="1"/>
      <c r="AP391" s="1"/>
      <c r="AQ391" s="1"/>
      <c r="AR391" s="1"/>
      <c r="AS391" s="1"/>
      <c r="AU391" s="1"/>
      <c r="AV391" s="1"/>
      <c r="AW391" s="1"/>
      <c r="AX391" s="1"/>
      <c r="AY391" s="1"/>
      <c r="AZ391" s="1"/>
      <c r="BA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Q391" s="1"/>
      <c r="BR391" s="1"/>
      <c r="BS391" s="1"/>
      <c r="BT391" s="1"/>
      <c r="BU391" s="1"/>
      <c r="BV391" s="1"/>
      <c r="BW391" s="1"/>
      <c r="BX391" s="1"/>
      <c r="BY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D391" s="1"/>
      <c r="GE391" s="1"/>
      <c r="GF391" s="1"/>
      <c r="GG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</row>
    <row r="392" spans="3:222" x14ac:dyDescent="0.3"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O392" s="1"/>
      <c r="AP392" s="1"/>
      <c r="AQ392" s="1"/>
      <c r="AR392" s="1"/>
      <c r="AS392" s="1"/>
      <c r="AU392" s="1"/>
      <c r="AV392" s="1"/>
      <c r="AW392" s="1"/>
      <c r="AX392" s="1"/>
      <c r="AY392" s="1"/>
      <c r="AZ392" s="1"/>
      <c r="BA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Q392" s="1"/>
      <c r="BR392" s="1"/>
      <c r="BS392" s="1"/>
      <c r="BT392" s="1"/>
      <c r="BU392" s="1"/>
      <c r="BV392" s="1"/>
      <c r="BW392" s="1"/>
      <c r="BX392" s="1"/>
      <c r="BY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D392" s="1"/>
      <c r="GE392" s="1"/>
      <c r="GF392" s="1"/>
      <c r="GG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</row>
    <row r="393" spans="3:222" x14ac:dyDescent="0.3"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O393" s="1"/>
      <c r="AP393" s="1"/>
      <c r="AQ393" s="1"/>
      <c r="AR393" s="1"/>
      <c r="AS393" s="1"/>
      <c r="AU393" s="1"/>
      <c r="AV393" s="1"/>
      <c r="AW393" s="1"/>
      <c r="AX393" s="1"/>
      <c r="AY393" s="1"/>
      <c r="AZ393" s="1"/>
      <c r="BA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Q393" s="1"/>
      <c r="BR393" s="1"/>
      <c r="BS393" s="1"/>
      <c r="BT393" s="1"/>
      <c r="BU393" s="1"/>
      <c r="BV393" s="1"/>
      <c r="BW393" s="1"/>
      <c r="BX393" s="1"/>
      <c r="BY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D393" s="1"/>
      <c r="GE393" s="1"/>
      <c r="GF393" s="1"/>
      <c r="GG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</row>
    <row r="394" spans="3:222" x14ac:dyDescent="0.3"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O394" s="1"/>
      <c r="AP394" s="1"/>
      <c r="AQ394" s="1"/>
      <c r="AR394" s="1"/>
      <c r="AS394" s="1"/>
      <c r="AU394" s="1"/>
      <c r="AV394" s="1"/>
      <c r="AW394" s="1"/>
      <c r="AX394" s="1"/>
      <c r="AY394" s="1"/>
      <c r="AZ394" s="1"/>
      <c r="BA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Q394" s="1"/>
      <c r="BR394" s="1"/>
      <c r="BS394" s="1"/>
      <c r="BT394" s="1"/>
      <c r="BU394" s="1"/>
      <c r="BV394" s="1"/>
      <c r="BW394" s="1"/>
      <c r="BX394" s="1"/>
      <c r="BY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D394" s="1"/>
      <c r="GE394" s="1"/>
      <c r="GF394" s="1"/>
      <c r="GG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</row>
    <row r="395" spans="3:222" x14ac:dyDescent="0.3"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O395" s="1"/>
      <c r="AP395" s="1"/>
      <c r="AQ395" s="1"/>
      <c r="AR395" s="1"/>
      <c r="AS395" s="1"/>
      <c r="AU395" s="1"/>
      <c r="AV395" s="1"/>
      <c r="AW395" s="1"/>
      <c r="AX395" s="1"/>
      <c r="AY395" s="1"/>
      <c r="AZ395" s="1"/>
      <c r="BA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Q395" s="1"/>
      <c r="BR395" s="1"/>
      <c r="BS395" s="1"/>
      <c r="BT395" s="1"/>
      <c r="BU395" s="1"/>
      <c r="BV395" s="1"/>
      <c r="BW395" s="1"/>
      <c r="BX395" s="1"/>
      <c r="BY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D395" s="1"/>
      <c r="GE395" s="1"/>
      <c r="GF395" s="1"/>
      <c r="GG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</row>
    <row r="396" spans="3:222" x14ac:dyDescent="0.3"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O396" s="1"/>
      <c r="AP396" s="1"/>
      <c r="AQ396" s="1"/>
      <c r="AR396" s="1"/>
      <c r="AS396" s="1"/>
      <c r="AU396" s="1"/>
      <c r="AV396" s="1"/>
      <c r="AW396" s="1"/>
      <c r="AX396" s="1"/>
      <c r="AY396" s="1"/>
      <c r="AZ396" s="1"/>
      <c r="BA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Q396" s="1"/>
      <c r="BR396" s="1"/>
      <c r="BS396" s="1"/>
      <c r="BT396" s="1"/>
      <c r="BU396" s="1"/>
      <c r="BV396" s="1"/>
      <c r="BW396" s="1"/>
      <c r="BX396" s="1"/>
      <c r="BY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D396" s="1"/>
      <c r="GE396" s="1"/>
      <c r="GF396" s="1"/>
      <c r="GG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</row>
    <row r="397" spans="3:222" x14ac:dyDescent="0.3"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O397" s="1"/>
      <c r="AP397" s="1"/>
      <c r="AQ397" s="1"/>
      <c r="AR397" s="1"/>
      <c r="AS397" s="1"/>
      <c r="AU397" s="1"/>
      <c r="AV397" s="1"/>
      <c r="AW397" s="1"/>
      <c r="AX397" s="1"/>
      <c r="AY397" s="1"/>
      <c r="AZ397" s="1"/>
      <c r="BA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Q397" s="1"/>
      <c r="BR397" s="1"/>
      <c r="BS397" s="1"/>
      <c r="BT397" s="1"/>
      <c r="BU397" s="1"/>
      <c r="BV397" s="1"/>
      <c r="BW397" s="1"/>
      <c r="BX397" s="1"/>
      <c r="BY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D397" s="1"/>
      <c r="GE397" s="1"/>
      <c r="GF397" s="1"/>
      <c r="GG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</row>
    <row r="398" spans="3:222" x14ac:dyDescent="0.3"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O398" s="1"/>
      <c r="AP398" s="1"/>
      <c r="AQ398" s="1"/>
      <c r="AR398" s="1"/>
      <c r="AS398" s="1"/>
      <c r="AU398" s="1"/>
      <c r="AV398" s="1"/>
      <c r="AW398" s="1"/>
      <c r="AX398" s="1"/>
      <c r="AY398" s="1"/>
      <c r="AZ398" s="1"/>
      <c r="BA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Q398" s="1"/>
      <c r="BR398" s="1"/>
      <c r="BS398" s="1"/>
      <c r="BT398" s="1"/>
      <c r="BU398" s="1"/>
      <c r="BV398" s="1"/>
      <c r="BW398" s="1"/>
      <c r="BX398" s="1"/>
      <c r="BY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D398" s="1"/>
      <c r="GE398" s="1"/>
      <c r="GF398" s="1"/>
      <c r="GG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</row>
    <row r="399" spans="3:222" x14ac:dyDescent="0.3"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O399" s="1"/>
      <c r="AP399" s="1"/>
      <c r="AQ399" s="1"/>
      <c r="AR399" s="1"/>
      <c r="AS399" s="1"/>
      <c r="AU399" s="1"/>
      <c r="AV399" s="1"/>
      <c r="AW399" s="1"/>
      <c r="AX399" s="1"/>
      <c r="AY399" s="1"/>
      <c r="AZ399" s="1"/>
      <c r="BA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Q399" s="1"/>
      <c r="BR399" s="1"/>
      <c r="BS399" s="1"/>
      <c r="BT399" s="1"/>
      <c r="BU399" s="1"/>
      <c r="BV399" s="1"/>
      <c r="BW399" s="1"/>
      <c r="BX399" s="1"/>
      <c r="BY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D399" s="1"/>
      <c r="GE399" s="1"/>
      <c r="GF399" s="1"/>
      <c r="GG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</row>
    <row r="400" spans="3:222" x14ac:dyDescent="0.3"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O400" s="1"/>
      <c r="AP400" s="1"/>
      <c r="AQ400" s="1"/>
      <c r="AR400" s="1"/>
      <c r="AS400" s="1"/>
      <c r="AU400" s="1"/>
      <c r="AV400" s="1"/>
      <c r="AW400" s="1"/>
      <c r="AX400" s="1"/>
      <c r="AY400" s="1"/>
      <c r="AZ400" s="1"/>
      <c r="BA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Q400" s="1"/>
      <c r="BR400" s="1"/>
      <c r="BS400" s="1"/>
      <c r="BT400" s="1"/>
      <c r="BU400" s="1"/>
      <c r="BV400" s="1"/>
      <c r="BW400" s="1"/>
      <c r="BX400" s="1"/>
      <c r="BY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D400" s="1"/>
      <c r="GE400" s="1"/>
      <c r="GF400" s="1"/>
      <c r="GG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</row>
    <row r="401" spans="3:222" x14ac:dyDescent="0.3"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O401" s="1"/>
      <c r="AP401" s="1"/>
      <c r="AQ401" s="1"/>
      <c r="AR401" s="1"/>
      <c r="AS401" s="1"/>
      <c r="AU401" s="1"/>
      <c r="AV401" s="1"/>
      <c r="AW401" s="1"/>
      <c r="AX401" s="1"/>
      <c r="AY401" s="1"/>
      <c r="AZ401" s="1"/>
      <c r="BA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Q401" s="1"/>
      <c r="BR401" s="1"/>
      <c r="BS401" s="1"/>
      <c r="BT401" s="1"/>
      <c r="BU401" s="1"/>
      <c r="BV401" s="1"/>
      <c r="BW401" s="1"/>
      <c r="BX401" s="1"/>
      <c r="BY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D401" s="1"/>
      <c r="GE401" s="1"/>
      <c r="GF401" s="1"/>
      <c r="GG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</row>
    <row r="402" spans="3:222" x14ac:dyDescent="0.3"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O402" s="1"/>
      <c r="AP402" s="1"/>
      <c r="AQ402" s="1"/>
      <c r="AR402" s="1"/>
      <c r="AS402" s="1"/>
      <c r="AU402" s="1"/>
      <c r="AV402" s="1"/>
      <c r="AW402" s="1"/>
      <c r="AX402" s="1"/>
      <c r="AY402" s="1"/>
      <c r="AZ402" s="1"/>
      <c r="BA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Q402" s="1"/>
      <c r="BR402" s="1"/>
      <c r="BS402" s="1"/>
      <c r="BT402" s="1"/>
      <c r="BU402" s="1"/>
      <c r="BV402" s="1"/>
      <c r="BW402" s="1"/>
      <c r="BX402" s="1"/>
      <c r="BY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D402" s="1"/>
      <c r="GE402" s="1"/>
      <c r="GF402" s="1"/>
      <c r="GG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</row>
    <row r="403" spans="3:222" x14ac:dyDescent="0.3"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O403" s="1"/>
      <c r="AP403" s="1"/>
      <c r="AQ403" s="1"/>
      <c r="AR403" s="1"/>
      <c r="AS403" s="1"/>
      <c r="AU403" s="1"/>
      <c r="AV403" s="1"/>
      <c r="AW403" s="1"/>
      <c r="AX403" s="1"/>
      <c r="AY403" s="1"/>
      <c r="AZ403" s="1"/>
      <c r="BA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Q403" s="1"/>
      <c r="BR403" s="1"/>
      <c r="BS403" s="1"/>
      <c r="BT403" s="1"/>
      <c r="BU403" s="1"/>
      <c r="BV403" s="1"/>
      <c r="BW403" s="1"/>
      <c r="BX403" s="1"/>
      <c r="BY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D403" s="1"/>
      <c r="GE403" s="1"/>
      <c r="GF403" s="1"/>
      <c r="GG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</row>
    <row r="404" spans="3:222" x14ac:dyDescent="0.3"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O404" s="1"/>
      <c r="AP404" s="1"/>
      <c r="AQ404" s="1"/>
      <c r="AR404" s="1"/>
      <c r="AS404" s="1"/>
      <c r="AU404" s="1"/>
      <c r="AV404" s="1"/>
      <c r="AW404" s="1"/>
      <c r="AX404" s="1"/>
      <c r="AY404" s="1"/>
      <c r="AZ404" s="1"/>
      <c r="BA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Q404" s="1"/>
      <c r="BR404" s="1"/>
      <c r="BS404" s="1"/>
      <c r="BT404" s="1"/>
      <c r="BU404" s="1"/>
      <c r="BV404" s="1"/>
      <c r="BW404" s="1"/>
      <c r="BX404" s="1"/>
      <c r="BY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D404" s="1"/>
      <c r="GE404" s="1"/>
      <c r="GF404" s="1"/>
      <c r="GG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</row>
    <row r="405" spans="3:222" x14ac:dyDescent="0.3"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O405" s="1"/>
      <c r="AP405" s="1"/>
      <c r="AQ405" s="1"/>
      <c r="AR405" s="1"/>
      <c r="AS405" s="1"/>
      <c r="AU405" s="1"/>
      <c r="AV405" s="1"/>
      <c r="AW405" s="1"/>
      <c r="AX405" s="1"/>
      <c r="AY405" s="1"/>
      <c r="AZ405" s="1"/>
      <c r="BA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Q405" s="1"/>
      <c r="BR405" s="1"/>
      <c r="BS405" s="1"/>
      <c r="BT405" s="1"/>
      <c r="BU405" s="1"/>
      <c r="BV405" s="1"/>
      <c r="BW405" s="1"/>
      <c r="BX405" s="1"/>
      <c r="BY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D405" s="1"/>
      <c r="GE405" s="1"/>
      <c r="GF405" s="1"/>
      <c r="GG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</row>
    <row r="406" spans="3:222" x14ac:dyDescent="0.3"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O406" s="1"/>
      <c r="AP406" s="1"/>
      <c r="AQ406" s="1"/>
      <c r="AR406" s="1"/>
      <c r="AS406" s="1"/>
      <c r="AU406" s="1"/>
      <c r="AV406" s="1"/>
      <c r="AW406" s="1"/>
      <c r="AX406" s="1"/>
      <c r="AY406" s="1"/>
      <c r="AZ406" s="1"/>
      <c r="BA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Q406" s="1"/>
      <c r="BR406" s="1"/>
      <c r="BS406" s="1"/>
      <c r="BT406" s="1"/>
      <c r="BU406" s="1"/>
      <c r="BV406" s="1"/>
      <c r="BW406" s="1"/>
      <c r="BX406" s="1"/>
      <c r="BY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D406" s="1"/>
      <c r="GE406" s="1"/>
      <c r="GF406" s="1"/>
      <c r="GG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</row>
    <row r="407" spans="3:222" x14ac:dyDescent="0.3"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O407" s="1"/>
      <c r="AP407" s="1"/>
      <c r="AQ407" s="1"/>
      <c r="AR407" s="1"/>
      <c r="AS407" s="1"/>
      <c r="AU407" s="1"/>
      <c r="AV407" s="1"/>
      <c r="AW407" s="1"/>
      <c r="AX407" s="1"/>
      <c r="AY407" s="1"/>
      <c r="AZ407" s="1"/>
      <c r="BA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Q407" s="1"/>
      <c r="BR407" s="1"/>
      <c r="BS407" s="1"/>
      <c r="BT407" s="1"/>
      <c r="BU407" s="1"/>
      <c r="BV407" s="1"/>
      <c r="BW407" s="1"/>
      <c r="BX407" s="1"/>
      <c r="BY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D407" s="1"/>
      <c r="GE407" s="1"/>
      <c r="GF407" s="1"/>
      <c r="GG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</row>
    <row r="408" spans="3:222" x14ac:dyDescent="0.3"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O408" s="1"/>
      <c r="AP408" s="1"/>
      <c r="AQ408" s="1"/>
      <c r="AR408" s="1"/>
      <c r="AS408" s="1"/>
      <c r="AU408" s="1"/>
      <c r="AV408" s="1"/>
      <c r="AW408" s="1"/>
      <c r="AX408" s="1"/>
      <c r="AY408" s="1"/>
      <c r="AZ408" s="1"/>
      <c r="BA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Q408" s="1"/>
      <c r="BR408" s="1"/>
      <c r="BS408" s="1"/>
      <c r="BT408" s="1"/>
      <c r="BU408" s="1"/>
      <c r="BV408" s="1"/>
      <c r="BW408" s="1"/>
      <c r="BX408" s="1"/>
      <c r="BY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D408" s="1"/>
      <c r="GE408" s="1"/>
      <c r="GF408" s="1"/>
      <c r="GG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</row>
    <row r="409" spans="3:222" x14ac:dyDescent="0.3"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O409" s="1"/>
      <c r="AP409" s="1"/>
      <c r="AQ409" s="1"/>
      <c r="AR409" s="1"/>
      <c r="AS409" s="1"/>
      <c r="AU409" s="1"/>
      <c r="AV409" s="1"/>
      <c r="AW409" s="1"/>
      <c r="AX409" s="1"/>
      <c r="AY409" s="1"/>
      <c r="AZ409" s="1"/>
      <c r="BA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Q409" s="1"/>
      <c r="BR409" s="1"/>
      <c r="BS409" s="1"/>
      <c r="BT409" s="1"/>
      <c r="BU409" s="1"/>
      <c r="BV409" s="1"/>
      <c r="BW409" s="1"/>
      <c r="BX409" s="1"/>
      <c r="BY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D409" s="1"/>
      <c r="GE409" s="1"/>
      <c r="GF409" s="1"/>
      <c r="GG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</row>
    <row r="410" spans="3:222" x14ac:dyDescent="0.3"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O410" s="1"/>
      <c r="AP410" s="1"/>
      <c r="AQ410" s="1"/>
      <c r="AR410" s="1"/>
      <c r="AS410" s="1"/>
      <c r="AU410" s="1"/>
      <c r="AV410" s="1"/>
      <c r="AW410" s="1"/>
      <c r="AX410" s="1"/>
      <c r="AY410" s="1"/>
      <c r="AZ410" s="1"/>
      <c r="BA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Q410" s="1"/>
      <c r="BR410" s="1"/>
      <c r="BS410" s="1"/>
      <c r="BT410" s="1"/>
      <c r="BU410" s="1"/>
      <c r="BV410" s="1"/>
      <c r="BW410" s="1"/>
      <c r="BX410" s="1"/>
      <c r="BY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D410" s="1"/>
      <c r="GE410" s="1"/>
      <c r="GF410" s="1"/>
      <c r="GG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</row>
    <row r="411" spans="3:222" x14ac:dyDescent="0.3"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O411" s="1"/>
      <c r="AP411" s="1"/>
      <c r="AQ411" s="1"/>
      <c r="AR411" s="1"/>
      <c r="AS411" s="1"/>
      <c r="AU411" s="1"/>
      <c r="AV411" s="1"/>
      <c r="AW411" s="1"/>
      <c r="AX411" s="1"/>
      <c r="AY411" s="1"/>
      <c r="AZ411" s="1"/>
      <c r="BA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Q411" s="1"/>
      <c r="BR411" s="1"/>
      <c r="BS411" s="1"/>
      <c r="BT411" s="1"/>
      <c r="BU411" s="1"/>
      <c r="BV411" s="1"/>
      <c r="BW411" s="1"/>
      <c r="BX411" s="1"/>
      <c r="BY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D411" s="1"/>
      <c r="GE411" s="1"/>
      <c r="GF411" s="1"/>
      <c r="GG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</row>
    <row r="412" spans="3:222" x14ac:dyDescent="0.3"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O412" s="1"/>
      <c r="AP412" s="1"/>
      <c r="AQ412" s="1"/>
      <c r="AR412" s="1"/>
      <c r="AS412" s="1"/>
      <c r="AU412" s="1"/>
      <c r="AV412" s="1"/>
      <c r="AW412" s="1"/>
      <c r="AX412" s="1"/>
      <c r="AY412" s="1"/>
      <c r="AZ412" s="1"/>
      <c r="BA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Q412" s="1"/>
      <c r="BR412" s="1"/>
      <c r="BS412" s="1"/>
      <c r="BT412" s="1"/>
      <c r="BU412" s="1"/>
      <c r="BV412" s="1"/>
      <c r="BW412" s="1"/>
      <c r="BX412" s="1"/>
      <c r="BY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D412" s="1"/>
      <c r="GE412" s="1"/>
      <c r="GF412" s="1"/>
      <c r="GG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</row>
    <row r="413" spans="3:222" x14ac:dyDescent="0.3"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O413" s="1"/>
      <c r="AP413" s="1"/>
      <c r="AQ413" s="1"/>
      <c r="AR413" s="1"/>
      <c r="AS413" s="1"/>
      <c r="AU413" s="1"/>
      <c r="AV413" s="1"/>
      <c r="AW413" s="1"/>
      <c r="AX413" s="1"/>
      <c r="AY413" s="1"/>
      <c r="AZ413" s="1"/>
      <c r="BA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Q413" s="1"/>
      <c r="BR413" s="1"/>
      <c r="BS413" s="1"/>
      <c r="BT413" s="1"/>
      <c r="BU413" s="1"/>
      <c r="BV413" s="1"/>
      <c r="BW413" s="1"/>
      <c r="BX413" s="1"/>
      <c r="BY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D413" s="1"/>
      <c r="GE413" s="1"/>
      <c r="GF413" s="1"/>
      <c r="GG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</row>
    <row r="414" spans="3:222" x14ac:dyDescent="0.3"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O414" s="1"/>
      <c r="AP414" s="1"/>
      <c r="AQ414" s="1"/>
      <c r="AR414" s="1"/>
      <c r="AS414" s="1"/>
      <c r="AU414" s="1"/>
      <c r="AV414" s="1"/>
      <c r="AW414" s="1"/>
      <c r="AX414" s="1"/>
      <c r="AY414" s="1"/>
      <c r="AZ414" s="1"/>
      <c r="BA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Q414" s="1"/>
      <c r="BR414" s="1"/>
      <c r="BS414" s="1"/>
      <c r="BT414" s="1"/>
      <c r="BU414" s="1"/>
      <c r="BV414" s="1"/>
      <c r="BW414" s="1"/>
      <c r="BX414" s="1"/>
      <c r="BY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D414" s="1"/>
      <c r="GE414" s="1"/>
      <c r="GF414" s="1"/>
      <c r="GG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</row>
    <row r="415" spans="3:222" x14ac:dyDescent="0.3"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O415" s="1"/>
      <c r="AP415" s="1"/>
      <c r="AQ415" s="1"/>
      <c r="AR415" s="1"/>
      <c r="AS415" s="1"/>
      <c r="AU415" s="1"/>
      <c r="AV415" s="1"/>
      <c r="AW415" s="1"/>
      <c r="AX415" s="1"/>
      <c r="AY415" s="1"/>
      <c r="AZ415" s="1"/>
      <c r="BA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Q415" s="1"/>
      <c r="BR415" s="1"/>
      <c r="BS415" s="1"/>
      <c r="BT415" s="1"/>
      <c r="BU415" s="1"/>
      <c r="BV415" s="1"/>
      <c r="BW415" s="1"/>
      <c r="BX415" s="1"/>
      <c r="BY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D415" s="1"/>
      <c r="GE415" s="1"/>
      <c r="GF415" s="1"/>
      <c r="GG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</row>
    <row r="416" spans="3:222" x14ac:dyDescent="0.3"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O416" s="1"/>
      <c r="AP416" s="1"/>
      <c r="AQ416" s="1"/>
      <c r="AR416" s="1"/>
      <c r="AS416" s="1"/>
      <c r="AU416" s="1"/>
      <c r="AV416" s="1"/>
      <c r="AW416" s="1"/>
      <c r="AX416" s="1"/>
      <c r="AY416" s="1"/>
      <c r="AZ416" s="1"/>
      <c r="BA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Q416" s="1"/>
      <c r="BR416" s="1"/>
      <c r="BS416" s="1"/>
      <c r="BT416" s="1"/>
      <c r="BU416" s="1"/>
      <c r="BV416" s="1"/>
      <c r="BW416" s="1"/>
      <c r="BX416" s="1"/>
      <c r="BY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D416" s="1"/>
      <c r="GE416" s="1"/>
      <c r="GF416" s="1"/>
      <c r="GG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</row>
    <row r="417" spans="3:222" x14ac:dyDescent="0.3"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O417" s="1"/>
      <c r="AP417" s="1"/>
      <c r="AQ417" s="1"/>
      <c r="AR417" s="1"/>
      <c r="AS417" s="1"/>
      <c r="AU417" s="1"/>
      <c r="AV417" s="1"/>
      <c r="AW417" s="1"/>
      <c r="AX417" s="1"/>
      <c r="AY417" s="1"/>
      <c r="AZ417" s="1"/>
      <c r="BA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Q417" s="1"/>
      <c r="BR417" s="1"/>
      <c r="BS417" s="1"/>
      <c r="BT417" s="1"/>
      <c r="BU417" s="1"/>
      <c r="BV417" s="1"/>
      <c r="BW417" s="1"/>
      <c r="BX417" s="1"/>
      <c r="BY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D417" s="1"/>
      <c r="GE417" s="1"/>
      <c r="GF417" s="1"/>
      <c r="GG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</row>
    <row r="418" spans="3:222" x14ac:dyDescent="0.3"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O418" s="1"/>
      <c r="AP418" s="1"/>
      <c r="AQ418" s="1"/>
      <c r="AR418" s="1"/>
      <c r="AS418" s="1"/>
      <c r="AU418" s="1"/>
      <c r="AV418" s="1"/>
      <c r="AW418" s="1"/>
      <c r="AX418" s="1"/>
      <c r="AY418" s="1"/>
      <c r="AZ418" s="1"/>
      <c r="BA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Q418" s="1"/>
      <c r="BR418" s="1"/>
      <c r="BS418" s="1"/>
      <c r="BT418" s="1"/>
      <c r="BU418" s="1"/>
      <c r="BV418" s="1"/>
      <c r="BW418" s="1"/>
      <c r="BX418" s="1"/>
      <c r="BY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D418" s="1"/>
      <c r="GE418" s="1"/>
      <c r="GF418" s="1"/>
      <c r="GG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</row>
    <row r="419" spans="3:222" x14ac:dyDescent="0.3"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O419" s="1"/>
      <c r="AP419" s="1"/>
      <c r="AQ419" s="1"/>
      <c r="AR419" s="1"/>
      <c r="AS419" s="1"/>
      <c r="AU419" s="1"/>
      <c r="AV419" s="1"/>
      <c r="AW419" s="1"/>
      <c r="AX419" s="1"/>
      <c r="AY419" s="1"/>
      <c r="AZ419" s="1"/>
      <c r="BA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Q419" s="1"/>
      <c r="BR419" s="1"/>
      <c r="BS419" s="1"/>
      <c r="BT419" s="1"/>
      <c r="BU419" s="1"/>
      <c r="BV419" s="1"/>
      <c r="BW419" s="1"/>
      <c r="BX419" s="1"/>
      <c r="BY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D419" s="1"/>
      <c r="GE419" s="1"/>
      <c r="GF419" s="1"/>
      <c r="GG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</row>
    <row r="420" spans="3:222" x14ac:dyDescent="0.3"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O420" s="1"/>
      <c r="AP420" s="1"/>
      <c r="AQ420" s="1"/>
      <c r="AR420" s="1"/>
      <c r="AS420" s="1"/>
      <c r="AU420" s="1"/>
      <c r="AV420" s="1"/>
      <c r="AW420" s="1"/>
      <c r="AX420" s="1"/>
      <c r="AY420" s="1"/>
      <c r="AZ420" s="1"/>
      <c r="BA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Q420" s="1"/>
      <c r="BR420" s="1"/>
      <c r="BS420" s="1"/>
      <c r="BT420" s="1"/>
      <c r="BU420" s="1"/>
      <c r="BV420" s="1"/>
      <c r="BW420" s="1"/>
      <c r="BX420" s="1"/>
      <c r="BY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D420" s="1"/>
      <c r="GE420" s="1"/>
      <c r="GF420" s="1"/>
      <c r="GG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</row>
    <row r="421" spans="3:222" x14ac:dyDescent="0.3"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O421" s="1"/>
      <c r="AP421" s="1"/>
      <c r="AQ421" s="1"/>
      <c r="AR421" s="1"/>
      <c r="AS421" s="1"/>
      <c r="AU421" s="1"/>
      <c r="AV421" s="1"/>
      <c r="AW421" s="1"/>
      <c r="AX421" s="1"/>
      <c r="AY421" s="1"/>
      <c r="AZ421" s="1"/>
      <c r="BA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Q421" s="1"/>
      <c r="BR421" s="1"/>
      <c r="BS421" s="1"/>
      <c r="BT421" s="1"/>
      <c r="BU421" s="1"/>
      <c r="BV421" s="1"/>
      <c r="BW421" s="1"/>
      <c r="BX421" s="1"/>
      <c r="BY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D421" s="1"/>
      <c r="GE421" s="1"/>
      <c r="GF421" s="1"/>
      <c r="GG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</row>
    <row r="422" spans="3:222" x14ac:dyDescent="0.3"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O422" s="1"/>
      <c r="AP422" s="1"/>
      <c r="AQ422" s="1"/>
      <c r="AR422" s="1"/>
      <c r="AS422" s="1"/>
      <c r="AU422" s="1"/>
      <c r="AV422" s="1"/>
      <c r="AW422" s="1"/>
      <c r="AX422" s="1"/>
      <c r="AY422" s="1"/>
      <c r="AZ422" s="1"/>
      <c r="BA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Q422" s="1"/>
      <c r="BR422" s="1"/>
      <c r="BS422" s="1"/>
      <c r="BT422" s="1"/>
      <c r="BU422" s="1"/>
      <c r="BV422" s="1"/>
      <c r="BW422" s="1"/>
      <c r="BX422" s="1"/>
      <c r="BY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D422" s="1"/>
      <c r="GE422" s="1"/>
      <c r="GF422" s="1"/>
      <c r="GG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</row>
    <row r="423" spans="3:222" x14ac:dyDescent="0.3"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O423" s="1"/>
      <c r="AP423" s="1"/>
      <c r="AQ423" s="1"/>
      <c r="AR423" s="1"/>
      <c r="AS423" s="1"/>
      <c r="AU423" s="1"/>
      <c r="AV423" s="1"/>
      <c r="AW423" s="1"/>
      <c r="AX423" s="1"/>
      <c r="AY423" s="1"/>
      <c r="AZ423" s="1"/>
      <c r="BA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Q423" s="1"/>
      <c r="BR423" s="1"/>
      <c r="BS423" s="1"/>
      <c r="BT423" s="1"/>
      <c r="BU423" s="1"/>
      <c r="BV423" s="1"/>
      <c r="BW423" s="1"/>
      <c r="BX423" s="1"/>
      <c r="BY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D423" s="1"/>
      <c r="GE423" s="1"/>
      <c r="GF423" s="1"/>
      <c r="GG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</row>
    <row r="424" spans="3:222" x14ac:dyDescent="0.3"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O424" s="1"/>
      <c r="AP424" s="1"/>
      <c r="AQ424" s="1"/>
      <c r="AR424" s="1"/>
      <c r="AS424" s="1"/>
      <c r="AU424" s="1"/>
      <c r="AV424" s="1"/>
      <c r="AW424" s="1"/>
      <c r="AX424" s="1"/>
      <c r="AY424" s="1"/>
      <c r="AZ424" s="1"/>
      <c r="BA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Q424" s="1"/>
      <c r="BR424" s="1"/>
      <c r="BS424" s="1"/>
      <c r="BT424" s="1"/>
      <c r="BU424" s="1"/>
      <c r="BV424" s="1"/>
      <c r="BW424" s="1"/>
      <c r="BX424" s="1"/>
      <c r="BY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D424" s="1"/>
      <c r="GE424" s="1"/>
      <c r="GF424" s="1"/>
      <c r="GG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</row>
    <row r="425" spans="3:222" x14ac:dyDescent="0.3"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O425" s="1"/>
      <c r="AP425" s="1"/>
      <c r="AQ425" s="1"/>
      <c r="AR425" s="1"/>
      <c r="AS425" s="1"/>
      <c r="AU425" s="1"/>
      <c r="AV425" s="1"/>
      <c r="AW425" s="1"/>
      <c r="AX425" s="1"/>
      <c r="AY425" s="1"/>
      <c r="AZ425" s="1"/>
      <c r="BA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Q425" s="1"/>
      <c r="BR425" s="1"/>
      <c r="BS425" s="1"/>
      <c r="BT425" s="1"/>
      <c r="BU425" s="1"/>
      <c r="BV425" s="1"/>
      <c r="BW425" s="1"/>
      <c r="BX425" s="1"/>
      <c r="BY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D425" s="1"/>
      <c r="GE425" s="1"/>
      <c r="GF425" s="1"/>
      <c r="GG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</row>
    <row r="426" spans="3:222" x14ac:dyDescent="0.3"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O426" s="1"/>
      <c r="AP426" s="1"/>
      <c r="AQ426" s="1"/>
      <c r="AR426" s="1"/>
      <c r="AS426" s="1"/>
      <c r="AU426" s="1"/>
      <c r="AV426" s="1"/>
      <c r="AW426" s="1"/>
      <c r="AX426" s="1"/>
      <c r="AY426" s="1"/>
      <c r="AZ426" s="1"/>
      <c r="BA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Q426" s="1"/>
      <c r="BR426" s="1"/>
      <c r="BS426" s="1"/>
      <c r="BT426" s="1"/>
      <c r="BU426" s="1"/>
      <c r="BV426" s="1"/>
      <c r="BW426" s="1"/>
      <c r="BX426" s="1"/>
      <c r="BY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D426" s="1"/>
      <c r="GE426" s="1"/>
      <c r="GF426" s="1"/>
      <c r="GG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</row>
    <row r="427" spans="3:222" x14ac:dyDescent="0.3"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O427" s="1"/>
      <c r="AP427" s="1"/>
      <c r="AQ427" s="1"/>
      <c r="AR427" s="1"/>
      <c r="AS427" s="1"/>
      <c r="AU427" s="1"/>
      <c r="AV427" s="1"/>
      <c r="AW427" s="1"/>
      <c r="AX427" s="1"/>
      <c r="AY427" s="1"/>
      <c r="AZ427" s="1"/>
      <c r="BA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Q427" s="1"/>
      <c r="BR427" s="1"/>
      <c r="BS427" s="1"/>
      <c r="BT427" s="1"/>
      <c r="BU427" s="1"/>
      <c r="BV427" s="1"/>
      <c r="BW427" s="1"/>
      <c r="BX427" s="1"/>
      <c r="BY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D427" s="1"/>
      <c r="GE427" s="1"/>
      <c r="GF427" s="1"/>
      <c r="GG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</row>
    <row r="428" spans="3:222" x14ac:dyDescent="0.3"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O428" s="1"/>
      <c r="AP428" s="1"/>
      <c r="AQ428" s="1"/>
      <c r="AR428" s="1"/>
      <c r="AS428" s="1"/>
      <c r="AU428" s="1"/>
      <c r="AV428" s="1"/>
      <c r="AW428" s="1"/>
      <c r="AX428" s="1"/>
      <c r="AY428" s="1"/>
      <c r="AZ428" s="1"/>
      <c r="BA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Q428" s="1"/>
      <c r="BR428" s="1"/>
      <c r="BS428" s="1"/>
      <c r="BT428" s="1"/>
      <c r="BU428" s="1"/>
      <c r="BV428" s="1"/>
      <c r="BW428" s="1"/>
      <c r="BX428" s="1"/>
      <c r="BY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D428" s="1"/>
      <c r="GE428" s="1"/>
      <c r="GF428" s="1"/>
      <c r="GG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</row>
    <row r="429" spans="3:222" x14ac:dyDescent="0.3"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O429" s="1"/>
      <c r="AP429" s="1"/>
      <c r="AQ429" s="1"/>
      <c r="AR429" s="1"/>
      <c r="AS429" s="1"/>
      <c r="AU429" s="1"/>
      <c r="AV429" s="1"/>
      <c r="AW429" s="1"/>
      <c r="AX429" s="1"/>
      <c r="AY429" s="1"/>
      <c r="AZ429" s="1"/>
      <c r="BA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Q429" s="1"/>
      <c r="BR429" s="1"/>
      <c r="BS429" s="1"/>
      <c r="BT429" s="1"/>
      <c r="BU429" s="1"/>
      <c r="BV429" s="1"/>
      <c r="BW429" s="1"/>
      <c r="BX429" s="1"/>
      <c r="BY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D429" s="1"/>
      <c r="GE429" s="1"/>
      <c r="GF429" s="1"/>
      <c r="GG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</row>
    <row r="430" spans="3:222" x14ac:dyDescent="0.3"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O430" s="1"/>
      <c r="AP430" s="1"/>
      <c r="AQ430" s="1"/>
      <c r="AR430" s="1"/>
      <c r="AS430" s="1"/>
      <c r="AU430" s="1"/>
      <c r="AV430" s="1"/>
      <c r="AW430" s="1"/>
      <c r="AX430" s="1"/>
      <c r="AY430" s="1"/>
      <c r="AZ430" s="1"/>
      <c r="BA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Q430" s="1"/>
      <c r="BR430" s="1"/>
      <c r="BS430" s="1"/>
      <c r="BT430" s="1"/>
      <c r="BU430" s="1"/>
      <c r="BV430" s="1"/>
      <c r="BW430" s="1"/>
      <c r="BX430" s="1"/>
      <c r="BY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D430" s="1"/>
      <c r="GE430" s="1"/>
      <c r="GF430" s="1"/>
      <c r="GG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</row>
    <row r="431" spans="3:222" x14ac:dyDescent="0.3"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O431" s="1"/>
      <c r="AP431" s="1"/>
      <c r="AQ431" s="1"/>
      <c r="AR431" s="1"/>
      <c r="AS431" s="1"/>
      <c r="AU431" s="1"/>
      <c r="AV431" s="1"/>
      <c r="AW431" s="1"/>
      <c r="AX431" s="1"/>
      <c r="AY431" s="1"/>
      <c r="AZ431" s="1"/>
      <c r="BA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Q431" s="1"/>
      <c r="BR431" s="1"/>
      <c r="BS431" s="1"/>
      <c r="BT431" s="1"/>
      <c r="BU431" s="1"/>
      <c r="BV431" s="1"/>
      <c r="BW431" s="1"/>
      <c r="BX431" s="1"/>
      <c r="BY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D431" s="1"/>
      <c r="GE431" s="1"/>
      <c r="GF431" s="1"/>
      <c r="GG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</row>
    <row r="432" spans="3:222" x14ac:dyDescent="0.3"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O432" s="1"/>
      <c r="AP432" s="1"/>
      <c r="AQ432" s="1"/>
      <c r="AR432" s="1"/>
      <c r="AS432" s="1"/>
      <c r="AU432" s="1"/>
      <c r="AV432" s="1"/>
      <c r="AW432" s="1"/>
      <c r="AX432" s="1"/>
      <c r="AY432" s="1"/>
      <c r="AZ432" s="1"/>
      <c r="BA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Q432" s="1"/>
      <c r="BR432" s="1"/>
      <c r="BS432" s="1"/>
      <c r="BT432" s="1"/>
      <c r="BU432" s="1"/>
      <c r="BV432" s="1"/>
      <c r="BW432" s="1"/>
      <c r="BX432" s="1"/>
      <c r="BY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D432" s="1"/>
      <c r="GE432" s="1"/>
      <c r="GF432" s="1"/>
      <c r="GG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</row>
    <row r="433" spans="3:222" x14ac:dyDescent="0.3"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O433" s="1"/>
      <c r="AP433" s="1"/>
      <c r="AQ433" s="1"/>
      <c r="AR433" s="1"/>
      <c r="AS433" s="1"/>
      <c r="AU433" s="1"/>
      <c r="AV433" s="1"/>
      <c r="AW433" s="1"/>
      <c r="AX433" s="1"/>
      <c r="AY433" s="1"/>
      <c r="AZ433" s="1"/>
      <c r="BA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Q433" s="1"/>
      <c r="BR433" s="1"/>
      <c r="BS433" s="1"/>
      <c r="BT433" s="1"/>
      <c r="BU433" s="1"/>
      <c r="BV433" s="1"/>
      <c r="BW433" s="1"/>
      <c r="BX433" s="1"/>
      <c r="BY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D433" s="1"/>
      <c r="GE433" s="1"/>
      <c r="GF433" s="1"/>
      <c r="GG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</row>
    <row r="434" spans="3:222" x14ac:dyDescent="0.3"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O434" s="1"/>
      <c r="AP434" s="1"/>
      <c r="AQ434" s="1"/>
      <c r="AR434" s="1"/>
      <c r="AS434" s="1"/>
      <c r="AU434" s="1"/>
      <c r="AV434" s="1"/>
      <c r="AW434" s="1"/>
      <c r="AX434" s="1"/>
      <c r="AY434" s="1"/>
      <c r="AZ434" s="1"/>
      <c r="BA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Q434" s="1"/>
      <c r="BR434" s="1"/>
      <c r="BS434" s="1"/>
      <c r="BT434" s="1"/>
      <c r="BU434" s="1"/>
      <c r="BV434" s="1"/>
      <c r="BW434" s="1"/>
      <c r="BX434" s="1"/>
      <c r="BY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D434" s="1"/>
      <c r="GE434" s="1"/>
      <c r="GF434" s="1"/>
      <c r="GG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</row>
    <row r="435" spans="3:222" x14ac:dyDescent="0.3"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O435" s="1"/>
      <c r="AP435" s="1"/>
      <c r="AQ435" s="1"/>
      <c r="AR435" s="1"/>
      <c r="AS435" s="1"/>
      <c r="AU435" s="1"/>
      <c r="AV435" s="1"/>
      <c r="AW435" s="1"/>
      <c r="AX435" s="1"/>
      <c r="AY435" s="1"/>
      <c r="AZ435" s="1"/>
      <c r="BA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Q435" s="1"/>
      <c r="BR435" s="1"/>
      <c r="BS435" s="1"/>
      <c r="BT435" s="1"/>
      <c r="BU435" s="1"/>
      <c r="BV435" s="1"/>
      <c r="BW435" s="1"/>
      <c r="BX435" s="1"/>
      <c r="BY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D435" s="1"/>
      <c r="GE435" s="1"/>
      <c r="GF435" s="1"/>
      <c r="GG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</row>
    <row r="436" spans="3:222" x14ac:dyDescent="0.3"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O436" s="1"/>
      <c r="AP436" s="1"/>
      <c r="AQ436" s="1"/>
      <c r="AR436" s="1"/>
      <c r="AS436" s="1"/>
      <c r="AU436" s="1"/>
      <c r="AV436" s="1"/>
      <c r="AW436" s="1"/>
      <c r="AX436" s="1"/>
      <c r="AY436" s="1"/>
      <c r="AZ436" s="1"/>
      <c r="BA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Q436" s="1"/>
      <c r="BR436" s="1"/>
      <c r="BS436" s="1"/>
      <c r="BT436" s="1"/>
      <c r="BU436" s="1"/>
      <c r="BV436" s="1"/>
      <c r="BW436" s="1"/>
      <c r="BX436" s="1"/>
      <c r="BY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D436" s="1"/>
      <c r="GE436" s="1"/>
      <c r="GF436" s="1"/>
      <c r="GG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</row>
    <row r="437" spans="3:222" x14ac:dyDescent="0.3"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O437" s="1"/>
      <c r="AP437" s="1"/>
      <c r="AQ437" s="1"/>
      <c r="AR437" s="1"/>
      <c r="AS437" s="1"/>
      <c r="AU437" s="1"/>
      <c r="AV437" s="1"/>
      <c r="AW437" s="1"/>
      <c r="AX437" s="1"/>
      <c r="AY437" s="1"/>
      <c r="AZ437" s="1"/>
      <c r="BA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Q437" s="1"/>
      <c r="BR437" s="1"/>
      <c r="BS437" s="1"/>
      <c r="BT437" s="1"/>
      <c r="BU437" s="1"/>
      <c r="BV437" s="1"/>
      <c r="BW437" s="1"/>
      <c r="BX437" s="1"/>
      <c r="BY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D437" s="1"/>
      <c r="GE437" s="1"/>
      <c r="GF437" s="1"/>
      <c r="GG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</row>
    <row r="438" spans="3:222" x14ac:dyDescent="0.3"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O438" s="1"/>
      <c r="AP438" s="1"/>
      <c r="AQ438" s="1"/>
      <c r="AR438" s="1"/>
      <c r="AS438" s="1"/>
      <c r="AU438" s="1"/>
      <c r="AV438" s="1"/>
      <c r="AW438" s="1"/>
      <c r="AX438" s="1"/>
      <c r="AY438" s="1"/>
      <c r="AZ438" s="1"/>
      <c r="BA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Q438" s="1"/>
      <c r="BR438" s="1"/>
      <c r="BS438" s="1"/>
      <c r="BT438" s="1"/>
      <c r="BU438" s="1"/>
      <c r="BV438" s="1"/>
      <c r="BW438" s="1"/>
      <c r="BX438" s="1"/>
      <c r="BY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D438" s="1"/>
      <c r="GE438" s="1"/>
      <c r="GF438" s="1"/>
      <c r="GG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</row>
    <row r="439" spans="3:222" x14ac:dyDescent="0.3"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O439" s="1"/>
      <c r="AP439" s="1"/>
      <c r="AQ439" s="1"/>
      <c r="AR439" s="1"/>
      <c r="AS439" s="1"/>
      <c r="AU439" s="1"/>
      <c r="AV439" s="1"/>
      <c r="AW439" s="1"/>
      <c r="AX439" s="1"/>
      <c r="AY439" s="1"/>
      <c r="AZ439" s="1"/>
      <c r="BA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Q439" s="1"/>
      <c r="BR439" s="1"/>
      <c r="BS439" s="1"/>
      <c r="BT439" s="1"/>
      <c r="BU439" s="1"/>
      <c r="BV439" s="1"/>
      <c r="BW439" s="1"/>
      <c r="BX439" s="1"/>
      <c r="BY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D439" s="1"/>
      <c r="GE439" s="1"/>
      <c r="GF439" s="1"/>
      <c r="GG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</row>
    <row r="440" spans="3:222" x14ac:dyDescent="0.3"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O440" s="1"/>
      <c r="AP440" s="1"/>
      <c r="AQ440" s="1"/>
      <c r="AR440" s="1"/>
      <c r="AS440" s="1"/>
      <c r="AU440" s="1"/>
      <c r="AV440" s="1"/>
      <c r="AW440" s="1"/>
      <c r="AX440" s="1"/>
      <c r="AY440" s="1"/>
      <c r="AZ440" s="1"/>
      <c r="BA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Q440" s="1"/>
      <c r="BR440" s="1"/>
      <c r="BS440" s="1"/>
      <c r="BT440" s="1"/>
      <c r="BU440" s="1"/>
      <c r="BV440" s="1"/>
      <c r="BW440" s="1"/>
      <c r="BX440" s="1"/>
      <c r="BY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D440" s="1"/>
      <c r="GE440" s="1"/>
      <c r="GF440" s="1"/>
      <c r="GG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</row>
    <row r="441" spans="3:222" x14ac:dyDescent="0.3"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O441" s="1"/>
      <c r="AP441" s="1"/>
      <c r="AQ441" s="1"/>
      <c r="AR441" s="1"/>
      <c r="AS441" s="1"/>
      <c r="AU441" s="1"/>
      <c r="AV441" s="1"/>
      <c r="AW441" s="1"/>
      <c r="AX441" s="1"/>
      <c r="AY441" s="1"/>
      <c r="AZ441" s="1"/>
      <c r="BA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Q441" s="1"/>
      <c r="BR441" s="1"/>
      <c r="BS441" s="1"/>
      <c r="BT441" s="1"/>
      <c r="BU441" s="1"/>
      <c r="BV441" s="1"/>
      <c r="BW441" s="1"/>
      <c r="BX441" s="1"/>
      <c r="BY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D441" s="1"/>
      <c r="GE441" s="1"/>
      <c r="GF441" s="1"/>
      <c r="GG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</row>
    <row r="442" spans="3:222" x14ac:dyDescent="0.3"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O442" s="1"/>
      <c r="AP442" s="1"/>
      <c r="AQ442" s="1"/>
      <c r="AR442" s="1"/>
      <c r="AS442" s="1"/>
      <c r="AU442" s="1"/>
      <c r="AV442" s="1"/>
      <c r="AW442" s="1"/>
      <c r="AX442" s="1"/>
      <c r="AY442" s="1"/>
      <c r="AZ442" s="1"/>
      <c r="BA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Q442" s="1"/>
      <c r="BR442" s="1"/>
      <c r="BS442" s="1"/>
      <c r="BT442" s="1"/>
      <c r="BU442" s="1"/>
      <c r="BV442" s="1"/>
      <c r="BW442" s="1"/>
      <c r="BX442" s="1"/>
      <c r="BY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D442" s="1"/>
      <c r="GE442" s="1"/>
      <c r="GF442" s="1"/>
      <c r="GG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</row>
    <row r="443" spans="3:222" x14ac:dyDescent="0.3"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O443" s="1"/>
      <c r="AP443" s="1"/>
      <c r="AQ443" s="1"/>
      <c r="AR443" s="1"/>
      <c r="AS443" s="1"/>
      <c r="AU443" s="1"/>
      <c r="AV443" s="1"/>
      <c r="AW443" s="1"/>
      <c r="AX443" s="1"/>
      <c r="AY443" s="1"/>
      <c r="AZ443" s="1"/>
      <c r="BA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Q443" s="1"/>
      <c r="BR443" s="1"/>
      <c r="BS443" s="1"/>
      <c r="BT443" s="1"/>
      <c r="BU443" s="1"/>
      <c r="BV443" s="1"/>
      <c r="BW443" s="1"/>
      <c r="BX443" s="1"/>
      <c r="BY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D443" s="1"/>
      <c r="GE443" s="1"/>
      <c r="GF443" s="1"/>
      <c r="GG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</row>
    <row r="444" spans="3:222" x14ac:dyDescent="0.3"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O444" s="1"/>
      <c r="AP444" s="1"/>
      <c r="AQ444" s="1"/>
      <c r="AR444" s="1"/>
      <c r="AS444" s="1"/>
      <c r="AU444" s="1"/>
      <c r="AV444" s="1"/>
      <c r="AW444" s="1"/>
      <c r="AX444" s="1"/>
      <c r="AY444" s="1"/>
      <c r="AZ444" s="1"/>
      <c r="BA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Q444" s="1"/>
      <c r="BR444" s="1"/>
      <c r="BS444" s="1"/>
      <c r="BT444" s="1"/>
      <c r="BU444" s="1"/>
      <c r="BV444" s="1"/>
      <c r="BW444" s="1"/>
      <c r="BX444" s="1"/>
      <c r="BY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D444" s="1"/>
      <c r="GE444" s="1"/>
      <c r="GF444" s="1"/>
      <c r="GG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</row>
    <row r="445" spans="3:222" x14ac:dyDescent="0.3"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O445" s="1"/>
      <c r="AP445" s="1"/>
      <c r="AQ445" s="1"/>
      <c r="AR445" s="1"/>
      <c r="AS445" s="1"/>
      <c r="AU445" s="1"/>
      <c r="AV445" s="1"/>
      <c r="AW445" s="1"/>
      <c r="AX445" s="1"/>
      <c r="AY445" s="1"/>
      <c r="AZ445" s="1"/>
      <c r="BA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Q445" s="1"/>
      <c r="BR445" s="1"/>
      <c r="BS445" s="1"/>
      <c r="BT445" s="1"/>
      <c r="BU445" s="1"/>
      <c r="BV445" s="1"/>
      <c r="BW445" s="1"/>
      <c r="BX445" s="1"/>
      <c r="BY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D445" s="1"/>
      <c r="GE445" s="1"/>
      <c r="GF445" s="1"/>
      <c r="GG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</row>
    <row r="446" spans="3:222" x14ac:dyDescent="0.3"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O446" s="1"/>
      <c r="AP446" s="1"/>
      <c r="AQ446" s="1"/>
      <c r="AR446" s="1"/>
      <c r="AS446" s="1"/>
      <c r="AU446" s="1"/>
      <c r="AV446" s="1"/>
      <c r="AW446" s="1"/>
      <c r="AX446" s="1"/>
      <c r="AY446" s="1"/>
      <c r="AZ446" s="1"/>
      <c r="BA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Q446" s="1"/>
      <c r="BR446" s="1"/>
      <c r="BS446" s="1"/>
      <c r="BT446" s="1"/>
      <c r="BU446" s="1"/>
      <c r="BV446" s="1"/>
      <c r="BW446" s="1"/>
      <c r="BX446" s="1"/>
      <c r="BY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D446" s="1"/>
      <c r="GE446" s="1"/>
      <c r="GF446" s="1"/>
      <c r="GG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</row>
    <row r="447" spans="3:222" x14ac:dyDescent="0.3"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O447" s="1"/>
      <c r="AP447" s="1"/>
      <c r="AQ447" s="1"/>
      <c r="AR447" s="1"/>
      <c r="AS447" s="1"/>
      <c r="AU447" s="1"/>
      <c r="AV447" s="1"/>
      <c r="AW447" s="1"/>
      <c r="AX447" s="1"/>
      <c r="AY447" s="1"/>
      <c r="AZ447" s="1"/>
      <c r="BA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Q447" s="1"/>
      <c r="BR447" s="1"/>
      <c r="BS447" s="1"/>
      <c r="BT447" s="1"/>
      <c r="BU447" s="1"/>
      <c r="BV447" s="1"/>
      <c r="BW447" s="1"/>
      <c r="BX447" s="1"/>
      <c r="BY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D447" s="1"/>
      <c r="GE447" s="1"/>
      <c r="GF447" s="1"/>
      <c r="GG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</row>
    <row r="448" spans="3:222" x14ac:dyDescent="0.3"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O448" s="1"/>
      <c r="AP448" s="1"/>
      <c r="AQ448" s="1"/>
      <c r="AR448" s="1"/>
      <c r="AS448" s="1"/>
      <c r="AU448" s="1"/>
      <c r="AV448" s="1"/>
      <c r="AW448" s="1"/>
      <c r="AX448" s="1"/>
      <c r="AY448" s="1"/>
      <c r="AZ448" s="1"/>
      <c r="BA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Q448" s="1"/>
      <c r="BR448" s="1"/>
      <c r="BS448" s="1"/>
      <c r="BT448" s="1"/>
      <c r="BU448" s="1"/>
      <c r="BV448" s="1"/>
      <c r="BW448" s="1"/>
      <c r="BX448" s="1"/>
      <c r="BY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D448" s="1"/>
      <c r="GE448" s="1"/>
      <c r="GF448" s="1"/>
      <c r="GG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</row>
    <row r="449" spans="3:222" x14ac:dyDescent="0.3"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O449" s="1"/>
      <c r="AP449" s="1"/>
      <c r="AQ449" s="1"/>
      <c r="AR449" s="1"/>
      <c r="AS449" s="1"/>
      <c r="AU449" s="1"/>
      <c r="AV449" s="1"/>
      <c r="AW449" s="1"/>
      <c r="AX449" s="1"/>
      <c r="AY449" s="1"/>
      <c r="AZ449" s="1"/>
      <c r="BA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Q449" s="1"/>
      <c r="BR449" s="1"/>
      <c r="BS449" s="1"/>
      <c r="BT449" s="1"/>
      <c r="BU449" s="1"/>
      <c r="BV449" s="1"/>
      <c r="BW449" s="1"/>
      <c r="BX449" s="1"/>
      <c r="BY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D449" s="1"/>
      <c r="GE449" s="1"/>
      <c r="GF449" s="1"/>
      <c r="GG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</row>
    <row r="450" spans="3:222" x14ac:dyDescent="0.3"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O450" s="1"/>
      <c r="AP450" s="1"/>
      <c r="AQ450" s="1"/>
      <c r="AR450" s="1"/>
      <c r="AS450" s="1"/>
      <c r="AU450" s="1"/>
      <c r="AV450" s="1"/>
      <c r="AW450" s="1"/>
      <c r="AX450" s="1"/>
      <c r="AY450" s="1"/>
      <c r="AZ450" s="1"/>
      <c r="BA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Q450" s="1"/>
      <c r="BR450" s="1"/>
      <c r="BS450" s="1"/>
      <c r="BT450" s="1"/>
      <c r="BU450" s="1"/>
      <c r="BV450" s="1"/>
      <c r="BW450" s="1"/>
      <c r="BX450" s="1"/>
      <c r="BY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D450" s="1"/>
      <c r="GE450" s="1"/>
      <c r="GF450" s="1"/>
      <c r="GG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</row>
    <row r="451" spans="3:222" x14ac:dyDescent="0.3"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O451" s="1"/>
      <c r="AP451" s="1"/>
      <c r="AQ451" s="1"/>
      <c r="AR451" s="1"/>
      <c r="AS451" s="1"/>
      <c r="AU451" s="1"/>
      <c r="AV451" s="1"/>
      <c r="AW451" s="1"/>
      <c r="AX451" s="1"/>
      <c r="AY451" s="1"/>
      <c r="AZ451" s="1"/>
      <c r="BA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Q451" s="1"/>
      <c r="BR451" s="1"/>
      <c r="BS451" s="1"/>
      <c r="BT451" s="1"/>
      <c r="BU451" s="1"/>
      <c r="BV451" s="1"/>
      <c r="BW451" s="1"/>
      <c r="BX451" s="1"/>
      <c r="BY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D451" s="1"/>
      <c r="GE451" s="1"/>
      <c r="GF451" s="1"/>
      <c r="GG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</row>
    <row r="452" spans="3:222" x14ac:dyDescent="0.3"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O452" s="1"/>
      <c r="AP452" s="1"/>
      <c r="AQ452" s="1"/>
      <c r="AR452" s="1"/>
      <c r="AS452" s="1"/>
      <c r="AU452" s="1"/>
      <c r="AV452" s="1"/>
      <c r="AW452" s="1"/>
      <c r="AX452" s="1"/>
      <c r="AY452" s="1"/>
      <c r="AZ452" s="1"/>
      <c r="BA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Q452" s="1"/>
      <c r="BR452" s="1"/>
      <c r="BS452" s="1"/>
      <c r="BT452" s="1"/>
      <c r="BU452" s="1"/>
      <c r="BV452" s="1"/>
      <c r="BW452" s="1"/>
      <c r="BX452" s="1"/>
      <c r="BY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D452" s="1"/>
      <c r="GE452" s="1"/>
      <c r="GF452" s="1"/>
      <c r="GG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</row>
    <row r="453" spans="3:222" x14ac:dyDescent="0.3"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O453" s="1"/>
      <c r="AP453" s="1"/>
      <c r="AQ453" s="1"/>
      <c r="AR453" s="1"/>
      <c r="AS453" s="1"/>
      <c r="AU453" s="1"/>
      <c r="AV453" s="1"/>
      <c r="AW453" s="1"/>
      <c r="AX453" s="1"/>
      <c r="AY453" s="1"/>
      <c r="AZ453" s="1"/>
      <c r="BA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Q453" s="1"/>
      <c r="BR453" s="1"/>
      <c r="BS453" s="1"/>
      <c r="BT453" s="1"/>
      <c r="BU453" s="1"/>
      <c r="BV453" s="1"/>
      <c r="BW453" s="1"/>
      <c r="BX453" s="1"/>
      <c r="BY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D453" s="1"/>
      <c r="GE453" s="1"/>
      <c r="GF453" s="1"/>
      <c r="GG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</row>
    <row r="454" spans="3:222" x14ac:dyDescent="0.3"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O454" s="1"/>
      <c r="AP454" s="1"/>
      <c r="AQ454" s="1"/>
      <c r="AR454" s="1"/>
      <c r="AS454" s="1"/>
      <c r="AU454" s="1"/>
      <c r="AV454" s="1"/>
      <c r="AW454" s="1"/>
      <c r="AX454" s="1"/>
      <c r="AY454" s="1"/>
      <c r="AZ454" s="1"/>
      <c r="BA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Q454" s="1"/>
      <c r="BR454" s="1"/>
      <c r="BS454" s="1"/>
      <c r="BT454" s="1"/>
      <c r="BU454" s="1"/>
      <c r="BV454" s="1"/>
      <c r="BW454" s="1"/>
      <c r="BX454" s="1"/>
      <c r="BY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D454" s="1"/>
      <c r="GE454" s="1"/>
      <c r="GF454" s="1"/>
      <c r="GG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</row>
    <row r="455" spans="3:222" x14ac:dyDescent="0.3"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O455" s="1"/>
      <c r="AP455" s="1"/>
      <c r="AQ455" s="1"/>
      <c r="AR455" s="1"/>
      <c r="AS455" s="1"/>
      <c r="AU455" s="1"/>
      <c r="AV455" s="1"/>
      <c r="AW455" s="1"/>
      <c r="AX455" s="1"/>
      <c r="AY455" s="1"/>
      <c r="AZ455" s="1"/>
      <c r="BA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Q455" s="1"/>
      <c r="BR455" s="1"/>
      <c r="BS455" s="1"/>
      <c r="BT455" s="1"/>
      <c r="BU455" s="1"/>
      <c r="BV455" s="1"/>
      <c r="BW455" s="1"/>
      <c r="BX455" s="1"/>
      <c r="BY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D455" s="1"/>
      <c r="GE455" s="1"/>
      <c r="GF455" s="1"/>
      <c r="GG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</row>
    <row r="456" spans="3:222" x14ac:dyDescent="0.3"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O456" s="1"/>
      <c r="AP456" s="1"/>
      <c r="AQ456" s="1"/>
      <c r="AR456" s="1"/>
      <c r="AS456" s="1"/>
      <c r="AU456" s="1"/>
      <c r="AV456" s="1"/>
      <c r="AW456" s="1"/>
      <c r="AX456" s="1"/>
      <c r="AY456" s="1"/>
      <c r="AZ456" s="1"/>
      <c r="BA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Q456" s="1"/>
      <c r="BR456" s="1"/>
      <c r="BS456" s="1"/>
      <c r="BT456" s="1"/>
      <c r="BU456" s="1"/>
      <c r="BV456" s="1"/>
      <c r="BW456" s="1"/>
      <c r="BX456" s="1"/>
      <c r="BY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D456" s="1"/>
      <c r="GE456" s="1"/>
      <c r="GF456" s="1"/>
      <c r="GG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</row>
    <row r="457" spans="3:222" x14ac:dyDescent="0.3"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O457" s="1"/>
      <c r="AP457" s="1"/>
      <c r="AQ457" s="1"/>
      <c r="AR457" s="1"/>
      <c r="AS457" s="1"/>
      <c r="AU457" s="1"/>
      <c r="AV457" s="1"/>
      <c r="AW457" s="1"/>
      <c r="AX457" s="1"/>
      <c r="AY457" s="1"/>
      <c r="AZ457" s="1"/>
      <c r="BA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Q457" s="1"/>
      <c r="BR457" s="1"/>
      <c r="BS457" s="1"/>
      <c r="BT457" s="1"/>
      <c r="BU457" s="1"/>
      <c r="BV457" s="1"/>
      <c r="BW457" s="1"/>
      <c r="BX457" s="1"/>
      <c r="BY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D457" s="1"/>
      <c r="GE457" s="1"/>
      <c r="GF457" s="1"/>
      <c r="GG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</row>
    <row r="458" spans="3:222" x14ac:dyDescent="0.3"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O458" s="1"/>
      <c r="AP458" s="1"/>
      <c r="AQ458" s="1"/>
      <c r="AR458" s="1"/>
      <c r="AS458" s="1"/>
      <c r="AU458" s="1"/>
      <c r="AV458" s="1"/>
      <c r="AW458" s="1"/>
      <c r="AX458" s="1"/>
      <c r="AY458" s="1"/>
      <c r="AZ458" s="1"/>
      <c r="BA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Q458" s="1"/>
      <c r="BR458" s="1"/>
      <c r="BS458" s="1"/>
      <c r="BT458" s="1"/>
      <c r="BU458" s="1"/>
      <c r="BV458" s="1"/>
      <c r="BW458" s="1"/>
      <c r="BX458" s="1"/>
      <c r="BY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D458" s="1"/>
      <c r="GE458" s="1"/>
      <c r="GF458" s="1"/>
      <c r="GG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</row>
    <row r="459" spans="3:222" x14ac:dyDescent="0.3"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O459" s="1"/>
      <c r="AP459" s="1"/>
      <c r="AQ459" s="1"/>
      <c r="AR459" s="1"/>
      <c r="AS459" s="1"/>
      <c r="AU459" s="1"/>
      <c r="AV459" s="1"/>
      <c r="AW459" s="1"/>
      <c r="AX459" s="1"/>
      <c r="AY459" s="1"/>
      <c r="AZ459" s="1"/>
      <c r="BA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Q459" s="1"/>
      <c r="BR459" s="1"/>
      <c r="BS459" s="1"/>
      <c r="BT459" s="1"/>
      <c r="BU459" s="1"/>
      <c r="BV459" s="1"/>
      <c r="BW459" s="1"/>
      <c r="BX459" s="1"/>
      <c r="BY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D459" s="1"/>
      <c r="GE459" s="1"/>
      <c r="GF459" s="1"/>
      <c r="GG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</row>
    <row r="460" spans="3:222" x14ac:dyDescent="0.3"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O460" s="1"/>
      <c r="AP460" s="1"/>
      <c r="AQ460" s="1"/>
      <c r="AR460" s="1"/>
      <c r="AS460" s="1"/>
      <c r="AU460" s="1"/>
      <c r="AV460" s="1"/>
      <c r="AW460" s="1"/>
      <c r="AX460" s="1"/>
      <c r="AY460" s="1"/>
      <c r="AZ460" s="1"/>
      <c r="BA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Q460" s="1"/>
      <c r="BR460" s="1"/>
      <c r="BS460" s="1"/>
      <c r="BT460" s="1"/>
      <c r="BU460" s="1"/>
      <c r="BV460" s="1"/>
      <c r="BW460" s="1"/>
      <c r="BX460" s="1"/>
      <c r="BY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D460" s="1"/>
      <c r="GE460" s="1"/>
      <c r="GF460" s="1"/>
      <c r="GG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</row>
    <row r="461" spans="3:222" x14ac:dyDescent="0.3"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O461" s="1"/>
      <c r="AP461" s="1"/>
      <c r="AQ461" s="1"/>
      <c r="AR461" s="1"/>
      <c r="AS461" s="1"/>
      <c r="AU461" s="1"/>
      <c r="AV461" s="1"/>
      <c r="AW461" s="1"/>
      <c r="AX461" s="1"/>
      <c r="AY461" s="1"/>
      <c r="AZ461" s="1"/>
      <c r="BA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Q461" s="1"/>
      <c r="BR461" s="1"/>
      <c r="BS461" s="1"/>
      <c r="BT461" s="1"/>
      <c r="BU461" s="1"/>
      <c r="BV461" s="1"/>
      <c r="BW461" s="1"/>
      <c r="BX461" s="1"/>
      <c r="BY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D461" s="1"/>
      <c r="GE461" s="1"/>
      <c r="GF461" s="1"/>
      <c r="GG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</row>
    <row r="462" spans="3:222" x14ac:dyDescent="0.3"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O462" s="1"/>
      <c r="AP462" s="1"/>
      <c r="AQ462" s="1"/>
      <c r="AR462" s="1"/>
      <c r="AS462" s="1"/>
      <c r="AU462" s="1"/>
      <c r="AV462" s="1"/>
      <c r="AW462" s="1"/>
      <c r="AX462" s="1"/>
      <c r="AY462" s="1"/>
      <c r="AZ462" s="1"/>
      <c r="BA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Q462" s="1"/>
      <c r="BR462" s="1"/>
      <c r="BS462" s="1"/>
      <c r="BT462" s="1"/>
      <c r="BU462" s="1"/>
      <c r="BV462" s="1"/>
      <c r="BW462" s="1"/>
      <c r="BX462" s="1"/>
      <c r="BY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D462" s="1"/>
      <c r="GE462" s="1"/>
      <c r="GF462" s="1"/>
      <c r="GG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</row>
    <row r="463" spans="3:222" x14ac:dyDescent="0.3"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O463" s="1"/>
      <c r="AP463" s="1"/>
      <c r="AQ463" s="1"/>
      <c r="AR463" s="1"/>
      <c r="AS463" s="1"/>
      <c r="AU463" s="1"/>
      <c r="AV463" s="1"/>
      <c r="AW463" s="1"/>
      <c r="AX463" s="1"/>
      <c r="AY463" s="1"/>
      <c r="AZ463" s="1"/>
      <c r="BA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Q463" s="1"/>
      <c r="BR463" s="1"/>
      <c r="BS463" s="1"/>
      <c r="BT463" s="1"/>
      <c r="BU463" s="1"/>
      <c r="BV463" s="1"/>
      <c r="BW463" s="1"/>
      <c r="BX463" s="1"/>
      <c r="BY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D463" s="1"/>
      <c r="GE463" s="1"/>
      <c r="GF463" s="1"/>
      <c r="GG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</row>
    <row r="464" spans="3:222" x14ac:dyDescent="0.3"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O464" s="1"/>
      <c r="AP464" s="1"/>
      <c r="AQ464" s="1"/>
      <c r="AR464" s="1"/>
      <c r="AS464" s="1"/>
      <c r="AU464" s="1"/>
      <c r="AV464" s="1"/>
      <c r="AW464" s="1"/>
      <c r="AX464" s="1"/>
      <c r="AY464" s="1"/>
      <c r="AZ464" s="1"/>
      <c r="BA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Q464" s="1"/>
      <c r="BR464" s="1"/>
      <c r="BS464" s="1"/>
      <c r="BT464" s="1"/>
      <c r="BU464" s="1"/>
      <c r="BV464" s="1"/>
      <c r="BW464" s="1"/>
      <c r="BX464" s="1"/>
      <c r="BY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D464" s="1"/>
      <c r="GE464" s="1"/>
      <c r="GF464" s="1"/>
      <c r="GG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</row>
    <row r="465" spans="3:222" x14ac:dyDescent="0.3"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O465" s="1"/>
      <c r="AP465" s="1"/>
      <c r="AQ465" s="1"/>
      <c r="AR465" s="1"/>
      <c r="AS465" s="1"/>
      <c r="AU465" s="1"/>
      <c r="AV465" s="1"/>
      <c r="AW465" s="1"/>
      <c r="AX465" s="1"/>
      <c r="AY465" s="1"/>
      <c r="AZ465" s="1"/>
      <c r="BA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Q465" s="1"/>
      <c r="BR465" s="1"/>
      <c r="BS465" s="1"/>
      <c r="BT465" s="1"/>
      <c r="BU465" s="1"/>
      <c r="BV465" s="1"/>
      <c r="BW465" s="1"/>
      <c r="BX465" s="1"/>
      <c r="BY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D465" s="1"/>
      <c r="GE465" s="1"/>
      <c r="GF465" s="1"/>
      <c r="GG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</row>
    <row r="466" spans="3:222" x14ac:dyDescent="0.3"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O466" s="1"/>
      <c r="AP466" s="1"/>
      <c r="AQ466" s="1"/>
      <c r="AR466" s="1"/>
      <c r="AS466" s="1"/>
      <c r="AU466" s="1"/>
      <c r="AV466" s="1"/>
      <c r="AW466" s="1"/>
      <c r="AX466" s="1"/>
      <c r="AY466" s="1"/>
      <c r="AZ466" s="1"/>
      <c r="BA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Q466" s="1"/>
      <c r="BR466" s="1"/>
      <c r="BS466" s="1"/>
      <c r="BT466" s="1"/>
      <c r="BU466" s="1"/>
      <c r="BV466" s="1"/>
      <c r="BW466" s="1"/>
      <c r="BX466" s="1"/>
      <c r="BY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D466" s="1"/>
      <c r="GE466" s="1"/>
      <c r="GF466" s="1"/>
      <c r="GG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</row>
    <row r="467" spans="3:222" x14ac:dyDescent="0.3"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O467" s="1"/>
      <c r="AP467" s="1"/>
      <c r="AQ467" s="1"/>
      <c r="AR467" s="1"/>
      <c r="AS467" s="1"/>
      <c r="AU467" s="1"/>
      <c r="AV467" s="1"/>
      <c r="AW467" s="1"/>
      <c r="AX467" s="1"/>
      <c r="AY467" s="1"/>
      <c r="AZ467" s="1"/>
      <c r="BA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Q467" s="1"/>
      <c r="BR467" s="1"/>
      <c r="BS467" s="1"/>
      <c r="BT467" s="1"/>
      <c r="BU467" s="1"/>
      <c r="BV467" s="1"/>
      <c r="BW467" s="1"/>
      <c r="BX467" s="1"/>
      <c r="BY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D467" s="1"/>
      <c r="GE467" s="1"/>
      <c r="GF467" s="1"/>
      <c r="GG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</row>
    <row r="468" spans="3:222" x14ac:dyDescent="0.3"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O468" s="1"/>
      <c r="AP468" s="1"/>
      <c r="AQ468" s="1"/>
      <c r="AR468" s="1"/>
      <c r="AS468" s="1"/>
      <c r="AU468" s="1"/>
      <c r="AV468" s="1"/>
      <c r="AW468" s="1"/>
      <c r="AX468" s="1"/>
      <c r="AY468" s="1"/>
      <c r="AZ468" s="1"/>
      <c r="BA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Q468" s="1"/>
      <c r="BR468" s="1"/>
      <c r="BS468" s="1"/>
      <c r="BT468" s="1"/>
      <c r="BU468" s="1"/>
      <c r="BV468" s="1"/>
      <c r="BW468" s="1"/>
      <c r="BX468" s="1"/>
      <c r="BY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D468" s="1"/>
      <c r="GE468" s="1"/>
      <c r="GF468" s="1"/>
      <c r="GG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</row>
    <row r="469" spans="3:222" x14ac:dyDescent="0.3"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O469" s="1"/>
      <c r="AP469" s="1"/>
      <c r="AQ469" s="1"/>
      <c r="AR469" s="1"/>
      <c r="AS469" s="1"/>
      <c r="AU469" s="1"/>
      <c r="AV469" s="1"/>
      <c r="AW469" s="1"/>
      <c r="AX469" s="1"/>
      <c r="AY469" s="1"/>
      <c r="AZ469" s="1"/>
      <c r="BA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Q469" s="1"/>
      <c r="BR469" s="1"/>
      <c r="BS469" s="1"/>
      <c r="BT469" s="1"/>
      <c r="BU469" s="1"/>
      <c r="BV469" s="1"/>
      <c r="BW469" s="1"/>
      <c r="BX469" s="1"/>
      <c r="BY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D469" s="1"/>
      <c r="GE469" s="1"/>
      <c r="GF469" s="1"/>
      <c r="GG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</row>
    <row r="470" spans="3:222" x14ac:dyDescent="0.3"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O470" s="1"/>
      <c r="AP470" s="1"/>
      <c r="AQ470" s="1"/>
      <c r="AR470" s="1"/>
      <c r="AS470" s="1"/>
      <c r="AU470" s="1"/>
      <c r="AV470" s="1"/>
      <c r="AW470" s="1"/>
      <c r="AX470" s="1"/>
      <c r="AY470" s="1"/>
      <c r="AZ470" s="1"/>
      <c r="BA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Q470" s="1"/>
      <c r="BR470" s="1"/>
      <c r="BS470" s="1"/>
      <c r="BT470" s="1"/>
      <c r="BU470" s="1"/>
      <c r="BV470" s="1"/>
      <c r="BW470" s="1"/>
      <c r="BX470" s="1"/>
      <c r="BY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D470" s="1"/>
      <c r="GE470" s="1"/>
      <c r="GF470" s="1"/>
      <c r="GG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</row>
    <row r="471" spans="3:222" x14ac:dyDescent="0.3"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O471" s="1"/>
      <c r="AP471" s="1"/>
      <c r="AQ471" s="1"/>
      <c r="AR471" s="1"/>
      <c r="AS471" s="1"/>
      <c r="AU471" s="1"/>
      <c r="AV471" s="1"/>
      <c r="AW471" s="1"/>
      <c r="AX471" s="1"/>
      <c r="AY471" s="1"/>
      <c r="AZ471" s="1"/>
      <c r="BA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Q471" s="1"/>
      <c r="BR471" s="1"/>
      <c r="BS471" s="1"/>
      <c r="BT471" s="1"/>
      <c r="BU471" s="1"/>
      <c r="BV471" s="1"/>
      <c r="BW471" s="1"/>
      <c r="BX471" s="1"/>
      <c r="BY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D471" s="1"/>
      <c r="GE471" s="1"/>
      <c r="GF471" s="1"/>
      <c r="GG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</row>
    <row r="472" spans="3:222" x14ac:dyDescent="0.3"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O472" s="1"/>
      <c r="AP472" s="1"/>
      <c r="AQ472" s="1"/>
      <c r="AR472" s="1"/>
      <c r="AS472" s="1"/>
      <c r="AU472" s="1"/>
      <c r="AV472" s="1"/>
      <c r="AW472" s="1"/>
      <c r="AX472" s="1"/>
      <c r="AY472" s="1"/>
      <c r="AZ472" s="1"/>
      <c r="BA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Q472" s="1"/>
      <c r="BR472" s="1"/>
      <c r="BS472" s="1"/>
      <c r="BT472" s="1"/>
      <c r="BU472" s="1"/>
      <c r="BV472" s="1"/>
      <c r="BW472" s="1"/>
      <c r="BX472" s="1"/>
      <c r="BY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D472" s="1"/>
      <c r="GE472" s="1"/>
      <c r="GF472" s="1"/>
      <c r="GG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</row>
    <row r="473" spans="3:222" x14ac:dyDescent="0.3"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O473" s="1"/>
      <c r="AP473" s="1"/>
      <c r="AQ473" s="1"/>
      <c r="AR473" s="1"/>
      <c r="AS473" s="1"/>
      <c r="AU473" s="1"/>
      <c r="AV473" s="1"/>
      <c r="AW473" s="1"/>
      <c r="AX473" s="1"/>
      <c r="AY473" s="1"/>
      <c r="AZ473" s="1"/>
      <c r="BA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Q473" s="1"/>
      <c r="BR473" s="1"/>
      <c r="BS473" s="1"/>
      <c r="BT473" s="1"/>
      <c r="BU473" s="1"/>
      <c r="BV473" s="1"/>
      <c r="BW473" s="1"/>
      <c r="BX473" s="1"/>
      <c r="BY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D473" s="1"/>
      <c r="GE473" s="1"/>
      <c r="GF473" s="1"/>
      <c r="GG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</row>
    <row r="474" spans="3:222" x14ac:dyDescent="0.3"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O474" s="1"/>
      <c r="AP474" s="1"/>
      <c r="AQ474" s="1"/>
      <c r="AR474" s="1"/>
      <c r="AS474" s="1"/>
      <c r="AU474" s="1"/>
      <c r="AV474" s="1"/>
      <c r="AW474" s="1"/>
      <c r="AX474" s="1"/>
      <c r="AY474" s="1"/>
      <c r="AZ474" s="1"/>
      <c r="BA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Q474" s="1"/>
      <c r="BR474" s="1"/>
      <c r="BS474" s="1"/>
      <c r="BT474" s="1"/>
      <c r="BU474" s="1"/>
      <c r="BV474" s="1"/>
      <c r="BW474" s="1"/>
      <c r="BX474" s="1"/>
      <c r="BY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D474" s="1"/>
      <c r="GE474" s="1"/>
      <c r="GF474" s="1"/>
      <c r="GG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</row>
    <row r="475" spans="3:222" x14ac:dyDescent="0.3"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O475" s="1"/>
      <c r="AP475" s="1"/>
      <c r="AQ475" s="1"/>
      <c r="AR475" s="1"/>
      <c r="AS475" s="1"/>
      <c r="AU475" s="1"/>
      <c r="AV475" s="1"/>
      <c r="AW475" s="1"/>
      <c r="AX475" s="1"/>
      <c r="AY475" s="1"/>
      <c r="AZ475" s="1"/>
      <c r="BA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Q475" s="1"/>
      <c r="BR475" s="1"/>
      <c r="BS475" s="1"/>
      <c r="BT475" s="1"/>
      <c r="BU475" s="1"/>
      <c r="BV475" s="1"/>
      <c r="BW475" s="1"/>
      <c r="BX475" s="1"/>
      <c r="BY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D475" s="1"/>
      <c r="GE475" s="1"/>
      <c r="GF475" s="1"/>
      <c r="GG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</row>
    <row r="476" spans="3:222" x14ac:dyDescent="0.3"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O476" s="1"/>
      <c r="AP476" s="1"/>
      <c r="AQ476" s="1"/>
      <c r="AR476" s="1"/>
      <c r="AS476" s="1"/>
      <c r="AU476" s="1"/>
      <c r="AV476" s="1"/>
      <c r="AW476" s="1"/>
      <c r="AX476" s="1"/>
      <c r="AY476" s="1"/>
      <c r="AZ476" s="1"/>
      <c r="BA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Q476" s="1"/>
      <c r="BR476" s="1"/>
      <c r="BS476" s="1"/>
      <c r="BT476" s="1"/>
      <c r="BU476" s="1"/>
      <c r="BV476" s="1"/>
      <c r="BW476" s="1"/>
      <c r="BX476" s="1"/>
      <c r="BY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D476" s="1"/>
      <c r="GE476" s="1"/>
      <c r="GF476" s="1"/>
      <c r="GG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</row>
    <row r="477" spans="3:222" x14ac:dyDescent="0.3"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O477" s="1"/>
      <c r="AP477" s="1"/>
      <c r="AQ477" s="1"/>
      <c r="AR477" s="1"/>
      <c r="AS477" s="1"/>
      <c r="AU477" s="1"/>
      <c r="AV477" s="1"/>
      <c r="AW477" s="1"/>
      <c r="AX477" s="1"/>
      <c r="AY477" s="1"/>
      <c r="AZ477" s="1"/>
      <c r="BA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Q477" s="1"/>
      <c r="BR477" s="1"/>
      <c r="BS477" s="1"/>
      <c r="BT477" s="1"/>
      <c r="BU477" s="1"/>
      <c r="BV477" s="1"/>
      <c r="BW477" s="1"/>
      <c r="BX477" s="1"/>
      <c r="BY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D477" s="1"/>
      <c r="GE477" s="1"/>
      <c r="GF477" s="1"/>
      <c r="GG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</row>
    <row r="478" spans="3:222" x14ac:dyDescent="0.3"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O478" s="1"/>
      <c r="AP478" s="1"/>
      <c r="AQ478" s="1"/>
      <c r="AR478" s="1"/>
      <c r="AS478" s="1"/>
      <c r="AU478" s="1"/>
      <c r="AV478" s="1"/>
      <c r="AW478" s="1"/>
      <c r="AX478" s="1"/>
      <c r="AY478" s="1"/>
      <c r="AZ478" s="1"/>
      <c r="BA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Q478" s="1"/>
      <c r="BR478" s="1"/>
      <c r="BS478" s="1"/>
      <c r="BT478" s="1"/>
      <c r="BU478" s="1"/>
      <c r="BV478" s="1"/>
      <c r="BW478" s="1"/>
      <c r="BX478" s="1"/>
      <c r="BY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D478" s="1"/>
      <c r="GE478" s="1"/>
      <c r="GF478" s="1"/>
      <c r="GG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</row>
    <row r="479" spans="3:222" x14ac:dyDescent="0.3"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O479" s="1"/>
      <c r="AP479" s="1"/>
      <c r="AQ479" s="1"/>
      <c r="AR479" s="1"/>
      <c r="AS479" s="1"/>
      <c r="AU479" s="1"/>
      <c r="AV479" s="1"/>
      <c r="AW479" s="1"/>
      <c r="AX479" s="1"/>
      <c r="AY479" s="1"/>
      <c r="AZ479" s="1"/>
      <c r="BA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Q479" s="1"/>
      <c r="BR479" s="1"/>
      <c r="BS479" s="1"/>
      <c r="BT479" s="1"/>
      <c r="BU479" s="1"/>
      <c r="BV479" s="1"/>
      <c r="BW479" s="1"/>
      <c r="BX479" s="1"/>
      <c r="BY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D479" s="1"/>
      <c r="GE479" s="1"/>
      <c r="GF479" s="1"/>
      <c r="GG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</row>
    <row r="480" spans="3:222" x14ac:dyDescent="0.3"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O480" s="1"/>
      <c r="AP480" s="1"/>
      <c r="AQ480" s="1"/>
      <c r="AR480" s="1"/>
      <c r="AS480" s="1"/>
      <c r="AU480" s="1"/>
      <c r="AV480" s="1"/>
      <c r="AW480" s="1"/>
      <c r="AX480" s="1"/>
      <c r="AY480" s="1"/>
      <c r="AZ480" s="1"/>
      <c r="BA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Q480" s="1"/>
      <c r="BR480" s="1"/>
      <c r="BS480" s="1"/>
      <c r="BT480" s="1"/>
      <c r="BU480" s="1"/>
      <c r="BV480" s="1"/>
      <c r="BW480" s="1"/>
      <c r="BX480" s="1"/>
      <c r="BY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D480" s="1"/>
      <c r="GE480" s="1"/>
      <c r="GF480" s="1"/>
      <c r="GG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</row>
    <row r="481" spans="3:222" x14ac:dyDescent="0.3"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O481" s="1"/>
      <c r="AP481" s="1"/>
      <c r="AQ481" s="1"/>
      <c r="AR481" s="1"/>
      <c r="AS481" s="1"/>
      <c r="AU481" s="1"/>
      <c r="AV481" s="1"/>
      <c r="AW481" s="1"/>
      <c r="AX481" s="1"/>
      <c r="AY481" s="1"/>
      <c r="AZ481" s="1"/>
      <c r="BA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Q481" s="1"/>
      <c r="BR481" s="1"/>
      <c r="BS481" s="1"/>
      <c r="BT481" s="1"/>
      <c r="BU481" s="1"/>
      <c r="BV481" s="1"/>
      <c r="BW481" s="1"/>
      <c r="BX481" s="1"/>
      <c r="BY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D481" s="1"/>
      <c r="GE481" s="1"/>
      <c r="GF481" s="1"/>
      <c r="GG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</row>
    <row r="482" spans="3:222" x14ac:dyDescent="0.3"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O482" s="1"/>
      <c r="AP482" s="1"/>
      <c r="AQ482" s="1"/>
      <c r="AR482" s="1"/>
      <c r="AS482" s="1"/>
      <c r="AU482" s="1"/>
      <c r="AV482" s="1"/>
      <c r="AW482" s="1"/>
      <c r="AX482" s="1"/>
      <c r="AY482" s="1"/>
      <c r="AZ482" s="1"/>
      <c r="BA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Q482" s="1"/>
      <c r="BR482" s="1"/>
      <c r="BS482" s="1"/>
      <c r="BT482" s="1"/>
      <c r="BU482" s="1"/>
      <c r="BV482" s="1"/>
      <c r="BW482" s="1"/>
      <c r="BX482" s="1"/>
      <c r="BY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D482" s="1"/>
      <c r="GE482" s="1"/>
      <c r="GF482" s="1"/>
      <c r="GG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</row>
    <row r="483" spans="3:222" x14ac:dyDescent="0.3"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O483" s="1"/>
      <c r="AP483" s="1"/>
      <c r="AQ483" s="1"/>
      <c r="AR483" s="1"/>
      <c r="AS483" s="1"/>
      <c r="AU483" s="1"/>
      <c r="AV483" s="1"/>
      <c r="AW483" s="1"/>
      <c r="AX483" s="1"/>
      <c r="AY483" s="1"/>
      <c r="AZ483" s="1"/>
      <c r="BA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Q483" s="1"/>
      <c r="BR483" s="1"/>
      <c r="BS483" s="1"/>
      <c r="BT483" s="1"/>
      <c r="BU483" s="1"/>
      <c r="BV483" s="1"/>
      <c r="BW483" s="1"/>
      <c r="BX483" s="1"/>
      <c r="BY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D483" s="1"/>
      <c r="GE483" s="1"/>
      <c r="GF483" s="1"/>
      <c r="GG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</row>
    <row r="484" spans="3:222" x14ac:dyDescent="0.3"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O484" s="1"/>
      <c r="AP484" s="1"/>
      <c r="AQ484" s="1"/>
      <c r="AR484" s="1"/>
      <c r="AS484" s="1"/>
      <c r="AU484" s="1"/>
      <c r="AV484" s="1"/>
      <c r="AW484" s="1"/>
      <c r="AX484" s="1"/>
      <c r="AY484" s="1"/>
      <c r="AZ484" s="1"/>
      <c r="BA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Q484" s="1"/>
      <c r="BR484" s="1"/>
      <c r="BS484" s="1"/>
      <c r="BT484" s="1"/>
      <c r="BU484" s="1"/>
      <c r="BV484" s="1"/>
      <c r="BW484" s="1"/>
      <c r="BX484" s="1"/>
      <c r="BY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D484" s="1"/>
      <c r="GE484" s="1"/>
      <c r="GF484" s="1"/>
      <c r="GG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</row>
    <row r="485" spans="3:222" x14ac:dyDescent="0.3"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O485" s="1"/>
      <c r="AP485" s="1"/>
      <c r="AQ485" s="1"/>
      <c r="AR485" s="1"/>
      <c r="AS485" s="1"/>
      <c r="AU485" s="1"/>
      <c r="AV485" s="1"/>
      <c r="AW485" s="1"/>
      <c r="AX485" s="1"/>
      <c r="AY485" s="1"/>
      <c r="AZ485" s="1"/>
      <c r="BA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Q485" s="1"/>
      <c r="BR485" s="1"/>
      <c r="BS485" s="1"/>
      <c r="BT485" s="1"/>
      <c r="BU485" s="1"/>
      <c r="BV485" s="1"/>
      <c r="BW485" s="1"/>
      <c r="BX485" s="1"/>
      <c r="BY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D485" s="1"/>
      <c r="GE485" s="1"/>
      <c r="GF485" s="1"/>
      <c r="GG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</row>
    <row r="486" spans="3:222" x14ac:dyDescent="0.3"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O486" s="1"/>
      <c r="AP486" s="1"/>
      <c r="AQ486" s="1"/>
      <c r="AR486" s="1"/>
      <c r="AS486" s="1"/>
      <c r="AU486" s="1"/>
      <c r="AV486" s="1"/>
      <c r="AW486" s="1"/>
      <c r="AX486" s="1"/>
      <c r="AY486" s="1"/>
      <c r="AZ486" s="1"/>
      <c r="BA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Q486" s="1"/>
      <c r="BR486" s="1"/>
      <c r="BS486" s="1"/>
      <c r="BT486" s="1"/>
      <c r="BU486" s="1"/>
      <c r="BV486" s="1"/>
      <c r="BW486" s="1"/>
      <c r="BX486" s="1"/>
      <c r="BY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D486" s="1"/>
      <c r="GE486" s="1"/>
      <c r="GF486" s="1"/>
      <c r="GG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</row>
    <row r="487" spans="3:222" x14ac:dyDescent="0.3"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O487" s="1"/>
      <c r="AP487" s="1"/>
      <c r="AQ487" s="1"/>
      <c r="AR487" s="1"/>
      <c r="AS487" s="1"/>
      <c r="AU487" s="1"/>
      <c r="AV487" s="1"/>
      <c r="AW487" s="1"/>
      <c r="AX487" s="1"/>
      <c r="AY487" s="1"/>
      <c r="AZ487" s="1"/>
      <c r="BA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Q487" s="1"/>
      <c r="BR487" s="1"/>
      <c r="BS487" s="1"/>
      <c r="BT487" s="1"/>
      <c r="BU487" s="1"/>
      <c r="BV487" s="1"/>
      <c r="BW487" s="1"/>
      <c r="BX487" s="1"/>
      <c r="BY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D487" s="1"/>
      <c r="GE487" s="1"/>
      <c r="GF487" s="1"/>
      <c r="GG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</row>
    <row r="488" spans="3:222" x14ac:dyDescent="0.3"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O488" s="1"/>
      <c r="AP488" s="1"/>
      <c r="AQ488" s="1"/>
      <c r="AR488" s="1"/>
      <c r="AS488" s="1"/>
      <c r="AU488" s="1"/>
      <c r="AV488" s="1"/>
      <c r="AW488" s="1"/>
      <c r="AX488" s="1"/>
      <c r="AY488" s="1"/>
      <c r="AZ488" s="1"/>
      <c r="BA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Q488" s="1"/>
      <c r="BR488" s="1"/>
      <c r="BS488" s="1"/>
      <c r="BT488" s="1"/>
      <c r="BU488" s="1"/>
      <c r="BV488" s="1"/>
      <c r="BW488" s="1"/>
      <c r="BX488" s="1"/>
      <c r="BY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D488" s="1"/>
      <c r="GE488" s="1"/>
      <c r="GF488" s="1"/>
      <c r="GG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</row>
    <row r="489" spans="3:222" x14ac:dyDescent="0.3"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O489" s="1"/>
      <c r="AP489" s="1"/>
      <c r="AQ489" s="1"/>
      <c r="AR489" s="1"/>
      <c r="AS489" s="1"/>
      <c r="AU489" s="1"/>
      <c r="AV489" s="1"/>
      <c r="AW489" s="1"/>
      <c r="AX489" s="1"/>
      <c r="AY489" s="1"/>
      <c r="AZ489" s="1"/>
      <c r="BA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Q489" s="1"/>
      <c r="BR489" s="1"/>
      <c r="BS489" s="1"/>
      <c r="BT489" s="1"/>
      <c r="BU489" s="1"/>
      <c r="BV489" s="1"/>
      <c r="BW489" s="1"/>
      <c r="BX489" s="1"/>
      <c r="BY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D489" s="1"/>
      <c r="GE489" s="1"/>
      <c r="GF489" s="1"/>
      <c r="GG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</row>
    <row r="490" spans="3:222" x14ac:dyDescent="0.3"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O490" s="1"/>
      <c r="AP490" s="1"/>
      <c r="AQ490" s="1"/>
      <c r="AR490" s="1"/>
      <c r="AS490" s="1"/>
      <c r="AU490" s="1"/>
      <c r="AV490" s="1"/>
      <c r="AW490" s="1"/>
      <c r="AX490" s="1"/>
      <c r="AY490" s="1"/>
      <c r="AZ490" s="1"/>
      <c r="BA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Q490" s="1"/>
      <c r="BR490" s="1"/>
      <c r="BS490" s="1"/>
      <c r="BT490" s="1"/>
      <c r="BU490" s="1"/>
      <c r="BV490" s="1"/>
      <c r="BW490" s="1"/>
      <c r="BX490" s="1"/>
      <c r="BY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D490" s="1"/>
      <c r="GE490" s="1"/>
      <c r="GF490" s="1"/>
      <c r="GG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</row>
    <row r="491" spans="3:222" x14ac:dyDescent="0.3"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O491" s="1"/>
      <c r="AP491" s="1"/>
      <c r="AQ491" s="1"/>
      <c r="AR491" s="1"/>
      <c r="AS491" s="1"/>
      <c r="AU491" s="1"/>
      <c r="AV491" s="1"/>
      <c r="AW491" s="1"/>
      <c r="AX491" s="1"/>
      <c r="AY491" s="1"/>
      <c r="AZ491" s="1"/>
      <c r="BA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Q491" s="1"/>
      <c r="BR491" s="1"/>
      <c r="BS491" s="1"/>
      <c r="BT491" s="1"/>
      <c r="BU491" s="1"/>
      <c r="BV491" s="1"/>
      <c r="BW491" s="1"/>
      <c r="BX491" s="1"/>
      <c r="BY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D491" s="1"/>
      <c r="GE491" s="1"/>
      <c r="GF491" s="1"/>
      <c r="GG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</row>
    <row r="492" spans="3:222" x14ac:dyDescent="0.3"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O492" s="1"/>
      <c r="AP492" s="1"/>
      <c r="AQ492" s="1"/>
      <c r="AR492" s="1"/>
      <c r="AS492" s="1"/>
      <c r="AU492" s="1"/>
      <c r="AV492" s="1"/>
      <c r="AW492" s="1"/>
      <c r="AX492" s="1"/>
      <c r="AY492" s="1"/>
      <c r="AZ492" s="1"/>
      <c r="BA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Q492" s="1"/>
      <c r="BR492" s="1"/>
      <c r="BS492" s="1"/>
      <c r="BT492" s="1"/>
      <c r="BU492" s="1"/>
      <c r="BV492" s="1"/>
      <c r="BW492" s="1"/>
      <c r="BX492" s="1"/>
      <c r="BY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D492" s="1"/>
      <c r="GE492" s="1"/>
      <c r="GF492" s="1"/>
      <c r="GG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</row>
    <row r="493" spans="3:222" x14ac:dyDescent="0.3"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O493" s="1"/>
      <c r="AP493" s="1"/>
      <c r="AQ493" s="1"/>
      <c r="AR493" s="1"/>
      <c r="AS493" s="1"/>
      <c r="AU493" s="1"/>
      <c r="AV493" s="1"/>
      <c r="AW493" s="1"/>
      <c r="AX493" s="1"/>
      <c r="AY493" s="1"/>
      <c r="AZ493" s="1"/>
      <c r="BA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Q493" s="1"/>
      <c r="BR493" s="1"/>
      <c r="BS493" s="1"/>
      <c r="BT493" s="1"/>
      <c r="BU493" s="1"/>
      <c r="BV493" s="1"/>
      <c r="BW493" s="1"/>
      <c r="BX493" s="1"/>
      <c r="BY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D493" s="1"/>
      <c r="GE493" s="1"/>
      <c r="GF493" s="1"/>
      <c r="GG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</row>
    <row r="494" spans="3:222" x14ac:dyDescent="0.3"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O494" s="1"/>
      <c r="AP494" s="1"/>
      <c r="AQ494" s="1"/>
      <c r="AR494" s="1"/>
      <c r="AS494" s="1"/>
      <c r="AU494" s="1"/>
      <c r="AV494" s="1"/>
      <c r="AW494" s="1"/>
      <c r="AX494" s="1"/>
      <c r="AY494" s="1"/>
      <c r="AZ494" s="1"/>
      <c r="BA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Q494" s="1"/>
      <c r="BR494" s="1"/>
      <c r="BS494" s="1"/>
      <c r="BT494" s="1"/>
      <c r="BU494" s="1"/>
      <c r="BV494" s="1"/>
      <c r="BW494" s="1"/>
      <c r="BX494" s="1"/>
      <c r="BY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D494" s="1"/>
      <c r="GE494" s="1"/>
      <c r="GF494" s="1"/>
      <c r="GG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</row>
    <row r="495" spans="3:222" x14ac:dyDescent="0.3"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O495" s="1"/>
      <c r="AP495" s="1"/>
      <c r="AQ495" s="1"/>
      <c r="AR495" s="1"/>
      <c r="AS495" s="1"/>
      <c r="AU495" s="1"/>
      <c r="AV495" s="1"/>
      <c r="AW495" s="1"/>
      <c r="AX495" s="1"/>
      <c r="AY495" s="1"/>
      <c r="AZ495" s="1"/>
      <c r="BA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Q495" s="1"/>
      <c r="BR495" s="1"/>
      <c r="BS495" s="1"/>
      <c r="BT495" s="1"/>
      <c r="BU495" s="1"/>
      <c r="BV495" s="1"/>
      <c r="BW495" s="1"/>
      <c r="BX495" s="1"/>
      <c r="BY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D495" s="1"/>
      <c r="GE495" s="1"/>
      <c r="GF495" s="1"/>
      <c r="GG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</row>
    <row r="496" spans="3:222" x14ac:dyDescent="0.3"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O496" s="1"/>
      <c r="AP496" s="1"/>
      <c r="AQ496" s="1"/>
      <c r="AR496" s="1"/>
      <c r="AS496" s="1"/>
      <c r="AU496" s="1"/>
      <c r="AV496" s="1"/>
      <c r="AW496" s="1"/>
      <c r="AX496" s="1"/>
      <c r="AY496" s="1"/>
      <c r="AZ496" s="1"/>
      <c r="BA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Q496" s="1"/>
      <c r="BR496" s="1"/>
      <c r="BS496" s="1"/>
      <c r="BT496" s="1"/>
      <c r="BU496" s="1"/>
      <c r="BV496" s="1"/>
      <c r="BW496" s="1"/>
      <c r="BX496" s="1"/>
      <c r="BY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D496" s="1"/>
      <c r="GE496" s="1"/>
      <c r="GF496" s="1"/>
      <c r="GG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</row>
    <row r="497" spans="3:222" x14ac:dyDescent="0.3"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O497" s="1"/>
      <c r="AP497" s="1"/>
      <c r="AQ497" s="1"/>
      <c r="AR497" s="1"/>
      <c r="AS497" s="1"/>
      <c r="AU497" s="1"/>
      <c r="AV497" s="1"/>
      <c r="AW497" s="1"/>
      <c r="AX497" s="1"/>
      <c r="AY497" s="1"/>
      <c r="AZ497" s="1"/>
      <c r="BA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Q497" s="1"/>
      <c r="BR497" s="1"/>
      <c r="BS497" s="1"/>
      <c r="BT497" s="1"/>
      <c r="BU497" s="1"/>
      <c r="BV497" s="1"/>
      <c r="BW497" s="1"/>
      <c r="BX497" s="1"/>
      <c r="BY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D497" s="1"/>
      <c r="GE497" s="1"/>
      <c r="GF497" s="1"/>
      <c r="GG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</row>
    <row r="498" spans="3:222" x14ac:dyDescent="0.3"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O498" s="1"/>
      <c r="AP498" s="1"/>
      <c r="AQ498" s="1"/>
      <c r="AR498" s="1"/>
      <c r="AS498" s="1"/>
      <c r="AU498" s="1"/>
      <c r="AV498" s="1"/>
      <c r="AW498" s="1"/>
      <c r="AX498" s="1"/>
      <c r="AY498" s="1"/>
      <c r="AZ498" s="1"/>
      <c r="BA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Q498" s="1"/>
      <c r="BR498" s="1"/>
      <c r="BS498" s="1"/>
      <c r="BT498" s="1"/>
      <c r="BU498" s="1"/>
      <c r="BV498" s="1"/>
      <c r="BW498" s="1"/>
      <c r="BX498" s="1"/>
      <c r="BY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D498" s="1"/>
      <c r="GE498" s="1"/>
      <c r="GF498" s="1"/>
      <c r="GG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</row>
    <row r="499" spans="3:222" x14ac:dyDescent="0.3"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O499" s="1"/>
      <c r="AP499" s="1"/>
      <c r="AQ499" s="1"/>
      <c r="AR499" s="1"/>
      <c r="AS499" s="1"/>
      <c r="AU499" s="1"/>
      <c r="AV499" s="1"/>
      <c r="AW499" s="1"/>
      <c r="AX499" s="1"/>
      <c r="AY499" s="1"/>
      <c r="AZ499" s="1"/>
      <c r="BA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Q499" s="1"/>
      <c r="BR499" s="1"/>
      <c r="BS499" s="1"/>
      <c r="BT499" s="1"/>
      <c r="BU499" s="1"/>
      <c r="BV499" s="1"/>
      <c r="BW499" s="1"/>
      <c r="BX499" s="1"/>
      <c r="BY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D499" s="1"/>
      <c r="GE499" s="1"/>
      <c r="GF499" s="1"/>
      <c r="GG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</row>
    <row r="500" spans="3:222" x14ac:dyDescent="0.3"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O500" s="1"/>
      <c r="AP500" s="1"/>
      <c r="AQ500" s="1"/>
      <c r="AR500" s="1"/>
      <c r="AS500" s="1"/>
      <c r="AU500" s="1"/>
      <c r="AV500" s="1"/>
      <c r="AW500" s="1"/>
      <c r="AX500" s="1"/>
      <c r="AY500" s="1"/>
      <c r="AZ500" s="1"/>
      <c r="BA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Q500" s="1"/>
      <c r="BR500" s="1"/>
      <c r="BS500" s="1"/>
      <c r="BT500" s="1"/>
      <c r="BU500" s="1"/>
      <c r="BV500" s="1"/>
      <c r="BW500" s="1"/>
      <c r="BX500" s="1"/>
      <c r="BY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D500" s="1"/>
      <c r="GE500" s="1"/>
      <c r="GF500" s="1"/>
      <c r="GG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</row>
    <row r="501" spans="3:222" x14ac:dyDescent="0.3"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O501" s="1"/>
      <c r="AP501" s="1"/>
      <c r="AQ501" s="1"/>
      <c r="AR501" s="1"/>
      <c r="AS501" s="1"/>
      <c r="AU501" s="1"/>
      <c r="AV501" s="1"/>
      <c r="AW501" s="1"/>
      <c r="AX501" s="1"/>
      <c r="AY501" s="1"/>
      <c r="AZ501" s="1"/>
      <c r="BA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Q501" s="1"/>
      <c r="BR501" s="1"/>
      <c r="BS501" s="1"/>
      <c r="BT501" s="1"/>
      <c r="BU501" s="1"/>
      <c r="BV501" s="1"/>
      <c r="BW501" s="1"/>
      <c r="BX501" s="1"/>
      <c r="BY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D501" s="1"/>
      <c r="GE501" s="1"/>
      <c r="GF501" s="1"/>
      <c r="GG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</row>
    <row r="502" spans="3:222" x14ac:dyDescent="0.3"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O502" s="1"/>
      <c r="AP502" s="1"/>
      <c r="AQ502" s="1"/>
      <c r="AR502" s="1"/>
      <c r="AS502" s="1"/>
      <c r="AU502" s="1"/>
      <c r="AV502" s="1"/>
      <c r="AW502" s="1"/>
      <c r="AX502" s="1"/>
      <c r="AY502" s="1"/>
      <c r="AZ502" s="1"/>
      <c r="BA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Q502" s="1"/>
      <c r="BR502" s="1"/>
      <c r="BS502" s="1"/>
      <c r="BT502" s="1"/>
      <c r="BU502" s="1"/>
      <c r="BV502" s="1"/>
      <c r="BW502" s="1"/>
      <c r="BX502" s="1"/>
      <c r="BY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D502" s="1"/>
      <c r="GE502" s="1"/>
      <c r="GF502" s="1"/>
      <c r="GG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</row>
    <row r="503" spans="3:222" x14ac:dyDescent="0.3"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O503" s="1"/>
      <c r="AP503" s="1"/>
      <c r="AQ503" s="1"/>
      <c r="AR503" s="1"/>
      <c r="AS503" s="1"/>
      <c r="AU503" s="1"/>
      <c r="AV503" s="1"/>
      <c r="AW503" s="1"/>
      <c r="AX503" s="1"/>
      <c r="AY503" s="1"/>
      <c r="AZ503" s="1"/>
      <c r="BA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Q503" s="1"/>
      <c r="BR503" s="1"/>
      <c r="BS503" s="1"/>
      <c r="BT503" s="1"/>
      <c r="BU503" s="1"/>
      <c r="BV503" s="1"/>
      <c r="BW503" s="1"/>
      <c r="BX503" s="1"/>
      <c r="BY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D503" s="1"/>
      <c r="GE503" s="1"/>
      <c r="GF503" s="1"/>
      <c r="GG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</row>
    <row r="504" spans="3:222" x14ac:dyDescent="0.3"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O504" s="1"/>
      <c r="AP504" s="1"/>
      <c r="AQ504" s="1"/>
      <c r="AR504" s="1"/>
      <c r="AS504" s="1"/>
      <c r="AU504" s="1"/>
      <c r="AV504" s="1"/>
      <c r="AW504" s="1"/>
      <c r="AX504" s="1"/>
      <c r="AY504" s="1"/>
      <c r="AZ504" s="1"/>
      <c r="BA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Q504" s="1"/>
      <c r="BR504" s="1"/>
      <c r="BS504" s="1"/>
      <c r="BT504" s="1"/>
      <c r="BU504" s="1"/>
      <c r="BV504" s="1"/>
      <c r="BW504" s="1"/>
      <c r="BX504" s="1"/>
      <c r="BY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D504" s="1"/>
      <c r="GE504" s="1"/>
      <c r="GF504" s="1"/>
      <c r="GG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</row>
    <row r="505" spans="3:222" x14ac:dyDescent="0.3"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O505" s="1"/>
      <c r="AP505" s="1"/>
      <c r="AQ505" s="1"/>
      <c r="AR505" s="1"/>
      <c r="AS505" s="1"/>
      <c r="AU505" s="1"/>
      <c r="AV505" s="1"/>
      <c r="AW505" s="1"/>
      <c r="AX505" s="1"/>
      <c r="AY505" s="1"/>
      <c r="AZ505" s="1"/>
      <c r="BA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Q505" s="1"/>
      <c r="BR505" s="1"/>
      <c r="BS505" s="1"/>
      <c r="BT505" s="1"/>
      <c r="BU505" s="1"/>
      <c r="BV505" s="1"/>
      <c r="BW505" s="1"/>
      <c r="BX505" s="1"/>
      <c r="BY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D505" s="1"/>
      <c r="GE505" s="1"/>
      <c r="GF505" s="1"/>
      <c r="GG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</row>
    <row r="506" spans="3:222" x14ac:dyDescent="0.3"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O506" s="1"/>
      <c r="AP506" s="1"/>
      <c r="AQ506" s="1"/>
      <c r="AR506" s="1"/>
      <c r="AS506" s="1"/>
      <c r="AU506" s="1"/>
      <c r="AV506" s="1"/>
      <c r="AW506" s="1"/>
      <c r="AX506" s="1"/>
      <c r="AY506" s="1"/>
      <c r="AZ506" s="1"/>
      <c r="BA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Q506" s="1"/>
      <c r="BR506" s="1"/>
      <c r="BS506" s="1"/>
      <c r="BT506" s="1"/>
      <c r="BU506" s="1"/>
      <c r="BV506" s="1"/>
      <c r="BW506" s="1"/>
      <c r="BX506" s="1"/>
      <c r="BY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D506" s="1"/>
      <c r="GE506" s="1"/>
      <c r="GF506" s="1"/>
      <c r="GG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</row>
    <row r="507" spans="3:222" x14ac:dyDescent="0.3"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O507" s="1"/>
      <c r="AP507" s="1"/>
      <c r="AQ507" s="1"/>
      <c r="AR507" s="1"/>
      <c r="AS507" s="1"/>
      <c r="AU507" s="1"/>
      <c r="AV507" s="1"/>
      <c r="AW507" s="1"/>
      <c r="AX507" s="1"/>
      <c r="AY507" s="1"/>
      <c r="AZ507" s="1"/>
      <c r="BA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Q507" s="1"/>
      <c r="BR507" s="1"/>
      <c r="BS507" s="1"/>
      <c r="BT507" s="1"/>
      <c r="BU507" s="1"/>
      <c r="BV507" s="1"/>
      <c r="BW507" s="1"/>
      <c r="BX507" s="1"/>
      <c r="BY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D507" s="1"/>
      <c r="GE507" s="1"/>
      <c r="GF507" s="1"/>
      <c r="GG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</row>
    <row r="508" spans="3:222" x14ac:dyDescent="0.3"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O508" s="1"/>
      <c r="AP508" s="1"/>
      <c r="AQ508" s="1"/>
      <c r="AR508" s="1"/>
      <c r="AS508" s="1"/>
      <c r="AU508" s="1"/>
      <c r="AV508" s="1"/>
      <c r="AW508" s="1"/>
      <c r="AX508" s="1"/>
      <c r="AY508" s="1"/>
      <c r="AZ508" s="1"/>
      <c r="BA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Q508" s="1"/>
      <c r="BR508" s="1"/>
      <c r="BS508" s="1"/>
      <c r="BT508" s="1"/>
      <c r="BU508" s="1"/>
      <c r="BV508" s="1"/>
      <c r="BW508" s="1"/>
      <c r="BX508" s="1"/>
      <c r="BY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D508" s="1"/>
      <c r="GE508" s="1"/>
      <c r="GF508" s="1"/>
      <c r="GG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</row>
    <row r="509" spans="3:222" x14ac:dyDescent="0.3"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O509" s="1"/>
      <c r="AP509" s="1"/>
      <c r="AQ509" s="1"/>
      <c r="AR509" s="1"/>
      <c r="AS509" s="1"/>
      <c r="AU509" s="1"/>
      <c r="AV509" s="1"/>
      <c r="AW509" s="1"/>
      <c r="AX509" s="1"/>
      <c r="AY509" s="1"/>
      <c r="AZ509" s="1"/>
      <c r="BA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Q509" s="1"/>
      <c r="BR509" s="1"/>
      <c r="BS509" s="1"/>
      <c r="BT509" s="1"/>
      <c r="BU509" s="1"/>
      <c r="BV509" s="1"/>
      <c r="BW509" s="1"/>
      <c r="BX509" s="1"/>
      <c r="BY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D509" s="1"/>
      <c r="GE509" s="1"/>
      <c r="GF509" s="1"/>
      <c r="GG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</row>
    <row r="510" spans="3:222" x14ac:dyDescent="0.3"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O510" s="1"/>
      <c r="AP510" s="1"/>
      <c r="AQ510" s="1"/>
      <c r="AR510" s="1"/>
      <c r="AS510" s="1"/>
      <c r="AU510" s="1"/>
      <c r="AV510" s="1"/>
      <c r="AW510" s="1"/>
      <c r="AX510" s="1"/>
      <c r="AY510" s="1"/>
      <c r="AZ510" s="1"/>
      <c r="BA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Q510" s="1"/>
      <c r="BR510" s="1"/>
      <c r="BS510" s="1"/>
      <c r="BT510" s="1"/>
      <c r="BU510" s="1"/>
      <c r="BV510" s="1"/>
      <c r="BW510" s="1"/>
      <c r="BX510" s="1"/>
      <c r="BY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D510" s="1"/>
      <c r="GE510" s="1"/>
      <c r="GF510" s="1"/>
      <c r="GG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</row>
    <row r="511" spans="3:222" x14ac:dyDescent="0.3"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O511" s="1"/>
      <c r="AP511" s="1"/>
      <c r="AQ511" s="1"/>
      <c r="AR511" s="1"/>
      <c r="AS511" s="1"/>
      <c r="AU511" s="1"/>
      <c r="AV511" s="1"/>
      <c r="AW511" s="1"/>
      <c r="AX511" s="1"/>
      <c r="AY511" s="1"/>
      <c r="AZ511" s="1"/>
      <c r="BA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Q511" s="1"/>
      <c r="BR511" s="1"/>
      <c r="BS511" s="1"/>
      <c r="BT511" s="1"/>
      <c r="BU511" s="1"/>
      <c r="BV511" s="1"/>
      <c r="BW511" s="1"/>
      <c r="BX511" s="1"/>
      <c r="BY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D511" s="1"/>
      <c r="GE511" s="1"/>
      <c r="GF511" s="1"/>
      <c r="GG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</row>
    <row r="512" spans="3:222" x14ac:dyDescent="0.3"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O512" s="1"/>
      <c r="AP512" s="1"/>
      <c r="AQ512" s="1"/>
      <c r="AR512" s="1"/>
      <c r="AS512" s="1"/>
      <c r="AU512" s="1"/>
      <c r="AV512" s="1"/>
      <c r="AW512" s="1"/>
      <c r="AX512" s="1"/>
      <c r="AY512" s="1"/>
      <c r="AZ512" s="1"/>
      <c r="BA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Q512" s="1"/>
      <c r="BR512" s="1"/>
      <c r="BS512" s="1"/>
      <c r="BT512" s="1"/>
      <c r="BU512" s="1"/>
      <c r="BV512" s="1"/>
      <c r="BW512" s="1"/>
      <c r="BX512" s="1"/>
      <c r="BY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D512" s="1"/>
      <c r="GE512" s="1"/>
      <c r="GF512" s="1"/>
      <c r="GG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</row>
    <row r="513" spans="3:222" x14ac:dyDescent="0.3"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O513" s="1"/>
      <c r="AP513" s="1"/>
      <c r="AQ513" s="1"/>
      <c r="AR513" s="1"/>
      <c r="AS513" s="1"/>
      <c r="AU513" s="1"/>
      <c r="AV513" s="1"/>
      <c r="AW513" s="1"/>
      <c r="AX513" s="1"/>
      <c r="AY513" s="1"/>
      <c r="AZ513" s="1"/>
      <c r="BA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Q513" s="1"/>
      <c r="BR513" s="1"/>
      <c r="BS513" s="1"/>
      <c r="BT513" s="1"/>
      <c r="BU513" s="1"/>
      <c r="BV513" s="1"/>
      <c r="BW513" s="1"/>
      <c r="BX513" s="1"/>
      <c r="BY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D513" s="1"/>
      <c r="GE513" s="1"/>
      <c r="GF513" s="1"/>
      <c r="GG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</row>
    <row r="514" spans="3:222" x14ac:dyDescent="0.3"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O514" s="1"/>
      <c r="AP514" s="1"/>
      <c r="AQ514" s="1"/>
      <c r="AR514" s="1"/>
      <c r="AS514" s="1"/>
      <c r="AU514" s="1"/>
      <c r="AV514" s="1"/>
      <c r="AW514" s="1"/>
      <c r="AX514" s="1"/>
      <c r="AY514" s="1"/>
      <c r="AZ514" s="1"/>
      <c r="BA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Q514" s="1"/>
      <c r="BR514" s="1"/>
      <c r="BS514" s="1"/>
      <c r="BT514" s="1"/>
      <c r="BU514" s="1"/>
      <c r="BV514" s="1"/>
      <c r="BW514" s="1"/>
      <c r="BX514" s="1"/>
      <c r="BY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D514" s="1"/>
      <c r="GE514" s="1"/>
      <c r="GF514" s="1"/>
      <c r="GG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</row>
    <row r="515" spans="3:222" x14ac:dyDescent="0.3"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O515" s="1"/>
      <c r="AP515" s="1"/>
      <c r="AQ515" s="1"/>
      <c r="AR515" s="1"/>
      <c r="AS515" s="1"/>
      <c r="AU515" s="1"/>
      <c r="AV515" s="1"/>
      <c r="AW515" s="1"/>
      <c r="AX515" s="1"/>
      <c r="AY515" s="1"/>
      <c r="AZ515" s="1"/>
      <c r="BA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Q515" s="1"/>
      <c r="BR515" s="1"/>
      <c r="BS515" s="1"/>
      <c r="BT515" s="1"/>
      <c r="BU515" s="1"/>
      <c r="BV515" s="1"/>
      <c r="BW515" s="1"/>
      <c r="BX515" s="1"/>
      <c r="BY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D515" s="1"/>
      <c r="GE515" s="1"/>
      <c r="GF515" s="1"/>
      <c r="GG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</row>
    <row r="516" spans="3:222" x14ac:dyDescent="0.3"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O516" s="1"/>
      <c r="AP516" s="1"/>
      <c r="AQ516" s="1"/>
      <c r="AR516" s="1"/>
      <c r="AS516" s="1"/>
      <c r="AU516" s="1"/>
      <c r="AV516" s="1"/>
      <c r="AW516" s="1"/>
      <c r="AX516" s="1"/>
      <c r="AY516" s="1"/>
      <c r="AZ516" s="1"/>
      <c r="BA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Q516" s="1"/>
      <c r="BR516" s="1"/>
      <c r="BS516" s="1"/>
      <c r="BT516" s="1"/>
      <c r="BU516" s="1"/>
      <c r="BV516" s="1"/>
      <c r="BW516" s="1"/>
      <c r="BX516" s="1"/>
      <c r="BY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D516" s="1"/>
      <c r="GE516" s="1"/>
      <c r="GF516" s="1"/>
      <c r="GG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</row>
    <row r="517" spans="3:222" x14ac:dyDescent="0.3"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O517" s="1"/>
      <c r="AP517" s="1"/>
      <c r="AQ517" s="1"/>
      <c r="AR517" s="1"/>
      <c r="AS517" s="1"/>
      <c r="AU517" s="1"/>
      <c r="AV517" s="1"/>
      <c r="AW517" s="1"/>
      <c r="AX517" s="1"/>
      <c r="AY517" s="1"/>
      <c r="AZ517" s="1"/>
      <c r="BA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Q517" s="1"/>
      <c r="BR517" s="1"/>
      <c r="BS517" s="1"/>
      <c r="BT517" s="1"/>
      <c r="BU517" s="1"/>
      <c r="BV517" s="1"/>
      <c r="BW517" s="1"/>
      <c r="BX517" s="1"/>
      <c r="BY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D517" s="1"/>
      <c r="GE517" s="1"/>
      <c r="GF517" s="1"/>
      <c r="GG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</row>
    <row r="518" spans="3:222" x14ac:dyDescent="0.3"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O518" s="1"/>
      <c r="AP518" s="1"/>
      <c r="AQ518" s="1"/>
      <c r="AR518" s="1"/>
      <c r="AS518" s="1"/>
      <c r="AU518" s="1"/>
      <c r="AV518" s="1"/>
      <c r="AW518" s="1"/>
      <c r="AX518" s="1"/>
      <c r="AY518" s="1"/>
      <c r="AZ518" s="1"/>
      <c r="BA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Q518" s="1"/>
      <c r="BR518" s="1"/>
      <c r="BS518" s="1"/>
      <c r="BT518" s="1"/>
      <c r="BU518" s="1"/>
      <c r="BV518" s="1"/>
      <c r="BW518" s="1"/>
      <c r="BX518" s="1"/>
      <c r="BY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D518" s="1"/>
      <c r="GE518" s="1"/>
      <c r="GF518" s="1"/>
      <c r="GG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</row>
    <row r="519" spans="3:222" x14ac:dyDescent="0.3"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O519" s="1"/>
      <c r="AP519" s="1"/>
      <c r="AQ519" s="1"/>
      <c r="AR519" s="1"/>
      <c r="AS519" s="1"/>
      <c r="AU519" s="1"/>
      <c r="AV519" s="1"/>
      <c r="AW519" s="1"/>
      <c r="AX519" s="1"/>
      <c r="AY519" s="1"/>
      <c r="AZ519" s="1"/>
      <c r="BA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Q519" s="1"/>
      <c r="BR519" s="1"/>
      <c r="BS519" s="1"/>
      <c r="BT519" s="1"/>
      <c r="BU519" s="1"/>
      <c r="BV519" s="1"/>
      <c r="BW519" s="1"/>
      <c r="BX519" s="1"/>
      <c r="BY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D519" s="1"/>
      <c r="GE519" s="1"/>
      <c r="GF519" s="1"/>
      <c r="GG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</row>
    <row r="520" spans="3:222" x14ac:dyDescent="0.3"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O520" s="1"/>
      <c r="AP520" s="1"/>
      <c r="AQ520" s="1"/>
      <c r="AR520" s="1"/>
      <c r="AS520" s="1"/>
      <c r="AU520" s="1"/>
      <c r="AV520" s="1"/>
      <c r="AW520" s="1"/>
      <c r="AX520" s="1"/>
      <c r="AY520" s="1"/>
      <c r="AZ520" s="1"/>
      <c r="BA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Q520" s="1"/>
      <c r="BR520" s="1"/>
      <c r="BS520" s="1"/>
      <c r="BT520" s="1"/>
      <c r="BU520" s="1"/>
      <c r="BV520" s="1"/>
      <c r="BW520" s="1"/>
      <c r="BX520" s="1"/>
      <c r="BY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D520" s="1"/>
      <c r="GE520" s="1"/>
      <c r="GF520" s="1"/>
      <c r="GG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</row>
    <row r="521" spans="3:222" x14ac:dyDescent="0.3"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O521" s="1"/>
      <c r="AP521" s="1"/>
      <c r="AQ521" s="1"/>
      <c r="AR521" s="1"/>
      <c r="AS521" s="1"/>
      <c r="AU521" s="1"/>
      <c r="AV521" s="1"/>
      <c r="AW521" s="1"/>
      <c r="AX521" s="1"/>
      <c r="AY521" s="1"/>
      <c r="AZ521" s="1"/>
      <c r="BA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Q521" s="1"/>
      <c r="BR521" s="1"/>
      <c r="BS521" s="1"/>
      <c r="BT521" s="1"/>
      <c r="BU521" s="1"/>
      <c r="BV521" s="1"/>
      <c r="BW521" s="1"/>
      <c r="BX521" s="1"/>
      <c r="BY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D521" s="1"/>
      <c r="GE521" s="1"/>
      <c r="GF521" s="1"/>
      <c r="GG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</row>
    <row r="522" spans="3:222" x14ac:dyDescent="0.3"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O522" s="1"/>
      <c r="AP522" s="1"/>
      <c r="AQ522" s="1"/>
      <c r="AR522" s="1"/>
      <c r="AS522" s="1"/>
      <c r="AU522" s="1"/>
      <c r="AV522" s="1"/>
      <c r="AW522" s="1"/>
      <c r="AX522" s="1"/>
      <c r="AY522" s="1"/>
      <c r="AZ522" s="1"/>
      <c r="BA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Q522" s="1"/>
      <c r="BR522" s="1"/>
      <c r="BS522" s="1"/>
      <c r="BT522" s="1"/>
      <c r="BU522" s="1"/>
      <c r="BV522" s="1"/>
      <c r="BW522" s="1"/>
      <c r="BX522" s="1"/>
      <c r="BY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D522" s="1"/>
      <c r="GE522" s="1"/>
      <c r="GF522" s="1"/>
      <c r="GG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</row>
    <row r="523" spans="3:222" x14ac:dyDescent="0.3"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O523" s="1"/>
      <c r="AP523" s="1"/>
      <c r="AQ523" s="1"/>
      <c r="AR523" s="1"/>
      <c r="AS523" s="1"/>
      <c r="AU523" s="1"/>
      <c r="AV523" s="1"/>
      <c r="AW523" s="1"/>
      <c r="AX523" s="1"/>
      <c r="AY523" s="1"/>
      <c r="AZ523" s="1"/>
      <c r="BA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Q523" s="1"/>
      <c r="BR523" s="1"/>
      <c r="BS523" s="1"/>
      <c r="BT523" s="1"/>
      <c r="BU523" s="1"/>
      <c r="BV523" s="1"/>
      <c r="BW523" s="1"/>
      <c r="BX523" s="1"/>
      <c r="BY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D523" s="1"/>
      <c r="GE523" s="1"/>
      <c r="GF523" s="1"/>
      <c r="GG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</row>
    <row r="524" spans="3:222" x14ac:dyDescent="0.3"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O524" s="1"/>
      <c r="AP524" s="1"/>
      <c r="AQ524" s="1"/>
      <c r="AR524" s="1"/>
      <c r="AS524" s="1"/>
      <c r="AU524" s="1"/>
      <c r="AV524" s="1"/>
      <c r="AW524" s="1"/>
      <c r="AX524" s="1"/>
      <c r="AY524" s="1"/>
      <c r="AZ524" s="1"/>
      <c r="BA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Q524" s="1"/>
      <c r="BR524" s="1"/>
      <c r="BS524" s="1"/>
      <c r="BT524" s="1"/>
      <c r="BU524" s="1"/>
      <c r="BV524" s="1"/>
      <c r="BW524" s="1"/>
      <c r="BX524" s="1"/>
      <c r="BY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D524" s="1"/>
      <c r="GE524" s="1"/>
      <c r="GF524" s="1"/>
      <c r="GG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</row>
    <row r="525" spans="3:222" x14ac:dyDescent="0.3"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O525" s="1"/>
      <c r="AP525" s="1"/>
      <c r="AQ525" s="1"/>
      <c r="AR525" s="1"/>
      <c r="AS525" s="1"/>
      <c r="AU525" s="1"/>
      <c r="AV525" s="1"/>
      <c r="AW525" s="1"/>
      <c r="AX525" s="1"/>
      <c r="AY525" s="1"/>
      <c r="AZ525" s="1"/>
      <c r="BA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Q525" s="1"/>
      <c r="BR525" s="1"/>
      <c r="BS525" s="1"/>
      <c r="BT525" s="1"/>
      <c r="BU525" s="1"/>
      <c r="BV525" s="1"/>
      <c r="BW525" s="1"/>
      <c r="BX525" s="1"/>
      <c r="BY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D525" s="1"/>
      <c r="GE525" s="1"/>
      <c r="GF525" s="1"/>
      <c r="GG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</row>
    <row r="526" spans="3:222" x14ac:dyDescent="0.3"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O526" s="1"/>
      <c r="AP526" s="1"/>
      <c r="AQ526" s="1"/>
      <c r="AR526" s="1"/>
      <c r="AS526" s="1"/>
      <c r="AU526" s="1"/>
      <c r="AV526" s="1"/>
      <c r="AW526" s="1"/>
      <c r="AX526" s="1"/>
      <c r="AY526" s="1"/>
      <c r="AZ526" s="1"/>
      <c r="BA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Q526" s="1"/>
      <c r="BR526" s="1"/>
      <c r="BS526" s="1"/>
      <c r="BT526" s="1"/>
      <c r="BU526" s="1"/>
      <c r="BV526" s="1"/>
      <c r="BW526" s="1"/>
      <c r="BX526" s="1"/>
      <c r="BY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D526" s="1"/>
      <c r="GE526" s="1"/>
      <c r="GF526" s="1"/>
      <c r="GG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</row>
    <row r="527" spans="3:222" x14ac:dyDescent="0.3"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O527" s="1"/>
      <c r="AP527" s="1"/>
      <c r="AQ527" s="1"/>
      <c r="AR527" s="1"/>
      <c r="AS527" s="1"/>
      <c r="AU527" s="1"/>
      <c r="AV527" s="1"/>
      <c r="AW527" s="1"/>
      <c r="AX527" s="1"/>
      <c r="AY527" s="1"/>
      <c r="AZ527" s="1"/>
      <c r="BA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Q527" s="1"/>
      <c r="BR527" s="1"/>
      <c r="BS527" s="1"/>
      <c r="BT527" s="1"/>
      <c r="BU527" s="1"/>
      <c r="BV527" s="1"/>
      <c r="BW527" s="1"/>
      <c r="BX527" s="1"/>
      <c r="BY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D527" s="1"/>
      <c r="GE527" s="1"/>
      <c r="GF527" s="1"/>
      <c r="GG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</row>
    <row r="528" spans="3:222" x14ac:dyDescent="0.3"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O528" s="1"/>
      <c r="AP528" s="1"/>
      <c r="AQ528" s="1"/>
      <c r="AR528" s="1"/>
      <c r="AS528" s="1"/>
      <c r="AU528" s="1"/>
      <c r="AV528" s="1"/>
      <c r="AW528" s="1"/>
      <c r="AX528" s="1"/>
      <c r="AY528" s="1"/>
      <c r="AZ528" s="1"/>
      <c r="BA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Q528" s="1"/>
      <c r="BR528" s="1"/>
      <c r="BS528" s="1"/>
      <c r="BT528" s="1"/>
      <c r="BU528" s="1"/>
      <c r="BV528" s="1"/>
      <c r="BW528" s="1"/>
      <c r="BX528" s="1"/>
      <c r="BY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D528" s="1"/>
      <c r="GE528" s="1"/>
      <c r="GF528" s="1"/>
      <c r="GG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</row>
    <row r="529" spans="3:222" x14ac:dyDescent="0.3"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O529" s="1"/>
      <c r="AP529" s="1"/>
      <c r="AQ529" s="1"/>
      <c r="AR529" s="1"/>
      <c r="AS529" s="1"/>
      <c r="AU529" s="1"/>
      <c r="AV529" s="1"/>
      <c r="AW529" s="1"/>
      <c r="AX529" s="1"/>
      <c r="AY529" s="1"/>
      <c r="AZ529" s="1"/>
      <c r="BA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Q529" s="1"/>
      <c r="BR529" s="1"/>
      <c r="BS529" s="1"/>
      <c r="BT529" s="1"/>
      <c r="BU529" s="1"/>
      <c r="BV529" s="1"/>
      <c r="BW529" s="1"/>
      <c r="BX529" s="1"/>
      <c r="BY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D529" s="1"/>
      <c r="GE529" s="1"/>
      <c r="GF529" s="1"/>
      <c r="GG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</row>
    <row r="530" spans="3:222" x14ac:dyDescent="0.3"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O530" s="1"/>
      <c r="AP530" s="1"/>
      <c r="AQ530" s="1"/>
      <c r="AR530" s="1"/>
      <c r="AS530" s="1"/>
      <c r="AU530" s="1"/>
      <c r="AV530" s="1"/>
      <c r="AW530" s="1"/>
      <c r="AX530" s="1"/>
      <c r="AY530" s="1"/>
      <c r="AZ530" s="1"/>
      <c r="BA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Q530" s="1"/>
      <c r="BR530" s="1"/>
      <c r="BS530" s="1"/>
      <c r="BT530" s="1"/>
      <c r="BU530" s="1"/>
      <c r="BV530" s="1"/>
      <c r="BW530" s="1"/>
      <c r="BX530" s="1"/>
      <c r="BY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D530" s="1"/>
      <c r="GE530" s="1"/>
      <c r="GF530" s="1"/>
      <c r="GG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</row>
    <row r="531" spans="3:222" x14ac:dyDescent="0.3"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O531" s="1"/>
      <c r="AP531" s="1"/>
      <c r="AQ531" s="1"/>
      <c r="AR531" s="1"/>
      <c r="AS531" s="1"/>
      <c r="AU531" s="1"/>
      <c r="AV531" s="1"/>
      <c r="AW531" s="1"/>
      <c r="AX531" s="1"/>
      <c r="AY531" s="1"/>
      <c r="AZ531" s="1"/>
      <c r="BA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Q531" s="1"/>
      <c r="BR531" s="1"/>
      <c r="BS531" s="1"/>
      <c r="BT531" s="1"/>
      <c r="BU531" s="1"/>
      <c r="BV531" s="1"/>
      <c r="BW531" s="1"/>
      <c r="BX531" s="1"/>
      <c r="BY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D531" s="1"/>
      <c r="GE531" s="1"/>
      <c r="GF531" s="1"/>
      <c r="GG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</row>
    <row r="532" spans="3:222" x14ac:dyDescent="0.3"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O532" s="1"/>
      <c r="AP532" s="1"/>
      <c r="AQ532" s="1"/>
      <c r="AR532" s="1"/>
      <c r="AS532" s="1"/>
      <c r="AU532" s="1"/>
      <c r="AV532" s="1"/>
      <c r="AW532" s="1"/>
      <c r="AX532" s="1"/>
      <c r="AY532" s="1"/>
      <c r="AZ532" s="1"/>
      <c r="BA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Q532" s="1"/>
      <c r="BR532" s="1"/>
      <c r="BS532" s="1"/>
      <c r="BT532" s="1"/>
      <c r="BU532" s="1"/>
      <c r="BV532" s="1"/>
      <c r="BW532" s="1"/>
      <c r="BX532" s="1"/>
      <c r="BY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D532" s="1"/>
      <c r="GE532" s="1"/>
      <c r="GF532" s="1"/>
      <c r="GG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</row>
    <row r="533" spans="3:222" x14ac:dyDescent="0.3"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O533" s="1"/>
      <c r="AP533" s="1"/>
      <c r="AQ533" s="1"/>
      <c r="AR533" s="1"/>
      <c r="AS533" s="1"/>
      <c r="AU533" s="1"/>
      <c r="AV533" s="1"/>
      <c r="AW533" s="1"/>
      <c r="AX533" s="1"/>
      <c r="AY533" s="1"/>
      <c r="AZ533" s="1"/>
      <c r="BA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Q533" s="1"/>
      <c r="BR533" s="1"/>
      <c r="BS533" s="1"/>
      <c r="BT533" s="1"/>
      <c r="BU533" s="1"/>
      <c r="BV533" s="1"/>
      <c r="BW533" s="1"/>
      <c r="BX533" s="1"/>
      <c r="BY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D533" s="1"/>
      <c r="GE533" s="1"/>
      <c r="GF533" s="1"/>
      <c r="GG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</row>
    <row r="534" spans="3:222" x14ac:dyDescent="0.3"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O534" s="1"/>
      <c r="AP534" s="1"/>
      <c r="AQ534" s="1"/>
      <c r="AR534" s="1"/>
      <c r="AS534" s="1"/>
      <c r="AU534" s="1"/>
      <c r="AV534" s="1"/>
      <c r="AW534" s="1"/>
      <c r="AX534" s="1"/>
      <c r="AY534" s="1"/>
      <c r="AZ534" s="1"/>
      <c r="BA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Q534" s="1"/>
      <c r="BR534" s="1"/>
      <c r="BS534" s="1"/>
      <c r="BT534" s="1"/>
      <c r="BU534" s="1"/>
      <c r="BV534" s="1"/>
      <c r="BW534" s="1"/>
      <c r="BX534" s="1"/>
      <c r="BY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D534" s="1"/>
      <c r="GE534" s="1"/>
      <c r="GF534" s="1"/>
      <c r="GG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</row>
    <row r="535" spans="3:222" x14ac:dyDescent="0.3"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O535" s="1"/>
      <c r="AP535" s="1"/>
      <c r="AQ535" s="1"/>
      <c r="AR535" s="1"/>
      <c r="AS535" s="1"/>
      <c r="AU535" s="1"/>
      <c r="AV535" s="1"/>
      <c r="AW535" s="1"/>
      <c r="AX535" s="1"/>
      <c r="AY535" s="1"/>
      <c r="AZ535" s="1"/>
      <c r="BA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Q535" s="1"/>
      <c r="BR535" s="1"/>
      <c r="BS535" s="1"/>
      <c r="BT535" s="1"/>
      <c r="BU535" s="1"/>
      <c r="BV535" s="1"/>
      <c r="BW535" s="1"/>
      <c r="BX535" s="1"/>
      <c r="BY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D535" s="1"/>
      <c r="GE535" s="1"/>
      <c r="GF535" s="1"/>
      <c r="GG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</row>
    <row r="536" spans="3:222" x14ac:dyDescent="0.3"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O536" s="1"/>
      <c r="AP536" s="1"/>
      <c r="AQ536" s="1"/>
      <c r="AR536" s="1"/>
      <c r="AS536" s="1"/>
      <c r="AU536" s="1"/>
      <c r="AV536" s="1"/>
      <c r="AW536" s="1"/>
      <c r="AX536" s="1"/>
      <c r="AY536" s="1"/>
      <c r="AZ536" s="1"/>
      <c r="BA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Q536" s="1"/>
      <c r="BR536" s="1"/>
      <c r="BS536" s="1"/>
      <c r="BT536" s="1"/>
      <c r="BU536" s="1"/>
      <c r="BV536" s="1"/>
      <c r="BW536" s="1"/>
      <c r="BX536" s="1"/>
      <c r="BY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D536" s="1"/>
      <c r="GE536" s="1"/>
      <c r="GF536" s="1"/>
      <c r="GG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</row>
    <row r="537" spans="3:222" x14ac:dyDescent="0.3"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O537" s="1"/>
      <c r="AP537" s="1"/>
      <c r="AQ537" s="1"/>
      <c r="AR537" s="1"/>
      <c r="AS537" s="1"/>
      <c r="AU537" s="1"/>
      <c r="AV537" s="1"/>
      <c r="AW537" s="1"/>
      <c r="AX537" s="1"/>
      <c r="AY537" s="1"/>
      <c r="AZ537" s="1"/>
      <c r="BA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Q537" s="1"/>
      <c r="BR537" s="1"/>
      <c r="BS537" s="1"/>
      <c r="BT537" s="1"/>
      <c r="BU537" s="1"/>
      <c r="BV537" s="1"/>
      <c r="BW537" s="1"/>
      <c r="BX537" s="1"/>
      <c r="BY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D537" s="1"/>
      <c r="GE537" s="1"/>
      <c r="GF537" s="1"/>
      <c r="GG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</row>
    <row r="538" spans="3:222" x14ac:dyDescent="0.3"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O538" s="1"/>
      <c r="AP538" s="1"/>
      <c r="AQ538" s="1"/>
      <c r="AR538" s="1"/>
      <c r="AS538" s="1"/>
      <c r="AU538" s="1"/>
      <c r="AV538" s="1"/>
      <c r="AW538" s="1"/>
      <c r="AX538" s="1"/>
      <c r="AY538" s="1"/>
      <c r="AZ538" s="1"/>
      <c r="BA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Q538" s="1"/>
      <c r="BR538" s="1"/>
      <c r="BS538" s="1"/>
      <c r="BT538" s="1"/>
      <c r="BU538" s="1"/>
      <c r="BV538" s="1"/>
      <c r="BW538" s="1"/>
      <c r="BX538" s="1"/>
      <c r="BY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D538" s="1"/>
      <c r="GE538" s="1"/>
      <c r="GF538" s="1"/>
      <c r="GG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</row>
    <row r="539" spans="3:222" x14ac:dyDescent="0.3"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O539" s="1"/>
      <c r="AP539" s="1"/>
      <c r="AQ539" s="1"/>
      <c r="AR539" s="1"/>
      <c r="AS539" s="1"/>
      <c r="AU539" s="1"/>
      <c r="AV539" s="1"/>
      <c r="AW539" s="1"/>
      <c r="AX539" s="1"/>
      <c r="AY539" s="1"/>
      <c r="AZ539" s="1"/>
      <c r="BA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Q539" s="1"/>
      <c r="BR539" s="1"/>
      <c r="BS539" s="1"/>
      <c r="BT539" s="1"/>
      <c r="BU539" s="1"/>
      <c r="BV539" s="1"/>
      <c r="BW539" s="1"/>
      <c r="BX539" s="1"/>
      <c r="BY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D539" s="1"/>
      <c r="GE539" s="1"/>
      <c r="GF539" s="1"/>
      <c r="GG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</row>
    <row r="540" spans="3:222" x14ac:dyDescent="0.3"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O540" s="1"/>
      <c r="AP540" s="1"/>
      <c r="AQ540" s="1"/>
      <c r="AR540" s="1"/>
      <c r="AS540" s="1"/>
      <c r="AU540" s="1"/>
      <c r="AV540" s="1"/>
      <c r="AW540" s="1"/>
      <c r="AX540" s="1"/>
      <c r="AY540" s="1"/>
      <c r="AZ540" s="1"/>
      <c r="BA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Q540" s="1"/>
      <c r="BR540" s="1"/>
      <c r="BS540" s="1"/>
      <c r="BT540" s="1"/>
      <c r="BU540" s="1"/>
      <c r="BV540" s="1"/>
      <c r="BW540" s="1"/>
      <c r="BX540" s="1"/>
      <c r="BY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D540" s="1"/>
      <c r="GE540" s="1"/>
      <c r="GF540" s="1"/>
      <c r="GG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</row>
    <row r="541" spans="3:222" x14ac:dyDescent="0.3"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O541" s="1"/>
      <c r="AP541" s="1"/>
      <c r="AQ541" s="1"/>
      <c r="AR541" s="1"/>
      <c r="AS541" s="1"/>
      <c r="AU541" s="1"/>
      <c r="AV541" s="1"/>
      <c r="AW541" s="1"/>
      <c r="AX541" s="1"/>
      <c r="AY541" s="1"/>
      <c r="AZ541" s="1"/>
      <c r="BA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Q541" s="1"/>
      <c r="BR541" s="1"/>
      <c r="BS541" s="1"/>
      <c r="BT541" s="1"/>
      <c r="BU541" s="1"/>
      <c r="BV541" s="1"/>
      <c r="BW541" s="1"/>
      <c r="BX541" s="1"/>
      <c r="BY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D541" s="1"/>
      <c r="GE541" s="1"/>
      <c r="GF541" s="1"/>
      <c r="GG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</row>
    <row r="542" spans="3:222" x14ac:dyDescent="0.3"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O542" s="1"/>
      <c r="AP542" s="1"/>
      <c r="AQ542" s="1"/>
      <c r="AR542" s="1"/>
      <c r="AS542" s="1"/>
      <c r="AU542" s="1"/>
      <c r="AV542" s="1"/>
      <c r="AW542" s="1"/>
      <c r="AX542" s="1"/>
      <c r="AY542" s="1"/>
      <c r="AZ542" s="1"/>
      <c r="BA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Q542" s="1"/>
      <c r="BR542" s="1"/>
      <c r="BS542" s="1"/>
      <c r="BT542" s="1"/>
      <c r="BU542" s="1"/>
      <c r="BV542" s="1"/>
      <c r="BW542" s="1"/>
      <c r="BX542" s="1"/>
      <c r="BY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D542" s="1"/>
      <c r="GE542" s="1"/>
      <c r="GF542" s="1"/>
      <c r="GG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</row>
    <row r="543" spans="3:222" x14ac:dyDescent="0.3"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O543" s="1"/>
      <c r="AP543" s="1"/>
      <c r="AQ543" s="1"/>
      <c r="AR543" s="1"/>
      <c r="AS543" s="1"/>
      <c r="AU543" s="1"/>
      <c r="AV543" s="1"/>
      <c r="AW543" s="1"/>
      <c r="AX543" s="1"/>
      <c r="AY543" s="1"/>
      <c r="AZ543" s="1"/>
      <c r="BA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Q543" s="1"/>
      <c r="BR543" s="1"/>
      <c r="BS543" s="1"/>
      <c r="BT543" s="1"/>
      <c r="BU543" s="1"/>
      <c r="BV543" s="1"/>
      <c r="BW543" s="1"/>
      <c r="BX543" s="1"/>
      <c r="BY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D543" s="1"/>
      <c r="GE543" s="1"/>
      <c r="GF543" s="1"/>
      <c r="GG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</row>
    <row r="544" spans="3:222" x14ac:dyDescent="0.3"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O544" s="1"/>
      <c r="AP544" s="1"/>
      <c r="AQ544" s="1"/>
      <c r="AR544" s="1"/>
      <c r="AS544" s="1"/>
      <c r="AU544" s="1"/>
      <c r="AV544" s="1"/>
      <c r="AW544" s="1"/>
      <c r="AX544" s="1"/>
      <c r="AY544" s="1"/>
      <c r="AZ544" s="1"/>
      <c r="BA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Q544" s="1"/>
      <c r="BR544" s="1"/>
      <c r="BS544" s="1"/>
      <c r="BT544" s="1"/>
      <c r="BU544" s="1"/>
      <c r="BV544" s="1"/>
      <c r="BW544" s="1"/>
      <c r="BX544" s="1"/>
      <c r="BY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D544" s="1"/>
      <c r="GE544" s="1"/>
      <c r="GF544" s="1"/>
      <c r="GG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</row>
    <row r="545" spans="3:222" x14ac:dyDescent="0.3"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O545" s="1"/>
      <c r="AP545" s="1"/>
      <c r="AQ545" s="1"/>
      <c r="AR545" s="1"/>
      <c r="AS545" s="1"/>
      <c r="AU545" s="1"/>
      <c r="AV545" s="1"/>
      <c r="AW545" s="1"/>
      <c r="AX545" s="1"/>
      <c r="AY545" s="1"/>
      <c r="AZ545" s="1"/>
      <c r="BA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Q545" s="1"/>
      <c r="BR545" s="1"/>
      <c r="BS545" s="1"/>
      <c r="BT545" s="1"/>
      <c r="BU545" s="1"/>
      <c r="BV545" s="1"/>
      <c r="BW545" s="1"/>
      <c r="BX545" s="1"/>
      <c r="BY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D545" s="1"/>
      <c r="GE545" s="1"/>
      <c r="GF545" s="1"/>
      <c r="GG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</row>
    <row r="546" spans="3:222" x14ac:dyDescent="0.3"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O546" s="1"/>
      <c r="AP546" s="1"/>
      <c r="AQ546" s="1"/>
      <c r="AR546" s="1"/>
      <c r="AS546" s="1"/>
      <c r="AU546" s="1"/>
      <c r="AV546" s="1"/>
      <c r="AW546" s="1"/>
      <c r="AX546" s="1"/>
      <c r="AY546" s="1"/>
      <c r="AZ546" s="1"/>
      <c r="BA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Q546" s="1"/>
      <c r="BR546" s="1"/>
      <c r="BS546" s="1"/>
      <c r="BT546" s="1"/>
      <c r="BU546" s="1"/>
      <c r="BV546" s="1"/>
      <c r="BW546" s="1"/>
      <c r="BX546" s="1"/>
      <c r="BY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D546" s="1"/>
      <c r="GE546" s="1"/>
      <c r="GF546" s="1"/>
      <c r="GG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</row>
    <row r="547" spans="3:222" x14ac:dyDescent="0.3"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O547" s="1"/>
      <c r="AP547" s="1"/>
      <c r="AQ547" s="1"/>
      <c r="AR547" s="1"/>
      <c r="AS547" s="1"/>
      <c r="AU547" s="1"/>
      <c r="AV547" s="1"/>
      <c r="AW547" s="1"/>
      <c r="AX547" s="1"/>
      <c r="AY547" s="1"/>
      <c r="AZ547" s="1"/>
      <c r="BA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Q547" s="1"/>
      <c r="BR547" s="1"/>
      <c r="BS547" s="1"/>
      <c r="BT547" s="1"/>
      <c r="BU547" s="1"/>
      <c r="BV547" s="1"/>
      <c r="BW547" s="1"/>
      <c r="BX547" s="1"/>
      <c r="BY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D547" s="1"/>
      <c r="GE547" s="1"/>
      <c r="GF547" s="1"/>
      <c r="GG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</row>
    <row r="548" spans="3:222" x14ac:dyDescent="0.3"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O548" s="1"/>
      <c r="AP548" s="1"/>
      <c r="AQ548" s="1"/>
      <c r="AR548" s="1"/>
      <c r="AS548" s="1"/>
      <c r="AU548" s="1"/>
      <c r="AV548" s="1"/>
      <c r="AW548" s="1"/>
      <c r="AX548" s="1"/>
      <c r="AY548" s="1"/>
      <c r="AZ548" s="1"/>
      <c r="BA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Q548" s="1"/>
      <c r="BR548" s="1"/>
      <c r="BS548" s="1"/>
      <c r="BT548" s="1"/>
      <c r="BU548" s="1"/>
      <c r="BV548" s="1"/>
      <c r="BW548" s="1"/>
      <c r="BX548" s="1"/>
      <c r="BY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D548" s="1"/>
      <c r="GE548" s="1"/>
      <c r="GF548" s="1"/>
      <c r="GG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</row>
    <row r="549" spans="3:222" x14ac:dyDescent="0.3"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O549" s="1"/>
      <c r="AP549" s="1"/>
      <c r="AQ549" s="1"/>
      <c r="AR549" s="1"/>
      <c r="AS549" s="1"/>
      <c r="AU549" s="1"/>
      <c r="AV549" s="1"/>
      <c r="AW549" s="1"/>
      <c r="AX549" s="1"/>
      <c r="AY549" s="1"/>
      <c r="AZ549" s="1"/>
      <c r="BA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Q549" s="1"/>
      <c r="BR549" s="1"/>
      <c r="BS549" s="1"/>
      <c r="BT549" s="1"/>
      <c r="BU549" s="1"/>
      <c r="BV549" s="1"/>
      <c r="BW549" s="1"/>
      <c r="BX549" s="1"/>
      <c r="BY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D549" s="1"/>
      <c r="GE549" s="1"/>
      <c r="GF549" s="1"/>
      <c r="GG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</row>
    <row r="550" spans="3:222" x14ac:dyDescent="0.3"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O550" s="1"/>
      <c r="AP550" s="1"/>
      <c r="AQ550" s="1"/>
      <c r="AR550" s="1"/>
      <c r="AS550" s="1"/>
      <c r="AU550" s="1"/>
      <c r="AV550" s="1"/>
      <c r="AW550" s="1"/>
      <c r="AX550" s="1"/>
      <c r="AY550" s="1"/>
      <c r="AZ550" s="1"/>
      <c r="BA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Q550" s="1"/>
      <c r="BR550" s="1"/>
      <c r="BS550" s="1"/>
      <c r="BT550" s="1"/>
      <c r="BU550" s="1"/>
      <c r="BV550" s="1"/>
      <c r="BW550" s="1"/>
      <c r="BX550" s="1"/>
      <c r="BY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D550" s="1"/>
      <c r="GE550" s="1"/>
      <c r="GF550" s="1"/>
      <c r="GG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</row>
    <row r="551" spans="3:222" x14ac:dyDescent="0.3"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O551" s="1"/>
      <c r="AP551" s="1"/>
      <c r="AQ551" s="1"/>
      <c r="AR551" s="1"/>
      <c r="AS551" s="1"/>
      <c r="AU551" s="1"/>
      <c r="AV551" s="1"/>
      <c r="AW551" s="1"/>
      <c r="AX551" s="1"/>
      <c r="AY551" s="1"/>
      <c r="AZ551" s="1"/>
      <c r="BA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Q551" s="1"/>
      <c r="BR551" s="1"/>
      <c r="BS551" s="1"/>
      <c r="BT551" s="1"/>
      <c r="BU551" s="1"/>
      <c r="BV551" s="1"/>
      <c r="BW551" s="1"/>
      <c r="BX551" s="1"/>
      <c r="BY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D551" s="1"/>
      <c r="GE551" s="1"/>
      <c r="GF551" s="1"/>
      <c r="GG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</row>
    <row r="552" spans="3:222" x14ac:dyDescent="0.3"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O552" s="1"/>
      <c r="AP552" s="1"/>
      <c r="AQ552" s="1"/>
      <c r="AR552" s="1"/>
      <c r="AS552" s="1"/>
      <c r="AU552" s="1"/>
      <c r="AV552" s="1"/>
      <c r="AW552" s="1"/>
      <c r="AX552" s="1"/>
      <c r="AY552" s="1"/>
      <c r="AZ552" s="1"/>
      <c r="BA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Q552" s="1"/>
      <c r="BR552" s="1"/>
      <c r="BS552" s="1"/>
      <c r="BT552" s="1"/>
      <c r="BU552" s="1"/>
      <c r="BV552" s="1"/>
      <c r="BW552" s="1"/>
      <c r="BX552" s="1"/>
      <c r="BY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D552" s="1"/>
      <c r="GE552" s="1"/>
      <c r="GF552" s="1"/>
      <c r="GG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</row>
    <row r="553" spans="3:222" x14ac:dyDescent="0.3"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O553" s="1"/>
      <c r="AP553" s="1"/>
      <c r="AQ553" s="1"/>
      <c r="AR553" s="1"/>
      <c r="AS553" s="1"/>
      <c r="AU553" s="1"/>
      <c r="AV553" s="1"/>
      <c r="AW553" s="1"/>
      <c r="AX553" s="1"/>
      <c r="AY553" s="1"/>
      <c r="AZ553" s="1"/>
      <c r="BA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Q553" s="1"/>
      <c r="BR553" s="1"/>
      <c r="BS553" s="1"/>
      <c r="BT553" s="1"/>
      <c r="BU553" s="1"/>
      <c r="BV553" s="1"/>
      <c r="BW553" s="1"/>
      <c r="BX553" s="1"/>
      <c r="BY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D553" s="1"/>
      <c r="GE553" s="1"/>
      <c r="GF553" s="1"/>
      <c r="GG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</row>
    <row r="554" spans="3:222" x14ac:dyDescent="0.3"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O554" s="1"/>
      <c r="AP554" s="1"/>
      <c r="AQ554" s="1"/>
      <c r="AR554" s="1"/>
      <c r="AS554" s="1"/>
      <c r="AU554" s="1"/>
      <c r="AV554" s="1"/>
      <c r="AW554" s="1"/>
      <c r="AX554" s="1"/>
      <c r="AY554" s="1"/>
      <c r="AZ554" s="1"/>
      <c r="BA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Q554" s="1"/>
      <c r="BR554" s="1"/>
      <c r="BS554" s="1"/>
      <c r="BT554" s="1"/>
      <c r="BU554" s="1"/>
      <c r="BV554" s="1"/>
      <c r="BW554" s="1"/>
      <c r="BX554" s="1"/>
      <c r="BY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D554" s="1"/>
      <c r="GE554" s="1"/>
      <c r="GF554" s="1"/>
      <c r="GG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</row>
    <row r="555" spans="3:222" x14ac:dyDescent="0.3"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O555" s="1"/>
      <c r="AP555" s="1"/>
      <c r="AQ555" s="1"/>
      <c r="AR555" s="1"/>
      <c r="AS555" s="1"/>
      <c r="AU555" s="1"/>
      <c r="AV555" s="1"/>
      <c r="AW555" s="1"/>
      <c r="AX555" s="1"/>
      <c r="AY555" s="1"/>
      <c r="AZ555" s="1"/>
      <c r="BA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Q555" s="1"/>
      <c r="BR555" s="1"/>
      <c r="BS555" s="1"/>
      <c r="BT555" s="1"/>
      <c r="BU555" s="1"/>
      <c r="BV555" s="1"/>
      <c r="BW555" s="1"/>
      <c r="BX555" s="1"/>
      <c r="BY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D555" s="1"/>
      <c r="GE555" s="1"/>
      <c r="GF555" s="1"/>
      <c r="GG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</row>
    <row r="556" spans="3:222" x14ac:dyDescent="0.3"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O556" s="1"/>
      <c r="AP556" s="1"/>
      <c r="AQ556" s="1"/>
      <c r="AR556" s="1"/>
      <c r="AS556" s="1"/>
      <c r="AU556" s="1"/>
      <c r="AV556" s="1"/>
      <c r="AW556" s="1"/>
      <c r="AX556" s="1"/>
      <c r="AY556" s="1"/>
      <c r="AZ556" s="1"/>
      <c r="BA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Q556" s="1"/>
      <c r="BR556" s="1"/>
      <c r="BS556" s="1"/>
      <c r="BT556" s="1"/>
      <c r="BU556" s="1"/>
      <c r="BV556" s="1"/>
      <c r="BW556" s="1"/>
      <c r="BX556" s="1"/>
      <c r="BY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D556" s="1"/>
      <c r="GE556" s="1"/>
      <c r="GF556" s="1"/>
      <c r="GG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</row>
    <row r="557" spans="3:222" x14ac:dyDescent="0.3"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O557" s="1"/>
      <c r="AP557" s="1"/>
      <c r="AQ557" s="1"/>
      <c r="AR557" s="1"/>
      <c r="AS557" s="1"/>
      <c r="AU557" s="1"/>
      <c r="AV557" s="1"/>
      <c r="AW557" s="1"/>
      <c r="AX557" s="1"/>
      <c r="AY557" s="1"/>
      <c r="AZ557" s="1"/>
      <c r="BA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Q557" s="1"/>
      <c r="BR557" s="1"/>
      <c r="BS557" s="1"/>
      <c r="BT557" s="1"/>
      <c r="BU557" s="1"/>
      <c r="BV557" s="1"/>
      <c r="BW557" s="1"/>
      <c r="BX557" s="1"/>
      <c r="BY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D557" s="1"/>
      <c r="GE557" s="1"/>
      <c r="GF557" s="1"/>
      <c r="GG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</row>
    <row r="558" spans="3:222" x14ac:dyDescent="0.3"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O558" s="1"/>
      <c r="AP558" s="1"/>
      <c r="AQ558" s="1"/>
      <c r="AR558" s="1"/>
      <c r="AS558" s="1"/>
      <c r="AU558" s="1"/>
      <c r="AV558" s="1"/>
      <c r="AW558" s="1"/>
      <c r="AX558" s="1"/>
      <c r="AY558" s="1"/>
      <c r="AZ558" s="1"/>
      <c r="BA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Q558" s="1"/>
      <c r="BR558" s="1"/>
      <c r="BS558" s="1"/>
      <c r="BT558" s="1"/>
      <c r="BU558" s="1"/>
      <c r="BV558" s="1"/>
      <c r="BW558" s="1"/>
      <c r="BX558" s="1"/>
      <c r="BY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D558" s="1"/>
      <c r="GE558" s="1"/>
      <c r="GF558" s="1"/>
      <c r="GG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</row>
    <row r="559" spans="3:222" x14ac:dyDescent="0.3"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O559" s="1"/>
      <c r="AP559" s="1"/>
      <c r="AQ559" s="1"/>
      <c r="AR559" s="1"/>
      <c r="AS559" s="1"/>
      <c r="AU559" s="1"/>
      <c r="AV559" s="1"/>
      <c r="AW559" s="1"/>
      <c r="AX559" s="1"/>
      <c r="AY559" s="1"/>
      <c r="AZ559" s="1"/>
      <c r="BA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Q559" s="1"/>
      <c r="BR559" s="1"/>
      <c r="BS559" s="1"/>
      <c r="BT559" s="1"/>
      <c r="BU559" s="1"/>
      <c r="BV559" s="1"/>
      <c r="BW559" s="1"/>
      <c r="BX559" s="1"/>
      <c r="BY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D559" s="1"/>
      <c r="GE559" s="1"/>
      <c r="GF559" s="1"/>
      <c r="GG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</row>
    <row r="560" spans="3:222" x14ac:dyDescent="0.3"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O560" s="1"/>
      <c r="AP560" s="1"/>
      <c r="AQ560" s="1"/>
      <c r="AR560" s="1"/>
      <c r="AS560" s="1"/>
      <c r="AU560" s="1"/>
      <c r="AV560" s="1"/>
      <c r="AW560" s="1"/>
      <c r="AX560" s="1"/>
      <c r="AY560" s="1"/>
      <c r="AZ560" s="1"/>
      <c r="BA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Q560" s="1"/>
      <c r="BR560" s="1"/>
      <c r="BS560" s="1"/>
      <c r="BT560" s="1"/>
      <c r="BU560" s="1"/>
      <c r="BV560" s="1"/>
      <c r="BW560" s="1"/>
      <c r="BX560" s="1"/>
      <c r="BY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D560" s="1"/>
      <c r="GE560" s="1"/>
      <c r="GF560" s="1"/>
      <c r="GG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</row>
    <row r="561" spans="3:222" x14ac:dyDescent="0.3"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O561" s="1"/>
      <c r="AP561" s="1"/>
      <c r="AQ561" s="1"/>
      <c r="AR561" s="1"/>
      <c r="AS561" s="1"/>
      <c r="AU561" s="1"/>
      <c r="AV561" s="1"/>
      <c r="AW561" s="1"/>
      <c r="AX561" s="1"/>
      <c r="AY561" s="1"/>
      <c r="AZ561" s="1"/>
      <c r="BA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Q561" s="1"/>
      <c r="BR561" s="1"/>
      <c r="BS561" s="1"/>
      <c r="BT561" s="1"/>
      <c r="BU561" s="1"/>
      <c r="BV561" s="1"/>
      <c r="BW561" s="1"/>
      <c r="BX561" s="1"/>
      <c r="BY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D561" s="1"/>
      <c r="GE561" s="1"/>
      <c r="GF561" s="1"/>
      <c r="GG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</row>
    <row r="562" spans="3:222" x14ac:dyDescent="0.3"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O562" s="1"/>
      <c r="AP562" s="1"/>
      <c r="AQ562" s="1"/>
      <c r="AR562" s="1"/>
      <c r="AS562" s="1"/>
      <c r="AU562" s="1"/>
      <c r="AV562" s="1"/>
      <c r="AW562" s="1"/>
      <c r="AX562" s="1"/>
      <c r="AY562" s="1"/>
      <c r="AZ562" s="1"/>
      <c r="BA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Q562" s="1"/>
      <c r="BR562" s="1"/>
      <c r="BS562" s="1"/>
      <c r="BT562" s="1"/>
      <c r="BU562" s="1"/>
      <c r="BV562" s="1"/>
      <c r="BW562" s="1"/>
      <c r="BX562" s="1"/>
      <c r="BY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D562" s="1"/>
      <c r="GE562" s="1"/>
      <c r="GF562" s="1"/>
      <c r="GG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</row>
    <row r="563" spans="3:222" x14ac:dyDescent="0.3"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O563" s="1"/>
      <c r="AP563" s="1"/>
      <c r="AQ563" s="1"/>
      <c r="AR563" s="1"/>
      <c r="AS563" s="1"/>
      <c r="AU563" s="1"/>
      <c r="AV563" s="1"/>
      <c r="AW563" s="1"/>
      <c r="AX563" s="1"/>
      <c r="AY563" s="1"/>
      <c r="AZ563" s="1"/>
      <c r="BA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Q563" s="1"/>
      <c r="BR563" s="1"/>
      <c r="BS563" s="1"/>
      <c r="BT563" s="1"/>
      <c r="BU563" s="1"/>
      <c r="BV563" s="1"/>
      <c r="BW563" s="1"/>
      <c r="BX563" s="1"/>
      <c r="BY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D563" s="1"/>
      <c r="GE563" s="1"/>
      <c r="GF563" s="1"/>
      <c r="GG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</row>
    <row r="564" spans="3:222" x14ac:dyDescent="0.3"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O564" s="1"/>
      <c r="AP564" s="1"/>
      <c r="AQ564" s="1"/>
      <c r="AR564" s="1"/>
      <c r="AS564" s="1"/>
      <c r="AU564" s="1"/>
      <c r="AV564" s="1"/>
      <c r="AW564" s="1"/>
      <c r="AX564" s="1"/>
      <c r="AY564" s="1"/>
      <c r="AZ564" s="1"/>
      <c r="BA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Q564" s="1"/>
      <c r="BR564" s="1"/>
      <c r="BS564" s="1"/>
      <c r="BT564" s="1"/>
      <c r="BU564" s="1"/>
      <c r="BV564" s="1"/>
      <c r="BW564" s="1"/>
      <c r="BX564" s="1"/>
      <c r="BY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D564" s="1"/>
      <c r="GE564" s="1"/>
      <c r="GF564" s="1"/>
      <c r="GG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</row>
    <row r="565" spans="3:222" x14ac:dyDescent="0.3"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O565" s="1"/>
      <c r="AP565" s="1"/>
      <c r="AQ565" s="1"/>
      <c r="AR565" s="1"/>
      <c r="AS565" s="1"/>
      <c r="AU565" s="1"/>
      <c r="AV565" s="1"/>
      <c r="AW565" s="1"/>
      <c r="AX565" s="1"/>
      <c r="AY565" s="1"/>
      <c r="AZ565" s="1"/>
      <c r="BA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Q565" s="1"/>
      <c r="BR565" s="1"/>
      <c r="BS565" s="1"/>
      <c r="BT565" s="1"/>
      <c r="BU565" s="1"/>
      <c r="BV565" s="1"/>
      <c r="BW565" s="1"/>
      <c r="BX565" s="1"/>
      <c r="BY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D565" s="1"/>
      <c r="GE565" s="1"/>
      <c r="GF565" s="1"/>
      <c r="GG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</row>
    <row r="566" spans="3:222" x14ac:dyDescent="0.3"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O566" s="1"/>
      <c r="AP566" s="1"/>
      <c r="AQ566" s="1"/>
      <c r="AR566" s="1"/>
      <c r="AS566" s="1"/>
      <c r="AU566" s="1"/>
      <c r="AV566" s="1"/>
      <c r="AW566" s="1"/>
      <c r="AX566" s="1"/>
      <c r="AY566" s="1"/>
      <c r="AZ566" s="1"/>
      <c r="BA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Q566" s="1"/>
      <c r="BR566" s="1"/>
      <c r="BS566" s="1"/>
      <c r="BT566" s="1"/>
      <c r="BU566" s="1"/>
      <c r="BV566" s="1"/>
      <c r="BW566" s="1"/>
      <c r="BX566" s="1"/>
      <c r="BY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D566" s="1"/>
      <c r="GE566" s="1"/>
      <c r="GF566" s="1"/>
      <c r="GG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</row>
    <row r="567" spans="3:222" x14ac:dyDescent="0.3"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O567" s="1"/>
      <c r="AP567" s="1"/>
      <c r="AQ567" s="1"/>
      <c r="AR567" s="1"/>
      <c r="AS567" s="1"/>
      <c r="AU567" s="1"/>
      <c r="AV567" s="1"/>
      <c r="AW567" s="1"/>
      <c r="AX567" s="1"/>
      <c r="AY567" s="1"/>
      <c r="AZ567" s="1"/>
      <c r="BA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Q567" s="1"/>
      <c r="BR567" s="1"/>
      <c r="BS567" s="1"/>
      <c r="BT567" s="1"/>
      <c r="BU567" s="1"/>
      <c r="BV567" s="1"/>
      <c r="BW567" s="1"/>
      <c r="BX567" s="1"/>
      <c r="BY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D567" s="1"/>
      <c r="GE567" s="1"/>
      <c r="GF567" s="1"/>
      <c r="GG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</row>
    <row r="568" spans="3:222" x14ac:dyDescent="0.3"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O568" s="1"/>
      <c r="AP568" s="1"/>
      <c r="AQ568" s="1"/>
      <c r="AR568" s="1"/>
      <c r="AS568" s="1"/>
      <c r="AU568" s="1"/>
      <c r="AV568" s="1"/>
      <c r="AW568" s="1"/>
      <c r="AX568" s="1"/>
      <c r="AY568" s="1"/>
      <c r="AZ568" s="1"/>
      <c r="BA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Q568" s="1"/>
      <c r="BR568" s="1"/>
      <c r="BS568" s="1"/>
      <c r="BT568" s="1"/>
      <c r="BU568" s="1"/>
      <c r="BV568" s="1"/>
      <c r="BW568" s="1"/>
      <c r="BX568" s="1"/>
      <c r="BY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D568" s="1"/>
      <c r="GE568" s="1"/>
      <c r="GF568" s="1"/>
      <c r="GG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</row>
    <row r="569" spans="3:222" x14ac:dyDescent="0.3"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O569" s="1"/>
      <c r="AP569" s="1"/>
      <c r="AQ569" s="1"/>
      <c r="AR569" s="1"/>
      <c r="AS569" s="1"/>
      <c r="AU569" s="1"/>
      <c r="AV569" s="1"/>
      <c r="AW569" s="1"/>
      <c r="AX569" s="1"/>
      <c r="AY569" s="1"/>
      <c r="AZ569" s="1"/>
      <c r="BA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Q569" s="1"/>
      <c r="BR569" s="1"/>
      <c r="BS569" s="1"/>
      <c r="BT569" s="1"/>
      <c r="BU569" s="1"/>
      <c r="BV569" s="1"/>
      <c r="BW569" s="1"/>
      <c r="BX569" s="1"/>
      <c r="BY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D569" s="1"/>
      <c r="GE569" s="1"/>
      <c r="GF569" s="1"/>
      <c r="GG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</row>
    <row r="570" spans="3:222" x14ac:dyDescent="0.3"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O570" s="1"/>
      <c r="AP570" s="1"/>
      <c r="AQ570" s="1"/>
      <c r="AR570" s="1"/>
      <c r="AS570" s="1"/>
      <c r="AU570" s="1"/>
      <c r="AV570" s="1"/>
      <c r="AW570" s="1"/>
      <c r="AX570" s="1"/>
      <c r="AY570" s="1"/>
      <c r="AZ570" s="1"/>
      <c r="BA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Q570" s="1"/>
      <c r="BR570" s="1"/>
      <c r="BS570" s="1"/>
      <c r="BT570" s="1"/>
      <c r="BU570" s="1"/>
      <c r="BV570" s="1"/>
      <c r="BW570" s="1"/>
      <c r="BX570" s="1"/>
      <c r="BY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D570" s="1"/>
      <c r="GE570" s="1"/>
      <c r="GF570" s="1"/>
      <c r="GG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</row>
    <row r="571" spans="3:222" x14ac:dyDescent="0.3"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O571" s="1"/>
      <c r="AP571" s="1"/>
      <c r="AQ571" s="1"/>
      <c r="AR571" s="1"/>
      <c r="AS571" s="1"/>
      <c r="AU571" s="1"/>
      <c r="AV571" s="1"/>
      <c r="AW571" s="1"/>
      <c r="AX571" s="1"/>
      <c r="AY571" s="1"/>
      <c r="AZ571" s="1"/>
      <c r="BA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Q571" s="1"/>
      <c r="BR571" s="1"/>
      <c r="BS571" s="1"/>
      <c r="BT571" s="1"/>
      <c r="BU571" s="1"/>
      <c r="BV571" s="1"/>
      <c r="BW571" s="1"/>
      <c r="BX571" s="1"/>
      <c r="BY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D571" s="1"/>
      <c r="GE571" s="1"/>
      <c r="GF571" s="1"/>
      <c r="GG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</row>
    <row r="572" spans="3:222" x14ac:dyDescent="0.3"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O572" s="1"/>
      <c r="AP572" s="1"/>
      <c r="AQ572" s="1"/>
      <c r="AR572" s="1"/>
      <c r="AS572" s="1"/>
      <c r="AU572" s="1"/>
      <c r="AV572" s="1"/>
      <c r="AW572" s="1"/>
      <c r="AX572" s="1"/>
      <c r="AY572" s="1"/>
      <c r="AZ572" s="1"/>
      <c r="BA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Q572" s="1"/>
      <c r="BR572" s="1"/>
      <c r="BS572" s="1"/>
      <c r="BT572" s="1"/>
      <c r="BU572" s="1"/>
      <c r="BV572" s="1"/>
      <c r="BW572" s="1"/>
      <c r="BX572" s="1"/>
      <c r="BY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D572" s="1"/>
      <c r="GE572" s="1"/>
      <c r="GF572" s="1"/>
      <c r="GG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</row>
    <row r="573" spans="3:222" x14ac:dyDescent="0.3"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O573" s="1"/>
      <c r="AP573" s="1"/>
      <c r="AQ573" s="1"/>
      <c r="AR573" s="1"/>
      <c r="AS573" s="1"/>
      <c r="AU573" s="1"/>
      <c r="AV573" s="1"/>
      <c r="AW573" s="1"/>
      <c r="AX573" s="1"/>
      <c r="AY573" s="1"/>
      <c r="AZ573" s="1"/>
      <c r="BA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Q573" s="1"/>
      <c r="BR573" s="1"/>
      <c r="BS573" s="1"/>
      <c r="BT573" s="1"/>
      <c r="BU573" s="1"/>
      <c r="BV573" s="1"/>
      <c r="BW573" s="1"/>
      <c r="BX573" s="1"/>
      <c r="BY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D573" s="1"/>
      <c r="GE573" s="1"/>
      <c r="GF573" s="1"/>
      <c r="GG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</row>
    <row r="574" spans="3:222" x14ac:dyDescent="0.3"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O574" s="1"/>
      <c r="AP574" s="1"/>
      <c r="AQ574" s="1"/>
      <c r="AR574" s="1"/>
      <c r="AS574" s="1"/>
      <c r="AU574" s="1"/>
      <c r="AV574" s="1"/>
      <c r="AW574" s="1"/>
      <c r="AX574" s="1"/>
      <c r="AY574" s="1"/>
      <c r="AZ574" s="1"/>
      <c r="BA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Q574" s="1"/>
      <c r="BR574" s="1"/>
      <c r="BS574" s="1"/>
      <c r="BT574" s="1"/>
      <c r="BU574" s="1"/>
      <c r="BV574" s="1"/>
      <c r="BW574" s="1"/>
      <c r="BX574" s="1"/>
      <c r="BY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D574" s="1"/>
      <c r="GE574" s="1"/>
      <c r="GF574" s="1"/>
      <c r="GG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</row>
    <row r="575" spans="3:222" x14ac:dyDescent="0.3"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O575" s="1"/>
      <c r="AP575" s="1"/>
      <c r="AQ575" s="1"/>
      <c r="AR575" s="1"/>
      <c r="AS575" s="1"/>
      <c r="AU575" s="1"/>
      <c r="AV575" s="1"/>
      <c r="AW575" s="1"/>
      <c r="AX575" s="1"/>
      <c r="AY575" s="1"/>
      <c r="AZ575" s="1"/>
      <c r="BA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Q575" s="1"/>
      <c r="BR575" s="1"/>
      <c r="BS575" s="1"/>
      <c r="BT575" s="1"/>
      <c r="BU575" s="1"/>
      <c r="BV575" s="1"/>
      <c r="BW575" s="1"/>
      <c r="BX575" s="1"/>
      <c r="BY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D575" s="1"/>
      <c r="GE575" s="1"/>
      <c r="GF575" s="1"/>
      <c r="GG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</row>
    <row r="576" spans="3:222" x14ac:dyDescent="0.3"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O576" s="1"/>
      <c r="AP576" s="1"/>
      <c r="AQ576" s="1"/>
      <c r="AR576" s="1"/>
      <c r="AS576" s="1"/>
      <c r="AU576" s="1"/>
      <c r="AV576" s="1"/>
      <c r="AW576" s="1"/>
      <c r="AX576" s="1"/>
      <c r="AY576" s="1"/>
      <c r="AZ576" s="1"/>
      <c r="BA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Q576" s="1"/>
      <c r="BR576" s="1"/>
      <c r="BS576" s="1"/>
      <c r="BT576" s="1"/>
      <c r="BU576" s="1"/>
      <c r="BV576" s="1"/>
      <c r="BW576" s="1"/>
      <c r="BX576" s="1"/>
      <c r="BY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D576" s="1"/>
      <c r="GE576" s="1"/>
      <c r="GF576" s="1"/>
      <c r="GG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</row>
    <row r="577" spans="3:222" x14ac:dyDescent="0.3"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O577" s="1"/>
      <c r="AP577" s="1"/>
      <c r="AQ577" s="1"/>
      <c r="AR577" s="1"/>
      <c r="AS577" s="1"/>
      <c r="AU577" s="1"/>
      <c r="AV577" s="1"/>
      <c r="AW577" s="1"/>
      <c r="AX577" s="1"/>
      <c r="AY577" s="1"/>
      <c r="AZ577" s="1"/>
      <c r="BA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Q577" s="1"/>
      <c r="BR577" s="1"/>
      <c r="BS577" s="1"/>
      <c r="BT577" s="1"/>
      <c r="BU577" s="1"/>
      <c r="BV577" s="1"/>
      <c r="BW577" s="1"/>
      <c r="BX577" s="1"/>
      <c r="BY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D577" s="1"/>
      <c r="GE577" s="1"/>
      <c r="GF577" s="1"/>
      <c r="GG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</row>
    <row r="578" spans="3:222" x14ac:dyDescent="0.3"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O578" s="1"/>
      <c r="AP578" s="1"/>
      <c r="AQ578" s="1"/>
      <c r="AR578" s="1"/>
      <c r="AS578" s="1"/>
      <c r="AU578" s="1"/>
      <c r="AV578" s="1"/>
      <c r="AW578" s="1"/>
      <c r="AX578" s="1"/>
      <c r="AY578" s="1"/>
      <c r="AZ578" s="1"/>
      <c r="BA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Q578" s="1"/>
      <c r="BR578" s="1"/>
      <c r="BS578" s="1"/>
      <c r="BT578" s="1"/>
      <c r="BU578" s="1"/>
      <c r="BV578" s="1"/>
      <c r="BW578" s="1"/>
      <c r="BX578" s="1"/>
      <c r="BY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D578" s="1"/>
      <c r="GE578" s="1"/>
      <c r="GF578" s="1"/>
      <c r="GG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</row>
    <row r="579" spans="3:222" x14ac:dyDescent="0.3"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O579" s="1"/>
      <c r="AP579" s="1"/>
      <c r="AQ579" s="1"/>
      <c r="AR579" s="1"/>
      <c r="AS579" s="1"/>
      <c r="AU579" s="1"/>
      <c r="AV579" s="1"/>
      <c r="AW579" s="1"/>
      <c r="AX579" s="1"/>
      <c r="AY579" s="1"/>
      <c r="AZ579" s="1"/>
      <c r="BA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Q579" s="1"/>
      <c r="BR579" s="1"/>
      <c r="BS579" s="1"/>
      <c r="BT579" s="1"/>
      <c r="BU579" s="1"/>
      <c r="BV579" s="1"/>
      <c r="BW579" s="1"/>
      <c r="BX579" s="1"/>
      <c r="BY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D579" s="1"/>
      <c r="GE579" s="1"/>
      <c r="GF579" s="1"/>
      <c r="GG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</row>
    <row r="580" spans="3:222" x14ac:dyDescent="0.3"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O580" s="1"/>
      <c r="AP580" s="1"/>
      <c r="AQ580" s="1"/>
      <c r="AR580" s="1"/>
      <c r="AS580" s="1"/>
      <c r="AU580" s="1"/>
      <c r="AV580" s="1"/>
      <c r="AW580" s="1"/>
      <c r="AX580" s="1"/>
      <c r="AY580" s="1"/>
      <c r="AZ580" s="1"/>
      <c r="BA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Q580" s="1"/>
      <c r="BR580" s="1"/>
      <c r="BS580" s="1"/>
      <c r="BT580" s="1"/>
      <c r="BU580" s="1"/>
      <c r="BV580" s="1"/>
      <c r="BW580" s="1"/>
      <c r="BX580" s="1"/>
      <c r="BY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D580" s="1"/>
      <c r="GE580" s="1"/>
      <c r="GF580" s="1"/>
      <c r="GG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</row>
    <row r="581" spans="3:222" x14ac:dyDescent="0.3"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O581" s="1"/>
      <c r="AP581" s="1"/>
      <c r="AQ581" s="1"/>
      <c r="AR581" s="1"/>
      <c r="AS581" s="1"/>
      <c r="AU581" s="1"/>
      <c r="AV581" s="1"/>
      <c r="AW581" s="1"/>
      <c r="AX581" s="1"/>
      <c r="AY581" s="1"/>
      <c r="AZ581" s="1"/>
      <c r="BA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Q581" s="1"/>
      <c r="BR581" s="1"/>
      <c r="BS581" s="1"/>
      <c r="BT581" s="1"/>
      <c r="BU581" s="1"/>
      <c r="BV581" s="1"/>
      <c r="BW581" s="1"/>
      <c r="BX581" s="1"/>
      <c r="BY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D581" s="1"/>
      <c r="GE581" s="1"/>
      <c r="GF581" s="1"/>
      <c r="GG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</row>
    <row r="582" spans="3:222" x14ac:dyDescent="0.3"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O582" s="1"/>
      <c r="AP582" s="1"/>
      <c r="AQ582" s="1"/>
      <c r="AR582" s="1"/>
      <c r="AS582" s="1"/>
      <c r="AU582" s="1"/>
      <c r="AV582" s="1"/>
      <c r="AW582" s="1"/>
      <c r="AX582" s="1"/>
      <c r="AY582" s="1"/>
      <c r="AZ582" s="1"/>
      <c r="BA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Q582" s="1"/>
      <c r="BR582" s="1"/>
      <c r="BS582" s="1"/>
      <c r="BT582" s="1"/>
      <c r="BU582" s="1"/>
      <c r="BV582" s="1"/>
      <c r="BW582" s="1"/>
      <c r="BX582" s="1"/>
      <c r="BY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D582" s="1"/>
      <c r="GE582" s="1"/>
      <c r="GF582" s="1"/>
      <c r="GG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</row>
    <row r="583" spans="3:222" x14ac:dyDescent="0.3"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O583" s="1"/>
      <c r="AP583" s="1"/>
      <c r="AQ583" s="1"/>
      <c r="AR583" s="1"/>
      <c r="AS583" s="1"/>
      <c r="AU583" s="1"/>
      <c r="AV583" s="1"/>
      <c r="AW583" s="1"/>
      <c r="AX583" s="1"/>
      <c r="AY583" s="1"/>
      <c r="AZ583" s="1"/>
      <c r="BA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Q583" s="1"/>
      <c r="BR583" s="1"/>
      <c r="BS583" s="1"/>
      <c r="BT583" s="1"/>
      <c r="BU583" s="1"/>
      <c r="BV583" s="1"/>
      <c r="BW583" s="1"/>
      <c r="BX583" s="1"/>
      <c r="BY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D583" s="1"/>
      <c r="GE583" s="1"/>
      <c r="GF583" s="1"/>
      <c r="GG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</row>
    <row r="584" spans="3:222" x14ac:dyDescent="0.3"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O584" s="1"/>
      <c r="AP584" s="1"/>
      <c r="AQ584" s="1"/>
      <c r="AR584" s="1"/>
      <c r="AS584" s="1"/>
      <c r="AU584" s="1"/>
      <c r="AV584" s="1"/>
      <c r="AW584" s="1"/>
      <c r="AX584" s="1"/>
      <c r="AY584" s="1"/>
      <c r="AZ584" s="1"/>
      <c r="BA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Q584" s="1"/>
      <c r="BR584" s="1"/>
      <c r="BS584" s="1"/>
      <c r="BT584" s="1"/>
      <c r="BU584" s="1"/>
      <c r="BV584" s="1"/>
      <c r="BW584" s="1"/>
      <c r="BX584" s="1"/>
      <c r="BY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D584" s="1"/>
      <c r="GE584" s="1"/>
      <c r="GF584" s="1"/>
      <c r="GG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</row>
    <row r="585" spans="3:222" x14ac:dyDescent="0.3"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O585" s="1"/>
      <c r="AP585" s="1"/>
      <c r="AQ585" s="1"/>
      <c r="AR585" s="1"/>
      <c r="AS585" s="1"/>
      <c r="AU585" s="1"/>
      <c r="AV585" s="1"/>
      <c r="AW585" s="1"/>
      <c r="AX585" s="1"/>
      <c r="AY585" s="1"/>
      <c r="AZ585" s="1"/>
      <c r="BA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Q585" s="1"/>
      <c r="BR585" s="1"/>
      <c r="BS585" s="1"/>
      <c r="BT585" s="1"/>
      <c r="BU585" s="1"/>
      <c r="BV585" s="1"/>
      <c r="BW585" s="1"/>
      <c r="BX585" s="1"/>
      <c r="BY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D585" s="1"/>
      <c r="GE585" s="1"/>
      <c r="GF585" s="1"/>
      <c r="GG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</row>
    <row r="586" spans="3:222" x14ac:dyDescent="0.3"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O586" s="1"/>
      <c r="AP586" s="1"/>
      <c r="AQ586" s="1"/>
      <c r="AR586" s="1"/>
      <c r="AS586" s="1"/>
      <c r="AU586" s="1"/>
      <c r="AV586" s="1"/>
      <c r="AW586" s="1"/>
      <c r="AX586" s="1"/>
      <c r="AY586" s="1"/>
      <c r="AZ586" s="1"/>
      <c r="BA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Q586" s="1"/>
      <c r="BR586" s="1"/>
      <c r="BS586" s="1"/>
      <c r="BT586" s="1"/>
      <c r="BU586" s="1"/>
      <c r="BV586" s="1"/>
      <c r="BW586" s="1"/>
      <c r="BX586" s="1"/>
      <c r="BY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D586" s="1"/>
      <c r="GE586" s="1"/>
      <c r="GF586" s="1"/>
      <c r="GG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</row>
    <row r="587" spans="3:222" x14ac:dyDescent="0.3"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O587" s="1"/>
      <c r="AP587" s="1"/>
      <c r="AQ587" s="1"/>
      <c r="AR587" s="1"/>
      <c r="AS587" s="1"/>
      <c r="AU587" s="1"/>
      <c r="AV587" s="1"/>
      <c r="AW587" s="1"/>
      <c r="AX587" s="1"/>
      <c r="AY587" s="1"/>
      <c r="AZ587" s="1"/>
      <c r="BA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Q587" s="1"/>
      <c r="BR587" s="1"/>
      <c r="BS587" s="1"/>
      <c r="BT587" s="1"/>
      <c r="BU587" s="1"/>
      <c r="BV587" s="1"/>
      <c r="BW587" s="1"/>
      <c r="BX587" s="1"/>
      <c r="BY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D587" s="1"/>
      <c r="GE587" s="1"/>
      <c r="GF587" s="1"/>
      <c r="GG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</row>
    <row r="588" spans="3:222" x14ac:dyDescent="0.3"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O588" s="1"/>
      <c r="AP588" s="1"/>
      <c r="AQ588" s="1"/>
      <c r="AR588" s="1"/>
      <c r="AS588" s="1"/>
      <c r="AU588" s="1"/>
      <c r="AV588" s="1"/>
      <c r="AW588" s="1"/>
      <c r="AX588" s="1"/>
      <c r="AY588" s="1"/>
      <c r="AZ588" s="1"/>
      <c r="BA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Q588" s="1"/>
      <c r="BR588" s="1"/>
      <c r="BS588" s="1"/>
      <c r="BT588" s="1"/>
      <c r="BU588" s="1"/>
      <c r="BV588" s="1"/>
      <c r="BW588" s="1"/>
      <c r="BX588" s="1"/>
      <c r="BY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D588" s="1"/>
      <c r="GE588" s="1"/>
      <c r="GF588" s="1"/>
      <c r="GG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</row>
    <row r="589" spans="3:222" x14ac:dyDescent="0.3"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O589" s="1"/>
      <c r="AP589" s="1"/>
      <c r="AQ589" s="1"/>
      <c r="AR589" s="1"/>
      <c r="AS589" s="1"/>
      <c r="AU589" s="1"/>
      <c r="AV589" s="1"/>
      <c r="AW589" s="1"/>
      <c r="AX589" s="1"/>
      <c r="AY589" s="1"/>
      <c r="AZ589" s="1"/>
      <c r="BA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Q589" s="1"/>
      <c r="BR589" s="1"/>
      <c r="BS589" s="1"/>
      <c r="BT589" s="1"/>
      <c r="BU589" s="1"/>
      <c r="BV589" s="1"/>
      <c r="BW589" s="1"/>
      <c r="BX589" s="1"/>
      <c r="BY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D589" s="1"/>
      <c r="GE589" s="1"/>
      <c r="GF589" s="1"/>
      <c r="GG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</row>
    <row r="590" spans="3:222" x14ac:dyDescent="0.3"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O590" s="1"/>
      <c r="AP590" s="1"/>
      <c r="AQ590" s="1"/>
      <c r="AR590" s="1"/>
      <c r="AS590" s="1"/>
      <c r="AU590" s="1"/>
      <c r="AV590" s="1"/>
      <c r="AW590" s="1"/>
      <c r="AX590" s="1"/>
      <c r="AY590" s="1"/>
      <c r="AZ590" s="1"/>
      <c r="BA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Q590" s="1"/>
      <c r="BR590" s="1"/>
      <c r="BS590" s="1"/>
      <c r="BT590" s="1"/>
      <c r="BU590" s="1"/>
      <c r="BV590" s="1"/>
      <c r="BW590" s="1"/>
      <c r="BX590" s="1"/>
      <c r="BY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D590" s="1"/>
      <c r="GE590" s="1"/>
      <c r="GF590" s="1"/>
      <c r="GG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</row>
    <row r="591" spans="3:222" x14ac:dyDescent="0.3"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O591" s="1"/>
      <c r="AP591" s="1"/>
      <c r="AQ591" s="1"/>
      <c r="AR591" s="1"/>
      <c r="AS591" s="1"/>
      <c r="AU591" s="1"/>
      <c r="AV591" s="1"/>
      <c r="AW591" s="1"/>
      <c r="AX591" s="1"/>
      <c r="AY591" s="1"/>
      <c r="AZ591" s="1"/>
      <c r="BA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Q591" s="1"/>
      <c r="BR591" s="1"/>
      <c r="BS591" s="1"/>
      <c r="BT591" s="1"/>
      <c r="BU591" s="1"/>
      <c r="BV591" s="1"/>
      <c r="BW591" s="1"/>
      <c r="BX591" s="1"/>
      <c r="BY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D591" s="1"/>
      <c r="GE591" s="1"/>
      <c r="GF591" s="1"/>
      <c r="GG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</row>
    <row r="592" spans="3:222" x14ac:dyDescent="0.3"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O592" s="1"/>
      <c r="AP592" s="1"/>
      <c r="AQ592" s="1"/>
      <c r="AR592" s="1"/>
      <c r="AS592" s="1"/>
      <c r="AU592" s="1"/>
      <c r="AV592" s="1"/>
      <c r="AW592" s="1"/>
      <c r="AX592" s="1"/>
      <c r="AY592" s="1"/>
      <c r="AZ592" s="1"/>
      <c r="BA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Q592" s="1"/>
      <c r="BR592" s="1"/>
      <c r="BS592" s="1"/>
      <c r="BT592" s="1"/>
      <c r="BU592" s="1"/>
      <c r="BV592" s="1"/>
      <c r="BW592" s="1"/>
      <c r="BX592" s="1"/>
      <c r="BY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D592" s="1"/>
      <c r="GE592" s="1"/>
      <c r="GF592" s="1"/>
      <c r="GG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</row>
    <row r="593" spans="3:222" x14ac:dyDescent="0.3"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O593" s="1"/>
      <c r="AP593" s="1"/>
      <c r="AQ593" s="1"/>
      <c r="AR593" s="1"/>
      <c r="AS593" s="1"/>
      <c r="AU593" s="1"/>
      <c r="AV593" s="1"/>
      <c r="AW593" s="1"/>
      <c r="AX593" s="1"/>
      <c r="AY593" s="1"/>
      <c r="AZ593" s="1"/>
      <c r="BA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Q593" s="1"/>
      <c r="BR593" s="1"/>
      <c r="BS593" s="1"/>
      <c r="BT593" s="1"/>
      <c r="BU593" s="1"/>
      <c r="BV593" s="1"/>
      <c r="BW593" s="1"/>
      <c r="BX593" s="1"/>
      <c r="BY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D593" s="1"/>
      <c r="GE593" s="1"/>
      <c r="GF593" s="1"/>
      <c r="GG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</row>
    <row r="594" spans="3:222" x14ac:dyDescent="0.3"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O594" s="1"/>
      <c r="AP594" s="1"/>
      <c r="AQ594" s="1"/>
      <c r="AR594" s="1"/>
      <c r="AS594" s="1"/>
      <c r="AU594" s="1"/>
      <c r="AV594" s="1"/>
      <c r="AW594" s="1"/>
      <c r="AX594" s="1"/>
      <c r="AY594" s="1"/>
      <c r="AZ594" s="1"/>
      <c r="BA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Q594" s="1"/>
      <c r="BR594" s="1"/>
      <c r="BS594" s="1"/>
      <c r="BT594" s="1"/>
      <c r="BU594" s="1"/>
      <c r="BV594" s="1"/>
      <c r="BW594" s="1"/>
      <c r="BX594" s="1"/>
      <c r="BY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D594" s="1"/>
      <c r="GE594" s="1"/>
      <c r="GF594" s="1"/>
      <c r="GG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</row>
    <row r="595" spans="3:222" x14ac:dyDescent="0.3"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O595" s="1"/>
      <c r="AP595" s="1"/>
      <c r="AQ595" s="1"/>
      <c r="AR595" s="1"/>
      <c r="AS595" s="1"/>
      <c r="AU595" s="1"/>
      <c r="AV595" s="1"/>
      <c r="AW595" s="1"/>
      <c r="AX595" s="1"/>
      <c r="AY595" s="1"/>
      <c r="AZ595" s="1"/>
      <c r="BA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Q595" s="1"/>
      <c r="BR595" s="1"/>
      <c r="BS595" s="1"/>
      <c r="BT595" s="1"/>
      <c r="BU595" s="1"/>
      <c r="BV595" s="1"/>
      <c r="BW595" s="1"/>
      <c r="BX595" s="1"/>
      <c r="BY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D595" s="1"/>
      <c r="GE595" s="1"/>
      <c r="GF595" s="1"/>
      <c r="GG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</row>
    <row r="596" spans="3:222" x14ac:dyDescent="0.3"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O596" s="1"/>
      <c r="AP596" s="1"/>
      <c r="AQ596" s="1"/>
      <c r="AR596" s="1"/>
      <c r="AS596" s="1"/>
      <c r="AU596" s="1"/>
      <c r="AV596" s="1"/>
      <c r="AW596" s="1"/>
      <c r="AX596" s="1"/>
      <c r="AY596" s="1"/>
      <c r="AZ596" s="1"/>
      <c r="BA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Q596" s="1"/>
      <c r="BR596" s="1"/>
      <c r="BS596" s="1"/>
      <c r="BT596" s="1"/>
      <c r="BU596" s="1"/>
      <c r="BV596" s="1"/>
      <c r="BW596" s="1"/>
      <c r="BX596" s="1"/>
      <c r="BY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D596" s="1"/>
      <c r="GE596" s="1"/>
      <c r="GF596" s="1"/>
      <c r="GG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</row>
    <row r="597" spans="3:222" x14ac:dyDescent="0.3"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O597" s="1"/>
      <c r="AP597" s="1"/>
      <c r="AQ597" s="1"/>
      <c r="AR597" s="1"/>
      <c r="AS597" s="1"/>
      <c r="AU597" s="1"/>
      <c r="AV597" s="1"/>
      <c r="AW597" s="1"/>
      <c r="AX597" s="1"/>
      <c r="AY597" s="1"/>
      <c r="AZ597" s="1"/>
      <c r="BA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Q597" s="1"/>
      <c r="BR597" s="1"/>
      <c r="BS597" s="1"/>
      <c r="BT597" s="1"/>
      <c r="BU597" s="1"/>
      <c r="BV597" s="1"/>
      <c r="BW597" s="1"/>
      <c r="BX597" s="1"/>
      <c r="BY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D597" s="1"/>
      <c r="GE597" s="1"/>
      <c r="GF597" s="1"/>
      <c r="GG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</row>
    <row r="598" spans="3:222" x14ac:dyDescent="0.3"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O598" s="1"/>
      <c r="AP598" s="1"/>
      <c r="AQ598" s="1"/>
      <c r="AR598" s="1"/>
      <c r="AS598" s="1"/>
      <c r="AU598" s="1"/>
      <c r="AV598" s="1"/>
      <c r="AW598" s="1"/>
      <c r="AX598" s="1"/>
      <c r="AY598" s="1"/>
      <c r="AZ598" s="1"/>
      <c r="BA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Q598" s="1"/>
      <c r="BR598" s="1"/>
      <c r="BS598" s="1"/>
      <c r="BT598" s="1"/>
      <c r="BU598" s="1"/>
      <c r="BV598" s="1"/>
      <c r="BW598" s="1"/>
      <c r="BX598" s="1"/>
      <c r="BY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D598" s="1"/>
      <c r="GE598" s="1"/>
      <c r="GF598" s="1"/>
      <c r="GG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</row>
    <row r="599" spans="3:222" x14ac:dyDescent="0.3"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O599" s="1"/>
      <c r="AP599" s="1"/>
      <c r="AQ599" s="1"/>
      <c r="AR599" s="1"/>
      <c r="AS599" s="1"/>
      <c r="AU599" s="1"/>
      <c r="AV599" s="1"/>
      <c r="AW599" s="1"/>
      <c r="AX599" s="1"/>
      <c r="AY599" s="1"/>
      <c r="AZ599" s="1"/>
      <c r="BA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Q599" s="1"/>
      <c r="BR599" s="1"/>
      <c r="BS599" s="1"/>
      <c r="BT599" s="1"/>
      <c r="BU599" s="1"/>
      <c r="BV599" s="1"/>
      <c r="BW599" s="1"/>
      <c r="BX599" s="1"/>
      <c r="BY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D599" s="1"/>
      <c r="GE599" s="1"/>
      <c r="GF599" s="1"/>
      <c r="GG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</row>
    <row r="600" spans="3:222" x14ac:dyDescent="0.3"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O600" s="1"/>
      <c r="AP600" s="1"/>
      <c r="AQ600" s="1"/>
      <c r="AR600" s="1"/>
      <c r="AS600" s="1"/>
      <c r="AU600" s="1"/>
      <c r="AV600" s="1"/>
      <c r="AW600" s="1"/>
      <c r="AX600" s="1"/>
      <c r="AY600" s="1"/>
      <c r="AZ600" s="1"/>
      <c r="BA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Q600" s="1"/>
      <c r="BR600" s="1"/>
      <c r="BS600" s="1"/>
      <c r="BT600" s="1"/>
      <c r="BU600" s="1"/>
      <c r="BV600" s="1"/>
      <c r="BW600" s="1"/>
      <c r="BX600" s="1"/>
      <c r="BY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D600" s="1"/>
      <c r="GE600" s="1"/>
      <c r="GF600" s="1"/>
      <c r="GG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</row>
    <row r="601" spans="3:222" x14ac:dyDescent="0.3"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O601" s="1"/>
      <c r="AP601" s="1"/>
      <c r="AQ601" s="1"/>
      <c r="AR601" s="1"/>
      <c r="AS601" s="1"/>
      <c r="AU601" s="1"/>
      <c r="AV601" s="1"/>
      <c r="AW601" s="1"/>
      <c r="AX601" s="1"/>
      <c r="AY601" s="1"/>
      <c r="AZ601" s="1"/>
      <c r="BA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Q601" s="1"/>
      <c r="BR601" s="1"/>
      <c r="BS601" s="1"/>
      <c r="BT601" s="1"/>
      <c r="BU601" s="1"/>
      <c r="BV601" s="1"/>
      <c r="BW601" s="1"/>
      <c r="BX601" s="1"/>
      <c r="BY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D601" s="1"/>
      <c r="GE601" s="1"/>
      <c r="GF601" s="1"/>
      <c r="GG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</row>
    <row r="602" spans="3:222" x14ac:dyDescent="0.3"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O602" s="1"/>
      <c r="AP602" s="1"/>
      <c r="AQ602" s="1"/>
      <c r="AR602" s="1"/>
      <c r="AS602" s="1"/>
      <c r="AU602" s="1"/>
      <c r="AV602" s="1"/>
      <c r="AW602" s="1"/>
      <c r="AX602" s="1"/>
      <c r="AY602" s="1"/>
      <c r="AZ602" s="1"/>
      <c r="BA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Q602" s="1"/>
      <c r="BR602" s="1"/>
      <c r="BS602" s="1"/>
      <c r="BT602" s="1"/>
      <c r="BU602" s="1"/>
      <c r="BV602" s="1"/>
      <c r="BW602" s="1"/>
      <c r="BX602" s="1"/>
      <c r="BY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D602" s="1"/>
      <c r="GE602" s="1"/>
      <c r="GF602" s="1"/>
      <c r="GG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</row>
    <row r="603" spans="3:222" x14ac:dyDescent="0.3"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O603" s="1"/>
      <c r="AP603" s="1"/>
      <c r="AQ603" s="1"/>
      <c r="AR603" s="1"/>
      <c r="AS603" s="1"/>
      <c r="AU603" s="1"/>
      <c r="AV603" s="1"/>
      <c r="AW603" s="1"/>
      <c r="AX603" s="1"/>
      <c r="AY603" s="1"/>
      <c r="AZ603" s="1"/>
      <c r="BA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Q603" s="1"/>
      <c r="BR603" s="1"/>
      <c r="BS603" s="1"/>
      <c r="BT603" s="1"/>
      <c r="BU603" s="1"/>
      <c r="BV603" s="1"/>
      <c r="BW603" s="1"/>
      <c r="BX603" s="1"/>
      <c r="BY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D603" s="1"/>
      <c r="GE603" s="1"/>
      <c r="GF603" s="1"/>
      <c r="GG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</row>
    <row r="604" spans="3:222" x14ac:dyDescent="0.3"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O604" s="1"/>
      <c r="AP604" s="1"/>
      <c r="AQ604" s="1"/>
      <c r="AR604" s="1"/>
      <c r="AS604" s="1"/>
      <c r="AU604" s="1"/>
      <c r="AV604" s="1"/>
      <c r="AW604" s="1"/>
      <c r="AX604" s="1"/>
      <c r="AY604" s="1"/>
      <c r="AZ604" s="1"/>
      <c r="BA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Q604" s="1"/>
      <c r="BR604" s="1"/>
      <c r="BS604" s="1"/>
      <c r="BT604" s="1"/>
      <c r="BU604" s="1"/>
      <c r="BV604" s="1"/>
      <c r="BW604" s="1"/>
      <c r="BX604" s="1"/>
      <c r="BY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D604" s="1"/>
      <c r="GE604" s="1"/>
      <c r="GF604" s="1"/>
      <c r="GG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</row>
    <row r="605" spans="3:222" x14ac:dyDescent="0.3"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O605" s="1"/>
      <c r="AP605" s="1"/>
      <c r="AQ605" s="1"/>
      <c r="AR605" s="1"/>
      <c r="AS605" s="1"/>
      <c r="AU605" s="1"/>
      <c r="AV605" s="1"/>
      <c r="AW605" s="1"/>
      <c r="AX605" s="1"/>
      <c r="AY605" s="1"/>
      <c r="AZ605" s="1"/>
      <c r="BA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Q605" s="1"/>
      <c r="BR605" s="1"/>
      <c r="BS605" s="1"/>
      <c r="BT605" s="1"/>
      <c r="BU605" s="1"/>
      <c r="BV605" s="1"/>
      <c r="BW605" s="1"/>
      <c r="BX605" s="1"/>
      <c r="BY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D605" s="1"/>
      <c r="GE605" s="1"/>
      <c r="GF605" s="1"/>
      <c r="GG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</row>
    <row r="606" spans="3:222" x14ac:dyDescent="0.3"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O606" s="1"/>
      <c r="AP606" s="1"/>
      <c r="AQ606" s="1"/>
      <c r="AR606" s="1"/>
      <c r="AS606" s="1"/>
      <c r="AU606" s="1"/>
      <c r="AV606" s="1"/>
      <c r="AW606" s="1"/>
      <c r="AX606" s="1"/>
      <c r="AY606" s="1"/>
      <c r="AZ606" s="1"/>
      <c r="BA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Q606" s="1"/>
      <c r="BR606" s="1"/>
      <c r="BS606" s="1"/>
      <c r="BT606" s="1"/>
      <c r="BU606" s="1"/>
      <c r="BV606" s="1"/>
      <c r="BW606" s="1"/>
      <c r="BX606" s="1"/>
      <c r="BY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D606" s="1"/>
      <c r="GE606" s="1"/>
      <c r="GF606" s="1"/>
      <c r="GG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</row>
    <row r="607" spans="3:222" x14ac:dyDescent="0.3"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O607" s="1"/>
      <c r="AP607" s="1"/>
      <c r="AQ607" s="1"/>
      <c r="AR607" s="1"/>
      <c r="AS607" s="1"/>
      <c r="AU607" s="1"/>
      <c r="AV607" s="1"/>
      <c r="AW607" s="1"/>
      <c r="AX607" s="1"/>
      <c r="AY607" s="1"/>
      <c r="AZ607" s="1"/>
      <c r="BA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Q607" s="1"/>
      <c r="BR607" s="1"/>
      <c r="BS607" s="1"/>
      <c r="BT607" s="1"/>
      <c r="BU607" s="1"/>
      <c r="BV607" s="1"/>
      <c r="BW607" s="1"/>
      <c r="BX607" s="1"/>
      <c r="BY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D607" s="1"/>
      <c r="GE607" s="1"/>
      <c r="GF607" s="1"/>
      <c r="GG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</row>
    <row r="608" spans="3:222" x14ac:dyDescent="0.3"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O608" s="1"/>
      <c r="AP608" s="1"/>
      <c r="AQ608" s="1"/>
      <c r="AR608" s="1"/>
      <c r="AS608" s="1"/>
      <c r="AU608" s="1"/>
      <c r="AV608" s="1"/>
      <c r="AW608" s="1"/>
      <c r="AX608" s="1"/>
      <c r="AY608" s="1"/>
      <c r="AZ608" s="1"/>
      <c r="BA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Q608" s="1"/>
      <c r="BR608" s="1"/>
      <c r="BS608" s="1"/>
      <c r="BT608" s="1"/>
      <c r="BU608" s="1"/>
      <c r="BV608" s="1"/>
      <c r="BW608" s="1"/>
      <c r="BX608" s="1"/>
      <c r="BY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D608" s="1"/>
      <c r="GE608" s="1"/>
      <c r="GF608" s="1"/>
      <c r="GG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</row>
    <row r="609" spans="3:222" x14ac:dyDescent="0.3"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O609" s="1"/>
      <c r="AP609" s="1"/>
      <c r="AQ609" s="1"/>
      <c r="AR609" s="1"/>
      <c r="AS609" s="1"/>
      <c r="AU609" s="1"/>
      <c r="AV609" s="1"/>
      <c r="AW609" s="1"/>
      <c r="AX609" s="1"/>
      <c r="AY609" s="1"/>
      <c r="AZ609" s="1"/>
      <c r="BA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Q609" s="1"/>
      <c r="BR609" s="1"/>
      <c r="BS609" s="1"/>
      <c r="BT609" s="1"/>
      <c r="BU609" s="1"/>
      <c r="BV609" s="1"/>
      <c r="BW609" s="1"/>
      <c r="BX609" s="1"/>
      <c r="BY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D609" s="1"/>
      <c r="GE609" s="1"/>
      <c r="GF609" s="1"/>
      <c r="GG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</row>
    <row r="610" spans="3:222" x14ac:dyDescent="0.3"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O610" s="1"/>
      <c r="AP610" s="1"/>
      <c r="AQ610" s="1"/>
      <c r="AR610" s="1"/>
      <c r="AS610" s="1"/>
      <c r="AU610" s="1"/>
      <c r="AV610" s="1"/>
      <c r="AW610" s="1"/>
      <c r="AX610" s="1"/>
      <c r="AY610" s="1"/>
      <c r="AZ610" s="1"/>
      <c r="BA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Q610" s="1"/>
      <c r="BR610" s="1"/>
      <c r="BS610" s="1"/>
      <c r="BT610" s="1"/>
      <c r="BU610" s="1"/>
      <c r="BV610" s="1"/>
      <c r="BW610" s="1"/>
      <c r="BX610" s="1"/>
      <c r="BY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D610" s="1"/>
      <c r="GE610" s="1"/>
      <c r="GF610" s="1"/>
      <c r="GG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</row>
    <row r="611" spans="3:222" x14ac:dyDescent="0.3"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O611" s="1"/>
      <c r="AP611" s="1"/>
      <c r="AQ611" s="1"/>
      <c r="AR611" s="1"/>
      <c r="AS611" s="1"/>
      <c r="AU611" s="1"/>
      <c r="AV611" s="1"/>
      <c r="AW611" s="1"/>
      <c r="AX611" s="1"/>
      <c r="AY611" s="1"/>
      <c r="AZ611" s="1"/>
      <c r="BA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Q611" s="1"/>
      <c r="BR611" s="1"/>
      <c r="BS611" s="1"/>
      <c r="BT611" s="1"/>
      <c r="BU611" s="1"/>
      <c r="BV611" s="1"/>
      <c r="BW611" s="1"/>
      <c r="BX611" s="1"/>
      <c r="BY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D611" s="1"/>
      <c r="GE611" s="1"/>
      <c r="GF611" s="1"/>
      <c r="GG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</row>
    <row r="612" spans="3:222" x14ac:dyDescent="0.3"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O612" s="1"/>
      <c r="AP612" s="1"/>
      <c r="AQ612" s="1"/>
      <c r="AR612" s="1"/>
      <c r="AS612" s="1"/>
      <c r="AU612" s="1"/>
      <c r="AV612" s="1"/>
      <c r="AW612" s="1"/>
      <c r="AX612" s="1"/>
      <c r="AY612" s="1"/>
      <c r="AZ612" s="1"/>
      <c r="BA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Q612" s="1"/>
      <c r="BR612" s="1"/>
      <c r="BS612" s="1"/>
      <c r="BT612" s="1"/>
      <c r="BU612" s="1"/>
      <c r="BV612" s="1"/>
      <c r="BW612" s="1"/>
      <c r="BX612" s="1"/>
      <c r="BY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D612" s="1"/>
      <c r="GE612" s="1"/>
      <c r="GF612" s="1"/>
      <c r="GG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</row>
    <row r="613" spans="3:222" x14ac:dyDescent="0.3"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O613" s="1"/>
      <c r="AP613" s="1"/>
      <c r="AQ613" s="1"/>
      <c r="AR613" s="1"/>
      <c r="AS613" s="1"/>
      <c r="AU613" s="1"/>
      <c r="AV613" s="1"/>
      <c r="AW613" s="1"/>
      <c r="AX613" s="1"/>
      <c r="AY613" s="1"/>
      <c r="AZ613" s="1"/>
      <c r="BA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Q613" s="1"/>
      <c r="BR613" s="1"/>
      <c r="BS613" s="1"/>
      <c r="BT613" s="1"/>
      <c r="BU613" s="1"/>
      <c r="BV613" s="1"/>
      <c r="BW613" s="1"/>
      <c r="BX613" s="1"/>
      <c r="BY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D613" s="1"/>
      <c r="GE613" s="1"/>
      <c r="GF613" s="1"/>
      <c r="GG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</row>
    <row r="614" spans="3:222" x14ac:dyDescent="0.3"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O614" s="1"/>
      <c r="AP614" s="1"/>
      <c r="AQ614" s="1"/>
      <c r="AR614" s="1"/>
      <c r="AS614" s="1"/>
      <c r="AU614" s="1"/>
      <c r="AV614" s="1"/>
      <c r="AW614" s="1"/>
      <c r="AX614" s="1"/>
      <c r="AY614" s="1"/>
      <c r="AZ614" s="1"/>
      <c r="BA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Q614" s="1"/>
      <c r="BR614" s="1"/>
      <c r="BS614" s="1"/>
      <c r="BT614" s="1"/>
      <c r="BU614" s="1"/>
      <c r="BV614" s="1"/>
      <c r="BW614" s="1"/>
      <c r="BX614" s="1"/>
      <c r="BY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D614" s="1"/>
      <c r="GE614" s="1"/>
      <c r="GF614" s="1"/>
      <c r="GG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</row>
    <row r="615" spans="3:222" x14ac:dyDescent="0.3"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O615" s="1"/>
      <c r="AP615" s="1"/>
      <c r="AQ615" s="1"/>
      <c r="AR615" s="1"/>
      <c r="AS615" s="1"/>
      <c r="AU615" s="1"/>
      <c r="AV615" s="1"/>
      <c r="AW615" s="1"/>
      <c r="AX615" s="1"/>
      <c r="AY615" s="1"/>
      <c r="AZ615" s="1"/>
      <c r="BA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Q615" s="1"/>
      <c r="BR615" s="1"/>
      <c r="BS615" s="1"/>
      <c r="BT615" s="1"/>
      <c r="BU615" s="1"/>
      <c r="BV615" s="1"/>
      <c r="BW615" s="1"/>
      <c r="BX615" s="1"/>
      <c r="BY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D615" s="1"/>
      <c r="GE615" s="1"/>
      <c r="GF615" s="1"/>
      <c r="GG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</row>
    <row r="616" spans="3:222" x14ac:dyDescent="0.3"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O616" s="1"/>
      <c r="AP616" s="1"/>
      <c r="AQ616" s="1"/>
      <c r="AR616" s="1"/>
      <c r="AS616" s="1"/>
      <c r="AU616" s="1"/>
      <c r="AV616" s="1"/>
      <c r="AW616" s="1"/>
      <c r="AX616" s="1"/>
      <c r="AY616" s="1"/>
      <c r="AZ616" s="1"/>
      <c r="BA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Q616" s="1"/>
      <c r="BR616" s="1"/>
      <c r="BS616" s="1"/>
      <c r="BT616" s="1"/>
      <c r="BU616" s="1"/>
      <c r="BV616" s="1"/>
      <c r="BW616" s="1"/>
      <c r="BX616" s="1"/>
      <c r="BY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D616" s="1"/>
      <c r="GE616" s="1"/>
      <c r="GF616" s="1"/>
      <c r="GG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</row>
    <row r="617" spans="3:222" x14ac:dyDescent="0.3"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O617" s="1"/>
      <c r="AP617" s="1"/>
      <c r="AQ617" s="1"/>
      <c r="AR617" s="1"/>
      <c r="AS617" s="1"/>
      <c r="AU617" s="1"/>
      <c r="AV617" s="1"/>
      <c r="AW617" s="1"/>
      <c r="AX617" s="1"/>
      <c r="AY617" s="1"/>
      <c r="AZ617" s="1"/>
      <c r="BA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Q617" s="1"/>
      <c r="BR617" s="1"/>
      <c r="BS617" s="1"/>
      <c r="BT617" s="1"/>
      <c r="BU617" s="1"/>
      <c r="BV617" s="1"/>
      <c r="BW617" s="1"/>
      <c r="BX617" s="1"/>
      <c r="BY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D617" s="1"/>
      <c r="GE617" s="1"/>
      <c r="GF617" s="1"/>
      <c r="GG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</row>
    <row r="618" spans="3:222" x14ac:dyDescent="0.3"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O618" s="1"/>
      <c r="AP618" s="1"/>
      <c r="AQ618" s="1"/>
      <c r="AR618" s="1"/>
      <c r="AS618" s="1"/>
      <c r="AU618" s="1"/>
      <c r="AV618" s="1"/>
      <c r="AW618" s="1"/>
      <c r="AX618" s="1"/>
      <c r="AY618" s="1"/>
      <c r="AZ618" s="1"/>
      <c r="BA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Q618" s="1"/>
      <c r="BR618" s="1"/>
      <c r="BS618" s="1"/>
      <c r="BT618" s="1"/>
      <c r="BU618" s="1"/>
      <c r="BV618" s="1"/>
      <c r="BW618" s="1"/>
      <c r="BX618" s="1"/>
      <c r="BY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D618" s="1"/>
      <c r="GE618" s="1"/>
      <c r="GF618" s="1"/>
      <c r="GG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</row>
    <row r="619" spans="3:222" x14ac:dyDescent="0.3"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O619" s="1"/>
      <c r="AP619" s="1"/>
      <c r="AQ619" s="1"/>
      <c r="AR619" s="1"/>
      <c r="AS619" s="1"/>
      <c r="AU619" s="1"/>
      <c r="AV619" s="1"/>
      <c r="AW619" s="1"/>
      <c r="AX619" s="1"/>
      <c r="AY619" s="1"/>
      <c r="AZ619" s="1"/>
      <c r="BA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Q619" s="1"/>
      <c r="BR619" s="1"/>
      <c r="BS619" s="1"/>
      <c r="BT619" s="1"/>
      <c r="BU619" s="1"/>
      <c r="BV619" s="1"/>
      <c r="BW619" s="1"/>
      <c r="BX619" s="1"/>
      <c r="BY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D619" s="1"/>
      <c r="GE619" s="1"/>
      <c r="GF619" s="1"/>
      <c r="GG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</row>
    <row r="620" spans="3:222" x14ac:dyDescent="0.3"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O620" s="1"/>
      <c r="AP620" s="1"/>
      <c r="AQ620" s="1"/>
      <c r="AR620" s="1"/>
      <c r="AS620" s="1"/>
      <c r="AU620" s="1"/>
      <c r="AV620" s="1"/>
      <c r="AW620" s="1"/>
      <c r="AX620" s="1"/>
      <c r="AY620" s="1"/>
      <c r="AZ620" s="1"/>
      <c r="BA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Q620" s="1"/>
      <c r="BR620" s="1"/>
      <c r="BS620" s="1"/>
      <c r="BT620" s="1"/>
      <c r="BU620" s="1"/>
      <c r="BV620" s="1"/>
      <c r="BW620" s="1"/>
      <c r="BX620" s="1"/>
      <c r="BY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D620" s="1"/>
      <c r="GE620" s="1"/>
      <c r="GF620" s="1"/>
      <c r="GG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</row>
    <row r="621" spans="3:222" x14ac:dyDescent="0.3"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O621" s="1"/>
      <c r="AP621" s="1"/>
      <c r="AQ621" s="1"/>
      <c r="AR621" s="1"/>
      <c r="AS621" s="1"/>
      <c r="AU621" s="1"/>
      <c r="AV621" s="1"/>
      <c r="AW621" s="1"/>
      <c r="AX621" s="1"/>
      <c r="AY621" s="1"/>
      <c r="AZ621" s="1"/>
      <c r="BA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Q621" s="1"/>
      <c r="BR621" s="1"/>
      <c r="BS621" s="1"/>
      <c r="BT621" s="1"/>
      <c r="BU621" s="1"/>
      <c r="BV621" s="1"/>
      <c r="BW621" s="1"/>
      <c r="BX621" s="1"/>
      <c r="BY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D621" s="1"/>
      <c r="GE621" s="1"/>
      <c r="GF621" s="1"/>
      <c r="GG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</row>
    <row r="622" spans="3:222" x14ac:dyDescent="0.3"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O622" s="1"/>
      <c r="AP622" s="1"/>
      <c r="AQ622" s="1"/>
      <c r="AR622" s="1"/>
      <c r="AS622" s="1"/>
      <c r="AU622" s="1"/>
      <c r="AV622" s="1"/>
      <c r="AW622" s="1"/>
      <c r="AX622" s="1"/>
      <c r="AY622" s="1"/>
      <c r="AZ622" s="1"/>
      <c r="BA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Q622" s="1"/>
      <c r="BR622" s="1"/>
      <c r="BS622" s="1"/>
      <c r="BT622" s="1"/>
      <c r="BU622" s="1"/>
      <c r="BV622" s="1"/>
      <c r="BW622" s="1"/>
      <c r="BX622" s="1"/>
      <c r="BY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D622" s="1"/>
      <c r="GE622" s="1"/>
      <c r="GF622" s="1"/>
      <c r="GG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</row>
    <row r="623" spans="3:222" x14ac:dyDescent="0.3"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O623" s="1"/>
      <c r="AP623" s="1"/>
      <c r="AQ623" s="1"/>
      <c r="AR623" s="1"/>
      <c r="AS623" s="1"/>
      <c r="AU623" s="1"/>
      <c r="AV623" s="1"/>
      <c r="AW623" s="1"/>
      <c r="AX623" s="1"/>
      <c r="AY623" s="1"/>
      <c r="AZ623" s="1"/>
      <c r="BA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Q623" s="1"/>
      <c r="BR623" s="1"/>
      <c r="BS623" s="1"/>
      <c r="BT623" s="1"/>
      <c r="BU623" s="1"/>
      <c r="BV623" s="1"/>
      <c r="BW623" s="1"/>
      <c r="BX623" s="1"/>
      <c r="BY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D623" s="1"/>
      <c r="GE623" s="1"/>
      <c r="GF623" s="1"/>
      <c r="GG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</row>
    <row r="624" spans="3:222" x14ac:dyDescent="0.3"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O624" s="1"/>
      <c r="AP624" s="1"/>
      <c r="AQ624" s="1"/>
      <c r="AR624" s="1"/>
      <c r="AS624" s="1"/>
      <c r="AU624" s="1"/>
      <c r="AV624" s="1"/>
      <c r="AW624" s="1"/>
      <c r="AX624" s="1"/>
      <c r="AY624" s="1"/>
      <c r="AZ624" s="1"/>
      <c r="BA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Q624" s="1"/>
      <c r="BR624" s="1"/>
      <c r="BS624" s="1"/>
      <c r="BT624" s="1"/>
      <c r="BU624" s="1"/>
      <c r="BV624" s="1"/>
      <c r="BW624" s="1"/>
      <c r="BX624" s="1"/>
      <c r="BY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D624" s="1"/>
      <c r="GE624" s="1"/>
      <c r="GF624" s="1"/>
      <c r="GG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</row>
    <row r="625" spans="3:222" x14ac:dyDescent="0.3"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O625" s="1"/>
      <c r="AP625" s="1"/>
      <c r="AQ625" s="1"/>
      <c r="AR625" s="1"/>
      <c r="AS625" s="1"/>
      <c r="AU625" s="1"/>
      <c r="AV625" s="1"/>
      <c r="AW625" s="1"/>
      <c r="AX625" s="1"/>
      <c r="AY625" s="1"/>
      <c r="AZ625" s="1"/>
      <c r="BA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Q625" s="1"/>
      <c r="BR625" s="1"/>
      <c r="BS625" s="1"/>
      <c r="BT625" s="1"/>
      <c r="BU625" s="1"/>
      <c r="BV625" s="1"/>
      <c r="BW625" s="1"/>
      <c r="BX625" s="1"/>
      <c r="BY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D625" s="1"/>
      <c r="GE625" s="1"/>
      <c r="GF625" s="1"/>
      <c r="GG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</row>
    <row r="626" spans="3:222" x14ac:dyDescent="0.3"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O626" s="1"/>
      <c r="AP626" s="1"/>
      <c r="AQ626" s="1"/>
      <c r="AR626" s="1"/>
      <c r="AS626" s="1"/>
      <c r="AU626" s="1"/>
      <c r="AV626" s="1"/>
      <c r="AW626" s="1"/>
      <c r="AX626" s="1"/>
      <c r="AY626" s="1"/>
      <c r="AZ626" s="1"/>
      <c r="BA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Q626" s="1"/>
      <c r="BR626" s="1"/>
      <c r="BS626" s="1"/>
      <c r="BT626" s="1"/>
      <c r="BU626" s="1"/>
      <c r="BV626" s="1"/>
      <c r="BW626" s="1"/>
      <c r="BX626" s="1"/>
      <c r="BY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D626" s="1"/>
      <c r="GE626" s="1"/>
      <c r="GF626" s="1"/>
      <c r="GG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</row>
    <row r="627" spans="3:222" x14ac:dyDescent="0.3"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O627" s="1"/>
      <c r="AP627" s="1"/>
      <c r="AQ627" s="1"/>
      <c r="AR627" s="1"/>
      <c r="AS627" s="1"/>
      <c r="AU627" s="1"/>
      <c r="AV627" s="1"/>
      <c r="AW627" s="1"/>
      <c r="AX627" s="1"/>
      <c r="AY627" s="1"/>
      <c r="AZ627" s="1"/>
      <c r="BA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Q627" s="1"/>
      <c r="BR627" s="1"/>
      <c r="BS627" s="1"/>
      <c r="BT627" s="1"/>
      <c r="BU627" s="1"/>
      <c r="BV627" s="1"/>
      <c r="BW627" s="1"/>
      <c r="BX627" s="1"/>
      <c r="BY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D627" s="1"/>
      <c r="GE627" s="1"/>
      <c r="GF627" s="1"/>
      <c r="GG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</row>
    <row r="628" spans="3:222" x14ac:dyDescent="0.3"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O628" s="1"/>
      <c r="AP628" s="1"/>
      <c r="AQ628" s="1"/>
      <c r="AR628" s="1"/>
      <c r="AS628" s="1"/>
      <c r="AU628" s="1"/>
      <c r="AV628" s="1"/>
      <c r="AW628" s="1"/>
      <c r="AX628" s="1"/>
      <c r="AY628" s="1"/>
      <c r="AZ628" s="1"/>
      <c r="BA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Q628" s="1"/>
      <c r="BR628" s="1"/>
      <c r="BS628" s="1"/>
      <c r="BT628" s="1"/>
      <c r="BU628" s="1"/>
      <c r="BV628" s="1"/>
      <c r="BW628" s="1"/>
      <c r="BX628" s="1"/>
      <c r="BY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D628" s="1"/>
      <c r="GE628" s="1"/>
      <c r="GF628" s="1"/>
      <c r="GG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</row>
    <row r="629" spans="3:222" x14ac:dyDescent="0.3"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O629" s="1"/>
      <c r="AP629" s="1"/>
      <c r="AQ629" s="1"/>
      <c r="AR629" s="1"/>
      <c r="AS629" s="1"/>
      <c r="AU629" s="1"/>
      <c r="AV629" s="1"/>
      <c r="AW629" s="1"/>
      <c r="AX629" s="1"/>
      <c r="AY629" s="1"/>
      <c r="AZ629" s="1"/>
      <c r="BA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Q629" s="1"/>
      <c r="BR629" s="1"/>
      <c r="BS629" s="1"/>
      <c r="BT629" s="1"/>
      <c r="BU629" s="1"/>
      <c r="BV629" s="1"/>
      <c r="BW629" s="1"/>
      <c r="BX629" s="1"/>
      <c r="BY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D629" s="1"/>
      <c r="GE629" s="1"/>
      <c r="GF629" s="1"/>
      <c r="GG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</row>
    <row r="630" spans="3:222" x14ac:dyDescent="0.3"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O630" s="1"/>
      <c r="AP630" s="1"/>
      <c r="AQ630" s="1"/>
      <c r="AR630" s="1"/>
      <c r="AS630" s="1"/>
      <c r="AU630" s="1"/>
      <c r="AV630" s="1"/>
      <c r="AW630" s="1"/>
      <c r="AX630" s="1"/>
      <c r="AY630" s="1"/>
      <c r="AZ630" s="1"/>
      <c r="BA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Q630" s="1"/>
      <c r="BR630" s="1"/>
      <c r="BS630" s="1"/>
      <c r="BT630" s="1"/>
      <c r="BU630" s="1"/>
      <c r="BV630" s="1"/>
      <c r="BW630" s="1"/>
      <c r="BX630" s="1"/>
      <c r="BY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D630" s="1"/>
      <c r="GE630" s="1"/>
      <c r="GF630" s="1"/>
      <c r="GG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</row>
    <row r="631" spans="3:222" x14ac:dyDescent="0.3"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O631" s="1"/>
      <c r="AP631" s="1"/>
      <c r="AQ631" s="1"/>
      <c r="AR631" s="1"/>
      <c r="AS631" s="1"/>
      <c r="AU631" s="1"/>
      <c r="AV631" s="1"/>
      <c r="AW631" s="1"/>
      <c r="AX631" s="1"/>
      <c r="AY631" s="1"/>
      <c r="AZ631" s="1"/>
      <c r="BA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Q631" s="1"/>
      <c r="BR631" s="1"/>
      <c r="BS631" s="1"/>
      <c r="BT631" s="1"/>
      <c r="BU631" s="1"/>
      <c r="BV631" s="1"/>
      <c r="BW631" s="1"/>
      <c r="BX631" s="1"/>
      <c r="BY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D631" s="1"/>
      <c r="GE631" s="1"/>
      <c r="GF631" s="1"/>
      <c r="GG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</row>
    <row r="632" spans="3:222" x14ac:dyDescent="0.3"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O632" s="1"/>
      <c r="AP632" s="1"/>
      <c r="AQ632" s="1"/>
      <c r="AR632" s="1"/>
      <c r="AS632" s="1"/>
      <c r="AU632" s="1"/>
      <c r="AV632" s="1"/>
      <c r="AW632" s="1"/>
      <c r="AX632" s="1"/>
      <c r="AY632" s="1"/>
      <c r="AZ632" s="1"/>
      <c r="BA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Q632" s="1"/>
      <c r="BR632" s="1"/>
      <c r="BS632" s="1"/>
      <c r="BT632" s="1"/>
      <c r="BU632" s="1"/>
      <c r="BV632" s="1"/>
      <c r="BW632" s="1"/>
      <c r="BX632" s="1"/>
      <c r="BY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D632" s="1"/>
      <c r="GE632" s="1"/>
      <c r="GF632" s="1"/>
      <c r="GG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</row>
    <row r="633" spans="3:222" x14ac:dyDescent="0.3"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O633" s="1"/>
      <c r="AP633" s="1"/>
      <c r="AQ633" s="1"/>
      <c r="AR633" s="1"/>
      <c r="AS633" s="1"/>
      <c r="AU633" s="1"/>
      <c r="AV633" s="1"/>
      <c r="AW633" s="1"/>
      <c r="AX633" s="1"/>
      <c r="AY633" s="1"/>
      <c r="AZ633" s="1"/>
      <c r="BA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Q633" s="1"/>
      <c r="BR633" s="1"/>
      <c r="BS633" s="1"/>
      <c r="BT633" s="1"/>
      <c r="BU633" s="1"/>
      <c r="BV633" s="1"/>
      <c r="BW633" s="1"/>
      <c r="BX633" s="1"/>
      <c r="BY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D633" s="1"/>
      <c r="GE633" s="1"/>
      <c r="GF633" s="1"/>
      <c r="GG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</row>
    <row r="634" spans="3:222" x14ac:dyDescent="0.3"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O634" s="1"/>
      <c r="AP634" s="1"/>
      <c r="AQ634" s="1"/>
      <c r="AR634" s="1"/>
      <c r="AS634" s="1"/>
      <c r="AU634" s="1"/>
      <c r="AV634" s="1"/>
      <c r="AW634" s="1"/>
      <c r="AX634" s="1"/>
      <c r="AY634" s="1"/>
      <c r="AZ634" s="1"/>
      <c r="BA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Q634" s="1"/>
      <c r="BR634" s="1"/>
      <c r="BS634" s="1"/>
      <c r="BT634" s="1"/>
      <c r="BU634" s="1"/>
      <c r="BV634" s="1"/>
      <c r="BW634" s="1"/>
      <c r="BX634" s="1"/>
      <c r="BY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D634" s="1"/>
      <c r="GE634" s="1"/>
      <c r="GF634" s="1"/>
      <c r="GG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</row>
    <row r="635" spans="3:222" x14ac:dyDescent="0.3"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O635" s="1"/>
      <c r="AP635" s="1"/>
      <c r="AQ635" s="1"/>
      <c r="AR635" s="1"/>
      <c r="AS635" s="1"/>
      <c r="AU635" s="1"/>
      <c r="AV635" s="1"/>
      <c r="AW635" s="1"/>
      <c r="AX635" s="1"/>
      <c r="AY635" s="1"/>
      <c r="AZ635" s="1"/>
      <c r="BA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Q635" s="1"/>
      <c r="BR635" s="1"/>
      <c r="BS635" s="1"/>
      <c r="BT635" s="1"/>
      <c r="BU635" s="1"/>
      <c r="BV635" s="1"/>
      <c r="BW635" s="1"/>
      <c r="BX635" s="1"/>
      <c r="BY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D635" s="1"/>
      <c r="GE635" s="1"/>
      <c r="GF635" s="1"/>
      <c r="GG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</row>
    <row r="636" spans="3:222" x14ac:dyDescent="0.3"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O636" s="1"/>
      <c r="AP636" s="1"/>
      <c r="AQ636" s="1"/>
      <c r="AR636" s="1"/>
      <c r="AS636" s="1"/>
      <c r="AU636" s="1"/>
      <c r="AV636" s="1"/>
      <c r="AW636" s="1"/>
      <c r="AX636" s="1"/>
      <c r="AY636" s="1"/>
      <c r="AZ636" s="1"/>
      <c r="BA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Q636" s="1"/>
      <c r="BR636" s="1"/>
      <c r="BS636" s="1"/>
      <c r="BT636" s="1"/>
      <c r="BU636" s="1"/>
      <c r="BV636" s="1"/>
      <c r="BW636" s="1"/>
      <c r="BX636" s="1"/>
      <c r="BY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D636" s="1"/>
      <c r="GE636" s="1"/>
      <c r="GF636" s="1"/>
      <c r="GG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</row>
    <row r="637" spans="3:222" x14ac:dyDescent="0.3"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O637" s="1"/>
      <c r="AP637" s="1"/>
      <c r="AQ637" s="1"/>
      <c r="AR637" s="1"/>
      <c r="AS637" s="1"/>
      <c r="AU637" s="1"/>
      <c r="AV637" s="1"/>
      <c r="AW637" s="1"/>
      <c r="AX637" s="1"/>
      <c r="AY637" s="1"/>
      <c r="AZ637" s="1"/>
      <c r="BA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Q637" s="1"/>
      <c r="BR637" s="1"/>
      <c r="BS637" s="1"/>
      <c r="BT637" s="1"/>
      <c r="BU637" s="1"/>
      <c r="BV637" s="1"/>
      <c r="BW637" s="1"/>
      <c r="BX637" s="1"/>
      <c r="BY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D637" s="1"/>
      <c r="GE637" s="1"/>
      <c r="GF637" s="1"/>
      <c r="GG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</row>
    <row r="638" spans="3:222" x14ac:dyDescent="0.3"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O638" s="1"/>
      <c r="AP638" s="1"/>
      <c r="AQ638" s="1"/>
      <c r="AR638" s="1"/>
      <c r="AS638" s="1"/>
      <c r="AU638" s="1"/>
      <c r="AV638" s="1"/>
      <c r="AW638" s="1"/>
      <c r="AX638" s="1"/>
      <c r="AY638" s="1"/>
      <c r="AZ638" s="1"/>
      <c r="BA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Q638" s="1"/>
      <c r="BR638" s="1"/>
      <c r="BS638" s="1"/>
      <c r="BT638" s="1"/>
      <c r="BU638" s="1"/>
      <c r="BV638" s="1"/>
      <c r="BW638" s="1"/>
      <c r="BX638" s="1"/>
      <c r="BY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D638" s="1"/>
      <c r="GE638" s="1"/>
      <c r="GF638" s="1"/>
      <c r="GG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</row>
    <row r="639" spans="3:222" x14ac:dyDescent="0.3"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O639" s="1"/>
      <c r="AP639" s="1"/>
      <c r="AQ639" s="1"/>
      <c r="AR639" s="1"/>
      <c r="AS639" s="1"/>
      <c r="AU639" s="1"/>
      <c r="AV639" s="1"/>
      <c r="AW639" s="1"/>
      <c r="AX639" s="1"/>
      <c r="AY639" s="1"/>
      <c r="AZ639" s="1"/>
      <c r="BA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Q639" s="1"/>
      <c r="BR639" s="1"/>
      <c r="BS639" s="1"/>
      <c r="BT639" s="1"/>
      <c r="BU639" s="1"/>
      <c r="BV639" s="1"/>
      <c r="BW639" s="1"/>
      <c r="BX639" s="1"/>
      <c r="BY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D639" s="1"/>
      <c r="GE639" s="1"/>
      <c r="GF639" s="1"/>
      <c r="GG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</row>
    <row r="640" spans="3:222" x14ac:dyDescent="0.3"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O640" s="1"/>
      <c r="AP640" s="1"/>
      <c r="AQ640" s="1"/>
      <c r="AR640" s="1"/>
      <c r="AS640" s="1"/>
      <c r="AU640" s="1"/>
      <c r="AV640" s="1"/>
      <c r="AW640" s="1"/>
      <c r="AX640" s="1"/>
      <c r="AY640" s="1"/>
      <c r="AZ640" s="1"/>
      <c r="BA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Q640" s="1"/>
      <c r="BR640" s="1"/>
      <c r="BS640" s="1"/>
      <c r="BT640" s="1"/>
      <c r="BU640" s="1"/>
      <c r="BV640" s="1"/>
      <c r="BW640" s="1"/>
      <c r="BX640" s="1"/>
      <c r="BY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D640" s="1"/>
      <c r="GE640" s="1"/>
      <c r="GF640" s="1"/>
      <c r="GG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</row>
    <row r="641" spans="3:222" x14ac:dyDescent="0.3"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O641" s="1"/>
      <c r="AP641" s="1"/>
      <c r="AQ641" s="1"/>
      <c r="AR641" s="1"/>
      <c r="AS641" s="1"/>
      <c r="AU641" s="1"/>
      <c r="AV641" s="1"/>
      <c r="AW641" s="1"/>
      <c r="AX641" s="1"/>
      <c r="AY641" s="1"/>
      <c r="AZ641" s="1"/>
      <c r="BA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Q641" s="1"/>
      <c r="BR641" s="1"/>
      <c r="BS641" s="1"/>
      <c r="BT641" s="1"/>
      <c r="BU641" s="1"/>
      <c r="BV641" s="1"/>
      <c r="BW641" s="1"/>
      <c r="BX641" s="1"/>
      <c r="BY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D641" s="1"/>
      <c r="GE641" s="1"/>
      <c r="GF641" s="1"/>
      <c r="GG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</row>
    <row r="642" spans="3:222" x14ac:dyDescent="0.3"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O642" s="1"/>
      <c r="AP642" s="1"/>
      <c r="AQ642" s="1"/>
      <c r="AR642" s="1"/>
      <c r="AS642" s="1"/>
      <c r="AU642" s="1"/>
      <c r="AV642" s="1"/>
      <c r="AW642" s="1"/>
      <c r="AX642" s="1"/>
      <c r="AY642" s="1"/>
      <c r="AZ642" s="1"/>
      <c r="BA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Q642" s="1"/>
      <c r="BR642" s="1"/>
      <c r="BS642" s="1"/>
      <c r="BT642" s="1"/>
      <c r="BU642" s="1"/>
      <c r="BV642" s="1"/>
      <c r="BW642" s="1"/>
      <c r="BX642" s="1"/>
      <c r="BY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D642" s="1"/>
      <c r="GE642" s="1"/>
      <c r="GF642" s="1"/>
      <c r="GG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</row>
    <row r="643" spans="3:222" x14ac:dyDescent="0.3"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O643" s="1"/>
      <c r="AP643" s="1"/>
      <c r="AQ643" s="1"/>
      <c r="AR643" s="1"/>
      <c r="AS643" s="1"/>
      <c r="AU643" s="1"/>
      <c r="AV643" s="1"/>
      <c r="AW643" s="1"/>
      <c r="AX643" s="1"/>
      <c r="AY643" s="1"/>
      <c r="AZ643" s="1"/>
      <c r="BA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Q643" s="1"/>
      <c r="BR643" s="1"/>
      <c r="BS643" s="1"/>
      <c r="BT643" s="1"/>
      <c r="BU643" s="1"/>
      <c r="BV643" s="1"/>
      <c r="BW643" s="1"/>
      <c r="BX643" s="1"/>
      <c r="BY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D643" s="1"/>
      <c r="GE643" s="1"/>
      <c r="GF643" s="1"/>
      <c r="GG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</row>
    <row r="644" spans="3:222" x14ac:dyDescent="0.3"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O644" s="1"/>
      <c r="AP644" s="1"/>
      <c r="AQ644" s="1"/>
      <c r="AR644" s="1"/>
      <c r="AS644" s="1"/>
      <c r="AU644" s="1"/>
      <c r="AV644" s="1"/>
      <c r="AW644" s="1"/>
      <c r="AX644" s="1"/>
      <c r="AY644" s="1"/>
      <c r="AZ644" s="1"/>
      <c r="BA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Q644" s="1"/>
      <c r="BR644" s="1"/>
      <c r="BS644" s="1"/>
      <c r="BT644" s="1"/>
      <c r="BU644" s="1"/>
      <c r="BV644" s="1"/>
      <c r="BW644" s="1"/>
      <c r="BX644" s="1"/>
      <c r="BY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D644" s="1"/>
      <c r="GE644" s="1"/>
      <c r="GF644" s="1"/>
      <c r="GG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</row>
    <row r="645" spans="3:222" x14ac:dyDescent="0.3"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O645" s="1"/>
      <c r="AP645" s="1"/>
      <c r="AQ645" s="1"/>
      <c r="AR645" s="1"/>
      <c r="AS645" s="1"/>
      <c r="AU645" s="1"/>
      <c r="AV645" s="1"/>
      <c r="AW645" s="1"/>
      <c r="AX645" s="1"/>
      <c r="AY645" s="1"/>
      <c r="AZ645" s="1"/>
      <c r="BA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Q645" s="1"/>
      <c r="BR645" s="1"/>
      <c r="BS645" s="1"/>
      <c r="BT645" s="1"/>
      <c r="BU645" s="1"/>
      <c r="BV645" s="1"/>
      <c r="BW645" s="1"/>
      <c r="BX645" s="1"/>
      <c r="BY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D645" s="1"/>
      <c r="GE645" s="1"/>
      <c r="GF645" s="1"/>
      <c r="GG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</row>
    <row r="646" spans="3:222" x14ac:dyDescent="0.3"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O646" s="1"/>
      <c r="AP646" s="1"/>
      <c r="AQ646" s="1"/>
      <c r="AR646" s="1"/>
      <c r="AS646" s="1"/>
      <c r="AU646" s="1"/>
      <c r="AV646" s="1"/>
      <c r="AW646" s="1"/>
      <c r="AX646" s="1"/>
      <c r="AY646" s="1"/>
      <c r="AZ646" s="1"/>
      <c r="BA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Q646" s="1"/>
      <c r="BR646" s="1"/>
      <c r="BS646" s="1"/>
      <c r="BT646" s="1"/>
      <c r="BU646" s="1"/>
      <c r="BV646" s="1"/>
      <c r="BW646" s="1"/>
      <c r="BX646" s="1"/>
      <c r="BY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D646" s="1"/>
      <c r="GE646" s="1"/>
      <c r="GF646" s="1"/>
      <c r="GG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</row>
    <row r="647" spans="3:222" x14ac:dyDescent="0.3"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O647" s="1"/>
      <c r="AP647" s="1"/>
      <c r="AQ647" s="1"/>
      <c r="AR647" s="1"/>
      <c r="AS647" s="1"/>
      <c r="AU647" s="1"/>
      <c r="AV647" s="1"/>
      <c r="AW647" s="1"/>
      <c r="AX647" s="1"/>
      <c r="AY647" s="1"/>
      <c r="AZ647" s="1"/>
      <c r="BA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Q647" s="1"/>
      <c r="BR647" s="1"/>
      <c r="BS647" s="1"/>
      <c r="BT647" s="1"/>
      <c r="BU647" s="1"/>
      <c r="BV647" s="1"/>
      <c r="BW647" s="1"/>
      <c r="BX647" s="1"/>
      <c r="BY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D647" s="1"/>
      <c r="GE647" s="1"/>
      <c r="GF647" s="1"/>
      <c r="GG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</row>
    <row r="648" spans="3:222" x14ac:dyDescent="0.3"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O648" s="1"/>
      <c r="AP648" s="1"/>
      <c r="AQ648" s="1"/>
      <c r="AR648" s="1"/>
      <c r="AS648" s="1"/>
      <c r="AU648" s="1"/>
      <c r="AV648" s="1"/>
      <c r="AW648" s="1"/>
      <c r="AX648" s="1"/>
      <c r="AY648" s="1"/>
      <c r="AZ648" s="1"/>
      <c r="BA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Q648" s="1"/>
      <c r="BR648" s="1"/>
      <c r="BS648" s="1"/>
      <c r="BT648" s="1"/>
      <c r="BU648" s="1"/>
      <c r="BV648" s="1"/>
      <c r="BW648" s="1"/>
      <c r="BX648" s="1"/>
      <c r="BY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D648" s="1"/>
      <c r="GE648" s="1"/>
      <c r="GF648" s="1"/>
      <c r="GG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</row>
    <row r="649" spans="3:222" x14ac:dyDescent="0.3"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O649" s="1"/>
      <c r="AP649" s="1"/>
      <c r="AQ649" s="1"/>
      <c r="AR649" s="1"/>
      <c r="AS649" s="1"/>
      <c r="AU649" s="1"/>
      <c r="AV649" s="1"/>
      <c r="AW649" s="1"/>
      <c r="AX649" s="1"/>
      <c r="AY649" s="1"/>
      <c r="AZ649" s="1"/>
      <c r="BA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Q649" s="1"/>
      <c r="BR649" s="1"/>
      <c r="BS649" s="1"/>
      <c r="BT649" s="1"/>
      <c r="BU649" s="1"/>
      <c r="BV649" s="1"/>
      <c r="BW649" s="1"/>
      <c r="BX649" s="1"/>
      <c r="BY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D649" s="1"/>
      <c r="GE649" s="1"/>
      <c r="GF649" s="1"/>
      <c r="GG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</row>
    <row r="650" spans="3:222" x14ac:dyDescent="0.3"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O650" s="1"/>
      <c r="AP650" s="1"/>
      <c r="AQ650" s="1"/>
      <c r="AR650" s="1"/>
      <c r="AS650" s="1"/>
      <c r="AU650" s="1"/>
      <c r="AV650" s="1"/>
      <c r="AW650" s="1"/>
      <c r="AX650" s="1"/>
      <c r="AY650" s="1"/>
      <c r="AZ650" s="1"/>
      <c r="BA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Q650" s="1"/>
      <c r="BR650" s="1"/>
      <c r="BS650" s="1"/>
      <c r="BT650" s="1"/>
      <c r="BU650" s="1"/>
      <c r="BV650" s="1"/>
      <c r="BW650" s="1"/>
      <c r="BX650" s="1"/>
      <c r="BY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D650" s="1"/>
      <c r="GE650" s="1"/>
      <c r="GF650" s="1"/>
      <c r="GG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</row>
    <row r="651" spans="3:222" x14ac:dyDescent="0.3"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O651" s="1"/>
      <c r="AP651" s="1"/>
      <c r="AQ651" s="1"/>
      <c r="AR651" s="1"/>
      <c r="AS651" s="1"/>
      <c r="AU651" s="1"/>
      <c r="AV651" s="1"/>
      <c r="AW651" s="1"/>
      <c r="AX651" s="1"/>
      <c r="AY651" s="1"/>
      <c r="AZ651" s="1"/>
      <c r="BA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Q651" s="1"/>
      <c r="BR651" s="1"/>
      <c r="BS651" s="1"/>
      <c r="BT651" s="1"/>
      <c r="BU651" s="1"/>
      <c r="BV651" s="1"/>
      <c r="BW651" s="1"/>
      <c r="BX651" s="1"/>
      <c r="BY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D651" s="1"/>
      <c r="GE651" s="1"/>
      <c r="GF651" s="1"/>
      <c r="GG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</row>
    <row r="652" spans="3:222" x14ac:dyDescent="0.3"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O652" s="1"/>
      <c r="AP652" s="1"/>
      <c r="AQ652" s="1"/>
      <c r="AR652" s="1"/>
      <c r="AS652" s="1"/>
      <c r="AU652" s="1"/>
      <c r="AV652" s="1"/>
      <c r="AW652" s="1"/>
      <c r="AX652" s="1"/>
      <c r="AY652" s="1"/>
      <c r="AZ652" s="1"/>
      <c r="BA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Q652" s="1"/>
      <c r="BR652" s="1"/>
      <c r="BS652" s="1"/>
      <c r="BT652" s="1"/>
      <c r="BU652" s="1"/>
      <c r="BV652" s="1"/>
      <c r="BW652" s="1"/>
      <c r="BX652" s="1"/>
      <c r="BY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D652" s="1"/>
      <c r="GE652" s="1"/>
      <c r="GF652" s="1"/>
      <c r="GG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</row>
    <row r="653" spans="3:222" x14ac:dyDescent="0.3"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O653" s="1"/>
      <c r="AP653" s="1"/>
      <c r="AQ653" s="1"/>
      <c r="AR653" s="1"/>
      <c r="AS653" s="1"/>
      <c r="AU653" s="1"/>
      <c r="AV653" s="1"/>
      <c r="AW653" s="1"/>
      <c r="AX653" s="1"/>
      <c r="AY653" s="1"/>
      <c r="AZ653" s="1"/>
      <c r="BA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Q653" s="1"/>
      <c r="BR653" s="1"/>
      <c r="BS653" s="1"/>
      <c r="BT653" s="1"/>
      <c r="BU653" s="1"/>
      <c r="BV653" s="1"/>
      <c r="BW653" s="1"/>
      <c r="BX653" s="1"/>
      <c r="BY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D653" s="1"/>
      <c r="GE653" s="1"/>
      <c r="GF653" s="1"/>
      <c r="GG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</row>
    <row r="654" spans="3:222" x14ac:dyDescent="0.3"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O654" s="1"/>
      <c r="AP654" s="1"/>
      <c r="AQ654" s="1"/>
      <c r="AR654" s="1"/>
      <c r="AS654" s="1"/>
      <c r="AU654" s="1"/>
      <c r="AV654" s="1"/>
      <c r="AW654" s="1"/>
      <c r="AX654" s="1"/>
      <c r="AY654" s="1"/>
      <c r="AZ654" s="1"/>
      <c r="BA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Q654" s="1"/>
      <c r="BR654" s="1"/>
      <c r="BS654" s="1"/>
      <c r="BT654" s="1"/>
      <c r="BU654" s="1"/>
      <c r="BV654" s="1"/>
      <c r="BW654" s="1"/>
      <c r="BX654" s="1"/>
      <c r="BY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D654" s="1"/>
      <c r="GE654" s="1"/>
      <c r="GF654" s="1"/>
      <c r="GG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</row>
    <row r="655" spans="3:222" x14ac:dyDescent="0.3"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O655" s="1"/>
      <c r="AP655" s="1"/>
      <c r="AQ655" s="1"/>
      <c r="AR655" s="1"/>
      <c r="AS655" s="1"/>
      <c r="AU655" s="1"/>
      <c r="AV655" s="1"/>
      <c r="AW655" s="1"/>
      <c r="AX655" s="1"/>
      <c r="AY655" s="1"/>
      <c r="AZ655" s="1"/>
      <c r="BA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Q655" s="1"/>
      <c r="BR655" s="1"/>
      <c r="BS655" s="1"/>
      <c r="BT655" s="1"/>
      <c r="BU655" s="1"/>
      <c r="BV655" s="1"/>
      <c r="BW655" s="1"/>
      <c r="BX655" s="1"/>
      <c r="BY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D655" s="1"/>
      <c r="GE655" s="1"/>
      <c r="GF655" s="1"/>
      <c r="GG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</row>
    <row r="656" spans="3:222" x14ac:dyDescent="0.3"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O656" s="1"/>
      <c r="AP656" s="1"/>
      <c r="AQ656" s="1"/>
      <c r="AR656" s="1"/>
      <c r="AS656" s="1"/>
      <c r="AU656" s="1"/>
      <c r="AV656" s="1"/>
      <c r="AW656" s="1"/>
      <c r="AX656" s="1"/>
      <c r="AY656" s="1"/>
      <c r="AZ656" s="1"/>
      <c r="BA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Q656" s="1"/>
      <c r="BR656" s="1"/>
      <c r="BS656" s="1"/>
      <c r="BT656" s="1"/>
      <c r="BU656" s="1"/>
      <c r="BV656" s="1"/>
      <c r="BW656" s="1"/>
      <c r="BX656" s="1"/>
      <c r="BY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D656" s="1"/>
      <c r="GE656" s="1"/>
      <c r="GF656" s="1"/>
      <c r="GG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</row>
    <row r="657" spans="3:222" x14ac:dyDescent="0.3"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O657" s="1"/>
      <c r="AP657" s="1"/>
      <c r="AQ657" s="1"/>
      <c r="AR657" s="1"/>
      <c r="AS657" s="1"/>
      <c r="AU657" s="1"/>
      <c r="AV657" s="1"/>
      <c r="AW657" s="1"/>
      <c r="AX657" s="1"/>
      <c r="AY657" s="1"/>
      <c r="AZ657" s="1"/>
      <c r="BA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Q657" s="1"/>
      <c r="BR657" s="1"/>
      <c r="BS657" s="1"/>
      <c r="BT657" s="1"/>
      <c r="BU657" s="1"/>
      <c r="BV657" s="1"/>
      <c r="BW657" s="1"/>
      <c r="BX657" s="1"/>
      <c r="BY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D657" s="1"/>
      <c r="GE657" s="1"/>
      <c r="GF657" s="1"/>
      <c r="GG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</row>
    <row r="658" spans="3:222" x14ac:dyDescent="0.3"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O658" s="1"/>
      <c r="AP658" s="1"/>
      <c r="AQ658" s="1"/>
      <c r="AR658" s="1"/>
      <c r="AS658" s="1"/>
      <c r="AU658" s="1"/>
      <c r="AV658" s="1"/>
      <c r="AW658" s="1"/>
      <c r="AX658" s="1"/>
      <c r="AY658" s="1"/>
      <c r="AZ658" s="1"/>
      <c r="BA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Q658" s="1"/>
      <c r="BR658" s="1"/>
      <c r="BS658" s="1"/>
      <c r="BT658" s="1"/>
      <c r="BU658" s="1"/>
      <c r="BV658" s="1"/>
      <c r="BW658" s="1"/>
      <c r="BX658" s="1"/>
      <c r="BY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D658" s="1"/>
      <c r="GE658" s="1"/>
      <c r="GF658" s="1"/>
      <c r="GG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</row>
    <row r="659" spans="3:222" x14ac:dyDescent="0.3"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O659" s="1"/>
      <c r="AP659" s="1"/>
      <c r="AQ659" s="1"/>
      <c r="AR659" s="1"/>
      <c r="AS659" s="1"/>
      <c r="AU659" s="1"/>
      <c r="AV659" s="1"/>
      <c r="AW659" s="1"/>
      <c r="AX659" s="1"/>
      <c r="AY659" s="1"/>
      <c r="AZ659" s="1"/>
      <c r="BA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Q659" s="1"/>
      <c r="BR659" s="1"/>
      <c r="BS659" s="1"/>
      <c r="BT659" s="1"/>
      <c r="BU659" s="1"/>
      <c r="BV659" s="1"/>
      <c r="BW659" s="1"/>
      <c r="BX659" s="1"/>
      <c r="BY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D659" s="1"/>
      <c r="GE659" s="1"/>
      <c r="GF659" s="1"/>
      <c r="GG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</row>
    <row r="660" spans="3:222" x14ac:dyDescent="0.3"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O660" s="1"/>
      <c r="AP660" s="1"/>
      <c r="AQ660" s="1"/>
      <c r="AR660" s="1"/>
      <c r="AS660" s="1"/>
      <c r="AU660" s="1"/>
      <c r="AV660" s="1"/>
      <c r="AW660" s="1"/>
      <c r="AX660" s="1"/>
      <c r="AY660" s="1"/>
      <c r="AZ660" s="1"/>
      <c r="BA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Q660" s="1"/>
      <c r="BR660" s="1"/>
      <c r="BS660" s="1"/>
      <c r="BT660" s="1"/>
      <c r="BU660" s="1"/>
      <c r="BV660" s="1"/>
      <c r="BW660" s="1"/>
      <c r="BX660" s="1"/>
      <c r="BY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D660" s="1"/>
      <c r="GE660" s="1"/>
      <c r="GF660" s="1"/>
      <c r="GG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</row>
    <row r="661" spans="3:222" x14ac:dyDescent="0.3"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O661" s="1"/>
      <c r="AP661" s="1"/>
      <c r="AQ661" s="1"/>
      <c r="AR661" s="1"/>
      <c r="AS661" s="1"/>
      <c r="AU661" s="1"/>
      <c r="AV661" s="1"/>
      <c r="AW661" s="1"/>
      <c r="AX661" s="1"/>
      <c r="AY661" s="1"/>
      <c r="AZ661" s="1"/>
      <c r="BA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Q661" s="1"/>
      <c r="BR661" s="1"/>
      <c r="BS661" s="1"/>
      <c r="BT661" s="1"/>
      <c r="BU661" s="1"/>
      <c r="BV661" s="1"/>
      <c r="BW661" s="1"/>
      <c r="BX661" s="1"/>
      <c r="BY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D661" s="1"/>
      <c r="GE661" s="1"/>
      <c r="GF661" s="1"/>
      <c r="GG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</row>
    <row r="662" spans="3:222" x14ac:dyDescent="0.3"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O662" s="1"/>
      <c r="AP662" s="1"/>
      <c r="AQ662" s="1"/>
      <c r="AR662" s="1"/>
      <c r="AS662" s="1"/>
      <c r="AU662" s="1"/>
      <c r="AV662" s="1"/>
      <c r="AW662" s="1"/>
      <c r="AX662" s="1"/>
      <c r="AY662" s="1"/>
      <c r="AZ662" s="1"/>
      <c r="BA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Q662" s="1"/>
      <c r="BR662" s="1"/>
      <c r="BS662" s="1"/>
      <c r="BT662" s="1"/>
      <c r="BU662" s="1"/>
      <c r="BV662" s="1"/>
      <c r="BW662" s="1"/>
      <c r="BX662" s="1"/>
      <c r="BY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D662" s="1"/>
      <c r="GE662" s="1"/>
      <c r="GF662" s="1"/>
      <c r="GG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</row>
    <row r="663" spans="3:222" x14ac:dyDescent="0.3"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O663" s="1"/>
      <c r="AP663" s="1"/>
      <c r="AQ663" s="1"/>
      <c r="AR663" s="1"/>
      <c r="AS663" s="1"/>
      <c r="AU663" s="1"/>
      <c r="AV663" s="1"/>
      <c r="AW663" s="1"/>
      <c r="AX663" s="1"/>
      <c r="AY663" s="1"/>
      <c r="AZ663" s="1"/>
      <c r="BA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Q663" s="1"/>
      <c r="BR663" s="1"/>
      <c r="BS663" s="1"/>
      <c r="BT663" s="1"/>
      <c r="BU663" s="1"/>
      <c r="BV663" s="1"/>
      <c r="BW663" s="1"/>
      <c r="BX663" s="1"/>
      <c r="BY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D663" s="1"/>
      <c r="GE663" s="1"/>
      <c r="GF663" s="1"/>
      <c r="GG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</row>
    <row r="664" spans="3:222" x14ac:dyDescent="0.3"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O664" s="1"/>
      <c r="AP664" s="1"/>
      <c r="AQ664" s="1"/>
      <c r="AR664" s="1"/>
      <c r="AS664" s="1"/>
      <c r="AU664" s="1"/>
      <c r="AV664" s="1"/>
      <c r="AW664" s="1"/>
      <c r="AX664" s="1"/>
      <c r="AY664" s="1"/>
      <c r="AZ664" s="1"/>
      <c r="BA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Q664" s="1"/>
      <c r="BR664" s="1"/>
      <c r="BS664" s="1"/>
      <c r="BT664" s="1"/>
      <c r="BU664" s="1"/>
      <c r="BV664" s="1"/>
      <c r="BW664" s="1"/>
      <c r="BX664" s="1"/>
      <c r="BY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D664" s="1"/>
      <c r="GE664" s="1"/>
      <c r="GF664" s="1"/>
      <c r="GG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</row>
    <row r="665" spans="3:222" x14ac:dyDescent="0.3"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O665" s="1"/>
      <c r="AP665" s="1"/>
      <c r="AQ665" s="1"/>
      <c r="AR665" s="1"/>
      <c r="AS665" s="1"/>
      <c r="AU665" s="1"/>
      <c r="AV665" s="1"/>
      <c r="AW665" s="1"/>
      <c r="AX665" s="1"/>
      <c r="AY665" s="1"/>
      <c r="AZ665" s="1"/>
      <c r="BA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Q665" s="1"/>
      <c r="BR665" s="1"/>
      <c r="BS665" s="1"/>
      <c r="BT665" s="1"/>
      <c r="BU665" s="1"/>
      <c r="BV665" s="1"/>
      <c r="BW665" s="1"/>
      <c r="BX665" s="1"/>
      <c r="BY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D665" s="1"/>
      <c r="GE665" s="1"/>
      <c r="GF665" s="1"/>
      <c r="GG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</row>
    <row r="666" spans="3:222" x14ac:dyDescent="0.3"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O666" s="1"/>
      <c r="AP666" s="1"/>
      <c r="AQ666" s="1"/>
      <c r="AR666" s="1"/>
      <c r="AS666" s="1"/>
      <c r="AU666" s="1"/>
      <c r="AV666" s="1"/>
      <c r="AW666" s="1"/>
      <c r="AX666" s="1"/>
      <c r="AY666" s="1"/>
      <c r="AZ666" s="1"/>
      <c r="BA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Q666" s="1"/>
      <c r="BR666" s="1"/>
      <c r="BS666" s="1"/>
      <c r="BT666" s="1"/>
      <c r="BU666" s="1"/>
      <c r="BV666" s="1"/>
      <c r="BW666" s="1"/>
      <c r="BX666" s="1"/>
      <c r="BY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D666" s="1"/>
      <c r="GE666" s="1"/>
      <c r="GF666" s="1"/>
      <c r="GG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</row>
    <row r="667" spans="3:222" x14ac:dyDescent="0.3"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O667" s="1"/>
      <c r="AP667" s="1"/>
      <c r="AQ667" s="1"/>
      <c r="AR667" s="1"/>
      <c r="AS667" s="1"/>
      <c r="AU667" s="1"/>
      <c r="AV667" s="1"/>
      <c r="AW667" s="1"/>
      <c r="AX667" s="1"/>
      <c r="AY667" s="1"/>
      <c r="AZ667" s="1"/>
      <c r="BA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Q667" s="1"/>
      <c r="BR667" s="1"/>
      <c r="BS667" s="1"/>
      <c r="BT667" s="1"/>
      <c r="BU667" s="1"/>
      <c r="BV667" s="1"/>
      <c r="BW667" s="1"/>
      <c r="BX667" s="1"/>
      <c r="BY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D667" s="1"/>
      <c r="GE667" s="1"/>
      <c r="GF667" s="1"/>
      <c r="GG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</row>
    <row r="668" spans="3:222" x14ac:dyDescent="0.3"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O668" s="1"/>
      <c r="AP668" s="1"/>
      <c r="AQ668" s="1"/>
      <c r="AR668" s="1"/>
      <c r="AS668" s="1"/>
      <c r="AU668" s="1"/>
      <c r="AV668" s="1"/>
      <c r="AW668" s="1"/>
      <c r="AX668" s="1"/>
      <c r="AY668" s="1"/>
      <c r="AZ668" s="1"/>
      <c r="BA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Q668" s="1"/>
      <c r="BR668" s="1"/>
      <c r="BS668" s="1"/>
      <c r="BT668" s="1"/>
      <c r="BU668" s="1"/>
      <c r="BV668" s="1"/>
      <c r="BW668" s="1"/>
      <c r="BX668" s="1"/>
      <c r="BY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D668" s="1"/>
      <c r="GE668" s="1"/>
      <c r="GF668" s="1"/>
      <c r="GG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</row>
    <row r="669" spans="3:222" x14ac:dyDescent="0.3"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O669" s="1"/>
      <c r="AP669" s="1"/>
      <c r="AQ669" s="1"/>
      <c r="AR669" s="1"/>
      <c r="AS669" s="1"/>
      <c r="AU669" s="1"/>
      <c r="AV669" s="1"/>
      <c r="AW669" s="1"/>
      <c r="AX669" s="1"/>
      <c r="AY669" s="1"/>
      <c r="AZ669" s="1"/>
      <c r="BA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Q669" s="1"/>
      <c r="BR669" s="1"/>
      <c r="BS669" s="1"/>
      <c r="BT669" s="1"/>
      <c r="BU669" s="1"/>
      <c r="BV669" s="1"/>
      <c r="BW669" s="1"/>
      <c r="BX669" s="1"/>
      <c r="BY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D669" s="1"/>
      <c r="GE669" s="1"/>
      <c r="GF669" s="1"/>
      <c r="GG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</row>
    <row r="670" spans="3:222" x14ac:dyDescent="0.3"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O670" s="1"/>
      <c r="AP670" s="1"/>
      <c r="AQ670" s="1"/>
      <c r="AR670" s="1"/>
      <c r="AS670" s="1"/>
      <c r="AU670" s="1"/>
      <c r="AV670" s="1"/>
      <c r="AW670" s="1"/>
      <c r="AX670" s="1"/>
      <c r="AY670" s="1"/>
      <c r="AZ670" s="1"/>
      <c r="BA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Q670" s="1"/>
      <c r="BR670" s="1"/>
      <c r="BS670" s="1"/>
      <c r="BT670" s="1"/>
      <c r="BU670" s="1"/>
      <c r="BV670" s="1"/>
      <c r="BW670" s="1"/>
      <c r="BX670" s="1"/>
      <c r="BY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D670" s="1"/>
      <c r="GE670" s="1"/>
      <c r="GF670" s="1"/>
      <c r="GG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</row>
    <row r="671" spans="3:222" x14ac:dyDescent="0.3"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O671" s="1"/>
      <c r="AP671" s="1"/>
      <c r="AQ671" s="1"/>
      <c r="AR671" s="1"/>
      <c r="AS671" s="1"/>
      <c r="AU671" s="1"/>
      <c r="AV671" s="1"/>
      <c r="AW671" s="1"/>
      <c r="AX671" s="1"/>
      <c r="AY671" s="1"/>
      <c r="AZ671" s="1"/>
      <c r="BA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Q671" s="1"/>
      <c r="BR671" s="1"/>
      <c r="BS671" s="1"/>
      <c r="BT671" s="1"/>
      <c r="BU671" s="1"/>
      <c r="BV671" s="1"/>
      <c r="BW671" s="1"/>
      <c r="BX671" s="1"/>
      <c r="BY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D671" s="1"/>
      <c r="GE671" s="1"/>
      <c r="GF671" s="1"/>
      <c r="GG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</row>
    <row r="672" spans="3:222" x14ac:dyDescent="0.3"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O672" s="1"/>
      <c r="AP672" s="1"/>
      <c r="AQ672" s="1"/>
      <c r="AR672" s="1"/>
      <c r="AS672" s="1"/>
      <c r="AU672" s="1"/>
      <c r="AV672" s="1"/>
      <c r="AW672" s="1"/>
      <c r="AX672" s="1"/>
      <c r="AY672" s="1"/>
      <c r="AZ672" s="1"/>
      <c r="BA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Q672" s="1"/>
      <c r="BR672" s="1"/>
      <c r="BS672" s="1"/>
      <c r="BT672" s="1"/>
      <c r="BU672" s="1"/>
      <c r="BV672" s="1"/>
      <c r="BW672" s="1"/>
      <c r="BX672" s="1"/>
      <c r="BY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D672" s="1"/>
      <c r="GE672" s="1"/>
      <c r="GF672" s="1"/>
      <c r="GG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</row>
    <row r="673" spans="3:222" x14ac:dyDescent="0.3"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O673" s="1"/>
      <c r="AP673" s="1"/>
      <c r="AQ673" s="1"/>
      <c r="AR673" s="1"/>
      <c r="AS673" s="1"/>
      <c r="AU673" s="1"/>
      <c r="AV673" s="1"/>
      <c r="AW673" s="1"/>
      <c r="AX673" s="1"/>
      <c r="AY673" s="1"/>
      <c r="AZ673" s="1"/>
      <c r="BA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Q673" s="1"/>
      <c r="BR673" s="1"/>
      <c r="BS673" s="1"/>
      <c r="BT673" s="1"/>
      <c r="BU673" s="1"/>
      <c r="BV673" s="1"/>
      <c r="BW673" s="1"/>
      <c r="BX673" s="1"/>
      <c r="BY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D673" s="1"/>
      <c r="GE673" s="1"/>
      <c r="GF673" s="1"/>
      <c r="GG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</row>
    <row r="674" spans="3:222" x14ac:dyDescent="0.3"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O674" s="1"/>
      <c r="AP674" s="1"/>
      <c r="AQ674" s="1"/>
      <c r="AR674" s="1"/>
      <c r="AS674" s="1"/>
      <c r="AU674" s="1"/>
      <c r="AV674" s="1"/>
      <c r="AW674" s="1"/>
      <c r="AX674" s="1"/>
      <c r="AY674" s="1"/>
      <c r="AZ674" s="1"/>
      <c r="BA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Q674" s="1"/>
      <c r="BR674" s="1"/>
      <c r="BS674" s="1"/>
      <c r="BT674" s="1"/>
      <c r="BU674" s="1"/>
      <c r="BV674" s="1"/>
      <c r="BW674" s="1"/>
      <c r="BX674" s="1"/>
      <c r="BY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D674" s="1"/>
      <c r="GE674" s="1"/>
      <c r="GF674" s="1"/>
      <c r="GG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</row>
    <row r="675" spans="3:222" x14ac:dyDescent="0.3"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O675" s="1"/>
      <c r="AP675" s="1"/>
      <c r="AQ675" s="1"/>
      <c r="AR675" s="1"/>
      <c r="AS675" s="1"/>
      <c r="AU675" s="1"/>
      <c r="AV675" s="1"/>
      <c r="AW675" s="1"/>
      <c r="AX675" s="1"/>
      <c r="AY675" s="1"/>
      <c r="AZ675" s="1"/>
      <c r="BA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Q675" s="1"/>
      <c r="BR675" s="1"/>
      <c r="BS675" s="1"/>
      <c r="BT675" s="1"/>
      <c r="BU675" s="1"/>
      <c r="BV675" s="1"/>
      <c r="BW675" s="1"/>
      <c r="BX675" s="1"/>
      <c r="BY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D675" s="1"/>
      <c r="GE675" s="1"/>
      <c r="GF675" s="1"/>
      <c r="GG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</row>
    <row r="676" spans="3:222" x14ac:dyDescent="0.3"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O676" s="1"/>
      <c r="AP676" s="1"/>
      <c r="AQ676" s="1"/>
      <c r="AR676" s="1"/>
      <c r="AS676" s="1"/>
      <c r="AU676" s="1"/>
      <c r="AV676" s="1"/>
      <c r="AW676" s="1"/>
      <c r="AX676" s="1"/>
      <c r="AY676" s="1"/>
      <c r="AZ676" s="1"/>
      <c r="BA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Q676" s="1"/>
      <c r="BR676" s="1"/>
      <c r="BS676" s="1"/>
      <c r="BT676" s="1"/>
      <c r="BU676" s="1"/>
      <c r="BV676" s="1"/>
      <c r="BW676" s="1"/>
      <c r="BX676" s="1"/>
      <c r="BY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D676" s="1"/>
      <c r="GE676" s="1"/>
      <c r="GF676" s="1"/>
      <c r="GG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</row>
    <row r="677" spans="3:222" x14ac:dyDescent="0.3"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O677" s="1"/>
      <c r="AP677" s="1"/>
      <c r="AQ677" s="1"/>
      <c r="AR677" s="1"/>
      <c r="AS677" s="1"/>
      <c r="AU677" s="1"/>
      <c r="AV677" s="1"/>
      <c r="AW677" s="1"/>
      <c r="AX677" s="1"/>
      <c r="AY677" s="1"/>
      <c r="AZ677" s="1"/>
      <c r="BA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Q677" s="1"/>
      <c r="BR677" s="1"/>
      <c r="BS677" s="1"/>
      <c r="BT677" s="1"/>
      <c r="BU677" s="1"/>
      <c r="BV677" s="1"/>
      <c r="BW677" s="1"/>
      <c r="BX677" s="1"/>
      <c r="BY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D677" s="1"/>
      <c r="GE677" s="1"/>
      <c r="GF677" s="1"/>
      <c r="GG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</row>
    <row r="678" spans="3:222" x14ac:dyDescent="0.3"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O678" s="1"/>
      <c r="AP678" s="1"/>
      <c r="AQ678" s="1"/>
      <c r="AR678" s="1"/>
      <c r="AS678" s="1"/>
      <c r="AU678" s="1"/>
      <c r="AV678" s="1"/>
      <c r="AW678" s="1"/>
      <c r="AX678" s="1"/>
      <c r="AY678" s="1"/>
      <c r="AZ678" s="1"/>
      <c r="BA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Q678" s="1"/>
      <c r="BR678" s="1"/>
      <c r="BS678" s="1"/>
      <c r="BT678" s="1"/>
      <c r="BU678" s="1"/>
      <c r="BV678" s="1"/>
      <c r="BW678" s="1"/>
      <c r="BX678" s="1"/>
      <c r="BY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D678" s="1"/>
      <c r="GE678" s="1"/>
      <c r="GF678" s="1"/>
      <c r="GG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</row>
    <row r="679" spans="3:222" x14ac:dyDescent="0.3"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O679" s="1"/>
      <c r="AP679" s="1"/>
      <c r="AQ679" s="1"/>
      <c r="AR679" s="1"/>
      <c r="AS679" s="1"/>
      <c r="AU679" s="1"/>
      <c r="AV679" s="1"/>
      <c r="AW679" s="1"/>
      <c r="AX679" s="1"/>
      <c r="AY679" s="1"/>
      <c r="AZ679" s="1"/>
      <c r="BA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Q679" s="1"/>
      <c r="BR679" s="1"/>
      <c r="BS679" s="1"/>
      <c r="BT679" s="1"/>
      <c r="BU679" s="1"/>
      <c r="BV679" s="1"/>
      <c r="BW679" s="1"/>
      <c r="BX679" s="1"/>
      <c r="BY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D679" s="1"/>
      <c r="GE679" s="1"/>
      <c r="GF679" s="1"/>
      <c r="GG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</row>
    <row r="680" spans="3:222" x14ac:dyDescent="0.3"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O680" s="1"/>
      <c r="AP680" s="1"/>
      <c r="AQ680" s="1"/>
      <c r="AR680" s="1"/>
      <c r="AS680" s="1"/>
      <c r="AU680" s="1"/>
      <c r="AV680" s="1"/>
      <c r="AW680" s="1"/>
      <c r="AX680" s="1"/>
      <c r="AY680" s="1"/>
      <c r="AZ680" s="1"/>
      <c r="BA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Q680" s="1"/>
      <c r="BR680" s="1"/>
      <c r="BS680" s="1"/>
      <c r="BT680" s="1"/>
      <c r="BU680" s="1"/>
      <c r="BV680" s="1"/>
      <c r="BW680" s="1"/>
      <c r="BX680" s="1"/>
      <c r="BY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D680" s="1"/>
      <c r="GE680" s="1"/>
      <c r="GF680" s="1"/>
      <c r="GG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</row>
    <row r="681" spans="3:222" x14ac:dyDescent="0.3"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O681" s="1"/>
      <c r="AP681" s="1"/>
      <c r="AQ681" s="1"/>
      <c r="AR681" s="1"/>
      <c r="AS681" s="1"/>
      <c r="AU681" s="1"/>
      <c r="AV681" s="1"/>
      <c r="AW681" s="1"/>
      <c r="AX681" s="1"/>
      <c r="AY681" s="1"/>
      <c r="AZ681" s="1"/>
      <c r="BA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Q681" s="1"/>
      <c r="BR681" s="1"/>
      <c r="BS681" s="1"/>
      <c r="BT681" s="1"/>
      <c r="BU681" s="1"/>
      <c r="BV681" s="1"/>
      <c r="BW681" s="1"/>
      <c r="BX681" s="1"/>
      <c r="BY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D681" s="1"/>
      <c r="GE681" s="1"/>
      <c r="GF681" s="1"/>
      <c r="GG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</row>
    <row r="682" spans="3:222" x14ac:dyDescent="0.3"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O682" s="1"/>
      <c r="AP682" s="1"/>
      <c r="AQ682" s="1"/>
      <c r="AR682" s="1"/>
      <c r="AS682" s="1"/>
      <c r="AU682" s="1"/>
      <c r="AV682" s="1"/>
      <c r="AW682" s="1"/>
      <c r="AX682" s="1"/>
      <c r="AY682" s="1"/>
      <c r="AZ682" s="1"/>
      <c r="BA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Q682" s="1"/>
      <c r="BR682" s="1"/>
      <c r="BS682" s="1"/>
      <c r="BT682" s="1"/>
      <c r="BU682" s="1"/>
      <c r="BV682" s="1"/>
      <c r="BW682" s="1"/>
      <c r="BX682" s="1"/>
      <c r="BY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D682" s="1"/>
      <c r="GE682" s="1"/>
      <c r="GF682" s="1"/>
      <c r="GG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</row>
    <row r="683" spans="3:222" x14ac:dyDescent="0.3"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O683" s="1"/>
      <c r="AP683" s="1"/>
      <c r="AQ683" s="1"/>
      <c r="AR683" s="1"/>
      <c r="AS683" s="1"/>
      <c r="AU683" s="1"/>
      <c r="AV683" s="1"/>
      <c r="AW683" s="1"/>
      <c r="AX683" s="1"/>
      <c r="AY683" s="1"/>
      <c r="AZ683" s="1"/>
      <c r="BA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Q683" s="1"/>
      <c r="BR683" s="1"/>
      <c r="BS683" s="1"/>
      <c r="BT683" s="1"/>
      <c r="BU683" s="1"/>
      <c r="BV683" s="1"/>
      <c r="BW683" s="1"/>
      <c r="BX683" s="1"/>
      <c r="BY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D683" s="1"/>
      <c r="GE683" s="1"/>
      <c r="GF683" s="1"/>
      <c r="GG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</row>
    <row r="684" spans="3:222" x14ac:dyDescent="0.3"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O684" s="1"/>
      <c r="AP684" s="1"/>
      <c r="AQ684" s="1"/>
      <c r="AR684" s="1"/>
      <c r="AS684" s="1"/>
      <c r="AU684" s="1"/>
      <c r="AV684" s="1"/>
      <c r="AW684" s="1"/>
      <c r="AX684" s="1"/>
      <c r="AY684" s="1"/>
      <c r="AZ684" s="1"/>
      <c r="BA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Q684" s="1"/>
      <c r="BR684" s="1"/>
      <c r="BS684" s="1"/>
      <c r="BT684" s="1"/>
      <c r="BU684" s="1"/>
      <c r="BV684" s="1"/>
      <c r="BW684" s="1"/>
      <c r="BX684" s="1"/>
      <c r="BY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D684" s="1"/>
      <c r="GE684" s="1"/>
      <c r="GF684" s="1"/>
      <c r="GG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</row>
    <row r="685" spans="3:222" x14ac:dyDescent="0.3"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O685" s="1"/>
      <c r="AP685" s="1"/>
      <c r="AQ685" s="1"/>
      <c r="AR685" s="1"/>
      <c r="AS685" s="1"/>
      <c r="AU685" s="1"/>
      <c r="AV685" s="1"/>
      <c r="AW685" s="1"/>
      <c r="AX685" s="1"/>
      <c r="AY685" s="1"/>
      <c r="AZ685" s="1"/>
      <c r="BA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Q685" s="1"/>
      <c r="BR685" s="1"/>
      <c r="BS685" s="1"/>
      <c r="BT685" s="1"/>
      <c r="BU685" s="1"/>
      <c r="BV685" s="1"/>
      <c r="BW685" s="1"/>
      <c r="BX685" s="1"/>
      <c r="BY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D685" s="1"/>
      <c r="GE685" s="1"/>
      <c r="GF685" s="1"/>
      <c r="GG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</row>
    <row r="686" spans="3:222" x14ac:dyDescent="0.3"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O686" s="1"/>
      <c r="AP686" s="1"/>
      <c r="AQ686" s="1"/>
      <c r="AR686" s="1"/>
      <c r="AS686" s="1"/>
      <c r="AU686" s="1"/>
      <c r="AV686" s="1"/>
      <c r="AW686" s="1"/>
      <c r="AX686" s="1"/>
      <c r="AY686" s="1"/>
      <c r="AZ686" s="1"/>
      <c r="BA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Q686" s="1"/>
      <c r="BR686" s="1"/>
      <c r="BS686" s="1"/>
      <c r="BT686" s="1"/>
      <c r="BU686" s="1"/>
      <c r="BV686" s="1"/>
      <c r="BW686" s="1"/>
      <c r="BX686" s="1"/>
      <c r="BY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D686" s="1"/>
      <c r="GE686" s="1"/>
      <c r="GF686" s="1"/>
      <c r="GG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</row>
    <row r="687" spans="3:222" x14ac:dyDescent="0.3"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O687" s="1"/>
      <c r="AP687" s="1"/>
      <c r="AQ687" s="1"/>
      <c r="AR687" s="1"/>
      <c r="AS687" s="1"/>
      <c r="AU687" s="1"/>
      <c r="AV687" s="1"/>
      <c r="AW687" s="1"/>
      <c r="AX687" s="1"/>
      <c r="AY687" s="1"/>
      <c r="AZ687" s="1"/>
      <c r="BA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Q687" s="1"/>
      <c r="BR687" s="1"/>
      <c r="BS687" s="1"/>
      <c r="BT687" s="1"/>
      <c r="BU687" s="1"/>
      <c r="BV687" s="1"/>
      <c r="BW687" s="1"/>
      <c r="BX687" s="1"/>
      <c r="BY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D687" s="1"/>
      <c r="GE687" s="1"/>
      <c r="GF687" s="1"/>
      <c r="GG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</row>
    <row r="688" spans="3:222" x14ac:dyDescent="0.3"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O688" s="1"/>
      <c r="AP688" s="1"/>
      <c r="AQ688" s="1"/>
      <c r="AR688" s="1"/>
      <c r="AS688" s="1"/>
      <c r="AU688" s="1"/>
      <c r="AV688" s="1"/>
      <c r="AW688" s="1"/>
      <c r="AX688" s="1"/>
      <c r="AY688" s="1"/>
      <c r="AZ688" s="1"/>
      <c r="BA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Q688" s="1"/>
      <c r="BR688" s="1"/>
      <c r="BS688" s="1"/>
      <c r="BT688" s="1"/>
      <c r="BU688" s="1"/>
      <c r="BV688" s="1"/>
      <c r="BW688" s="1"/>
      <c r="BX688" s="1"/>
      <c r="BY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D688" s="1"/>
      <c r="GE688" s="1"/>
      <c r="GF688" s="1"/>
      <c r="GG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</row>
    <row r="689" spans="3:222" x14ac:dyDescent="0.3"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O689" s="1"/>
      <c r="AP689" s="1"/>
      <c r="AQ689" s="1"/>
      <c r="AR689" s="1"/>
      <c r="AS689" s="1"/>
      <c r="AU689" s="1"/>
      <c r="AV689" s="1"/>
      <c r="AW689" s="1"/>
      <c r="AX689" s="1"/>
      <c r="AY689" s="1"/>
      <c r="AZ689" s="1"/>
      <c r="BA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Q689" s="1"/>
      <c r="BR689" s="1"/>
      <c r="BS689" s="1"/>
      <c r="BT689" s="1"/>
      <c r="BU689" s="1"/>
      <c r="BV689" s="1"/>
      <c r="BW689" s="1"/>
      <c r="BX689" s="1"/>
      <c r="BY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D689" s="1"/>
      <c r="GE689" s="1"/>
      <c r="GF689" s="1"/>
      <c r="GG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</row>
    <row r="690" spans="3:222" x14ac:dyDescent="0.3"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O690" s="1"/>
      <c r="AP690" s="1"/>
      <c r="AQ690" s="1"/>
      <c r="AR690" s="1"/>
      <c r="AS690" s="1"/>
      <c r="AU690" s="1"/>
      <c r="AV690" s="1"/>
      <c r="AW690" s="1"/>
      <c r="AX690" s="1"/>
      <c r="AY690" s="1"/>
      <c r="AZ690" s="1"/>
      <c r="BA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Q690" s="1"/>
      <c r="BR690" s="1"/>
      <c r="BS690" s="1"/>
      <c r="BT690" s="1"/>
      <c r="BU690" s="1"/>
      <c r="BV690" s="1"/>
      <c r="BW690" s="1"/>
      <c r="BX690" s="1"/>
      <c r="BY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D690" s="1"/>
      <c r="GE690" s="1"/>
      <c r="GF690" s="1"/>
      <c r="GG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</row>
    <row r="691" spans="3:222" x14ac:dyDescent="0.3"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O691" s="1"/>
      <c r="AP691" s="1"/>
      <c r="AQ691" s="1"/>
      <c r="AR691" s="1"/>
      <c r="AS691" s="1"/>
      <c r="AU691" s="1"/>
      <c r="AV691" s="1"/>
      <c r="AW691" s="1"/>
      <c r="AX691" s="1"/>
      <c r="AY691" s="1"/>
      <c r="AZ691" s="1"/>
      <c r="BA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Q691" s="1"/>
      <c r="BR691" s="1"/>
      <c r="BS691" s="1"/>
      <c r="BT691" s="1"/>
      <c r="BU691" s="1"/>
      <c r="BV691" s="1"/>
      <c r="BW691" s="1"/>
      <c r="BX691" s="1"/>
      <c r="BY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D691" s="1"/>
      <c r="GE691" s="1"/>
      <c r="GF691" s="1"/>
      <c r="GG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</row>
    <row r="692" spans="3:222" x14ac:dyDescent="0.3"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O692" s="1"/>
      <c r="AP692" s="1"/>
      <c r="AQ692" s="1"/>
      <c r="AR692" s="1"/>
      <c r="AS692" s="1"/>
      <c r="AU692" s="1"/>
      <c r="AV692" s="1"/>
      <c r="AW692" s="1"/>
      <c r="AX692" s="1"/>
      <c r="AY692" s="1"/>
      <c r="AZ692" s="1"/>
      <c r="BA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Q692" s="1"/>
      <c r="BR692" s="1"/>
      <c r="BS692" s="1"/>
      <c r="BT692" s="1"/>
      <c r="BU692" s="1"/>
      <c r="BV692" s="1"/>
      <c r="BW692" s="1"/>
      <c r="BX692" s="1"/>
      <c r="BY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D692" s="1"/>
      <c r="GE692" s="1"/>
      <c r="GF692" s="1"/>
      <c r="GG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</row>
    <row r="693" spans="3:222" x14ac:dyDescent="0.3"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O693" s="1"/>
      <c r="AP693" s="1"/>
      <c r="AQ693" s="1"/>
      <c r="AR693" s="1"/>
      <c r="AS693" s="1"/>
      <c r="AU693" s="1"/>
      <c r="AV693" s="1"/>
      <c r="AW693" s="1"/>
      <c r="AX693" s="1"/>
      <c r="AY693" s="1"/>
      <c r="AZ693" s="1"/>
      <c r="BA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Q693" s="1"/>
      <c r="BR693" s="1"/>
      <c r="BS693" s="1"/>
      <c r="BT693" s="1"/>
      <c r="BU693" s="1"/>
      <c r="BV693" s="1"/>
      <c r="BW693" s="1"/>
      <c r="BX693" s="1"/>
      <c r="BY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D693" s="1"/>
      <c r="GE693" s="1"/>
      <c r="GF693" s="1"/>
      <c r="GG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</row>
    <row r="694" spans="3:222" x14ac:dyDescent="0.3"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O694" s="1"/>
      <c r="AP694" s="1"/>
      <c r="AQ694" s="1"/>
      <c r="AR694" s="1"/>
      <c r="AS694" s="1"/>
      <c r="AU694" s="1"/>
      <c r="AV694" s="1"/>
      <c r="AW694" s="1"/>
      <c r="AX694" s="1"/>
      <c r="AY694" s="1"/>
      <c r="AZ694" s="1"/>
      <c r="BA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Q694" s="1"/>
      <c r="BR694" s="1"/>
      <c r="BS694" s="1"/>
      <c r="BT694" s="1"/>
      <c r="BU694" s="1"/>
      <c r="BV694" s="1"/>
      <c r="BW694" s="1"/>
      <c r="BX694" s="1"/>
      <c r="BY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D694" s="1"/>
      <c r="GE694" s="1"/>
      <c r="GF694" s="1"/>
      <c r="GG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</row>
    <row r="695" spans="3:222" x14ac:dyDescent="0.3"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O695" s="1"/>
      <c r="AP695" s="1"/>
      <c r="AQ695" s="1"/>
      <c r="AR695" s="1"/>
      <c r="AS695" s="1"/>
      <c r="AU695" s="1"/>
      <c r="AV695" s="1"/>
      <c r="AW695" s="1"/>
      <c r="AX695" s="1"/>
      <c r="AY695" s="1"/>
      <c r="AZ695" s="1"/>
      <c r="BA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Q695" s="1"/>
      <c r="BR695" s="1"/>
      <c r="BS695" s="1"/>
      <c r="BT695" s="1"/>
      <c r="BU695" s="1"/>
      <c r="BV695" s="1"/>
      <c r="BW695" s="1"/>
      <c r="BX695" s="1"/>
      <c r="BY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D695" s="1"/>
      <c r="GE695" s="1"/>
      <c r="GF695" s="1"/>
      <c r="GG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</row>
    <row r="696" spans="3:222" x14ac:dyDescent="0.3"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O696" s="1"/>
      <c r="AP696" s="1"/>
      <c r="AQ696" s="1"/>
      <c r="AR696" s="1"/>
      <c r="AS696" s="1"/>
      <c r="AU696" s="1"/>
      <c r="AV696" s="1"/>
      <c r="AW696" s="1"/>
      <c r="AX696" s="1"/>
      <c r="AY696" s="1"/>
      <c r="AZ696" s="1"/>
      <c r="BA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Q696" s="1"/>
      <c r="BR696" s="1"/>
      <c r="BS696" s="1"/>
      <c r="BT696" s="1"/>
      <c r="BU696" s="1"/>
      <c r="BV696" s="1"/>
      <c r="BW696" s="1"/>
      <c r="BX696" s="1"/>
      <c r="BY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D696" s="1"/>
      <c r="GE696" s="1"/>
      <c r="GF696" s="1"/>
      <c r="GG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</row>
    <row r="697" spans="3:222" x14ac:dyDescent="0.3"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O697" s="1"/>
      <c r="AP697" s="1"/>
      <c r="AQ697" s="1"/>
      <c r="AR697" s="1"/>
      <c r="AS697" s="1"/>
      <c r="AU697" s="1"/>
      <c r="AV697" s="1"/>
      <c r="AW697" s="1"/>
      <c r="AX697" s="1"/>
      <c r="AY697" s="1"/>
      <c r="AZ697" s="1"/>
      <c r="BA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Q697" s="1"/>
      <c r="BR697" s="1"/>
      <c r="BS697" s="1"/>
      <c r="BT697" s="1"/>
      <c r="BU697" s="1"/>
      <c r="BV697" s="1"/>
      <c r="BW697" s="1"/>
      <c r="BX697" s="1"/>
      <c r="BY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D697" s="1"/>
      <c r="GE697" s="1"/>
      <c r="GF697" s="1"/>
      <c r="GG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</row>
    <row r="698" spans="3:222" x14ac:dyDescent="0.3"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O698" s="1"/>
      <c r="AP698" s="1"/>
      <c r="AQ698" s="1"/>
      <c r="AR698" s="1"/>
      <c r="AS698" s="1"/>
      <c r="AU698" s="1"/>
      <c r="AV698" s="1"/>
      <c r="AW698" s="1"/>
      <c r="AX698" s="1"/>
      <c r="AY698" s="1"/>
      <c r="AZ698" s="1"/>
      <c r="BA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Q698" s="1"/>
      <c r="BR698" s="1"/>
      <c r="BS698" s="1"/>
      <c r="BT698" s="1"/>
      <c r="BU698" s="1"/>
      <c r="BV698" s="1"/>
      <c r="BW698" s="1"/>
      <c r="BX698" s="1"/>
      <c r="BY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D698" s="1"/>
      <c r="GE698" s="1"/>
      <c r="GF698" s="1"/>
      <c r="GG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</row>
    <row r="699" spans="3:222" x14ac:dyDescent="0.3"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O699" s="1"/>
      <c r="AP699" s="1"/>
      <c r="AQ699" s="1"/>
      <c r="AR699" s="1"/>
      <c r="AS699" s="1"/>
      <c r="AU699" s="1"/>
      <c r="AV699" s="1"/>
      <c r="AW699" s="1"/>
      <c r="AX699" s="1"/>
      <c r="AY699" s="1"/>
      <c r="AZ699" s="1"/>
      <c r="BA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Q699" s="1"/>
      <c r="BR699" s="1"/>
      <c r="BS699" s="1"/>
      <c r="BT699" s="1"/>
      <c r="BU699" s="1"/>
      <c r="BV699" s="1"/>
      <c r="BW699" s="1"/>
      <c r="BX699" s="1"/>
      <c r="BY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D699" s="1"/>
      <c r="GE699" s="1"/>
      <c r="GF699" s="1"/>
      <c r="GG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</row>
    <row r="700" spans="3:222" x14ac:dyDescent="0.3"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O700" s="1"/>
      <c r="AP700" s="1"/>
      <c r="AQ700" s="1"/>
      <c r="AR700" s="1"/>
      <c r="AS700" s="1"/>
      <c r="AU700" s="1"/>
      <c r="AV700" s="1"/>
      <c r="AW700" s="1"/>
      <c r="AX700" s="1"/>
      <c r="AY700" s="1"/>
      <c r="AZ700" s="1"/>
      <c r="BA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Q700" s="1"/>
      <c r="BR700" s="1"/>
      <c r="BS700" s="1"/>
      <c r="BT700" s="1"/>
      <c r="BU700" s="1"/>
      <c r="BV700" s="1"/>
      <c r="BW700" s="1"/>
      <c r="BX700" s="1"/>
      <c r="BY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D700" s="1"/>
      <c r="GE700" s="1"/>
      <c r="GF700" s="1"/>
      <c r="GG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</row>
    <row r="701" spans="3:222" x14ac:dyDescent="0.3"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O701" s="1"/>
      <c r="AP701" s="1"/>
      <c r="AQ701" s="1"/>
      <c r="AR701" s="1"/>
      <c r="AS701" s="1"/>
      <c r="AU701" s="1"/>
      <c r="AV701" s="1"/>
      <c r="AW701" s="1"/>
      <c r="AX701" s="1"/>
      <c r="AY701" s="1"/>
      <c r="AZ701" s="1"/>
      <c r="BA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Q701" s="1"/>
      <c r="BR701" s="1"/>
      <c r="BS701" s="1"/>
      <c r="BT701" s="1"/>
      <c r="BU701" s="1"/>
      <c r="BV701" s="1"/>
      <c r="BW701" s="1"/>
      <c r="BX701" s="1"/>
      <c r="BY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D701" s="1"/>
      <c r="GE701" s="1"/>
      <c r="GF701" s="1"/>
      <c r="GG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</row>
    <row r="702" spans="3:222" x14ac:dyDescent="0.3"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O702" s="1"/>
      <c r="AP702" s="1"/>
      <c r="AQ702" s="1"/>
      <c r="AR702" s="1"/>
      <c r="AS702" s="1"/>
      <c r="AU702" s="1"/>
      <c r="AV702" s="1"/>
      <c r="AW702" s="1"/>
      <c r="AX702" s="1"/>
      <c r="AY702" s="1"/>
      <c r="AZ702" s="1"/>
      <c r="BA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Q702" s="1"/>
      <c r="BR702" s="1"/>
      <c r="BS702" s="1"/>
      <c r="BT702" s="1"/>
      <c r="BU702" s="1"/>
      <c r="BV702" s="1"/>
      <c r="BW702" s="1"/>
      <c r="BX702" s="1"/>
      <c r="BY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D702" s="1"/>
      <c r="GE702" s="1"/>
      <c r="GF702" s="1"/>
      <c r="GG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</row>
    <row r="703" spans="3:222" x14ac:dyDescent="0.3"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O703" s="1"/>
      <c r="AP703" s="1"/>
      <c r="AQ703" s="1"/>
      <c r="AR703" s="1"/>
      <c r="AS703" s="1"/>
      <c r="AU703" s="1"/>
      <c r="AV703" s="1"/>
      <c r="AW703" s="1"/>
      <c r="AX703" s="1"/>
      <c r="AY703" s="1"/>
      <c r="AZ703" s="1"/>
      <c r="BA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Q703" s="1"/>
      <c r="BR703" s="1"/>
      <c r="BS703" s="1"/>
      <c r="BT703" s="1"/>
      <c r="BU703" s="1"/>
      <c r="BV703" s="1"/>
      <c r="BW703" s="1"/>
      <c r="BX703" s="1"/>
      <c r="BY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D703" s="1"/>
      <c r="GE703" s="1"/>
      <c r="GF703" s="1"/>
      <c r="GG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</row>
    <row r="704" spans="3:222" x14ac:dyDescent="0.3"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O704" s="1"/>
      <c r="AP704" s="1"/>
      <c r="AQ704" s="1"/>
      <c r="AR704" s="1"/>
      <c r="AS704" s="1"/>
      <c r="AU704" s="1"/>
      <c r="AV704" s="1"/>
      <c r="AW704" s="1"/>
      <c r="AX704" s="1"/>
      <c r="AY704" s="1"/>
      <c r="AZ704" s="1"/>
      <c r="BA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Q704" s="1"/>
      <c r="BR704" s="1"/>
      <c r="BS704" s="1"/>
      <c r="BT704" s="1"/>
      <c r="BU704" s="1"/>
      <c r="BV704" s="1"/>
      <c r="BW704" s="1"/>
      <c r="BX704" s="1"/>
      <c r="BY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D704" s="1"/>
      <c r="GE704" s="1"/>
      <c r="GF704" s="1"/>
      <c r="GG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</row>
    <row r="705" spans="3:222" x14ac:dyDescent="0.3"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O705" s="1"/>
      <c r="AP705" s="1"/>
      <c r="AQ705" s="1"/>
      <c r="AR705" s="1"/>
      <c r="AS705" s="1"/>
      <c r="AU705" s="1"/>
      <c r="AV705" s="1"/>
      <c r="AW705" s="1"/>
      <c r="AX705" s="1"/>
      <c r="AY705" s="1"/>
      <c r="AZ705" s="1"/>
      <c r="BA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Q705" s="1"/>
      <c r="BR705" s="1"/>
      <c r="BS705" s="1"/>
      <c r="BT705" s="1"/>
      <c r="BU705" s="1"/>
      <c r="BV705" s="1"/>
      <c r="BW705" s="1"/>
      <c r="BX705" s="1"/>
      <c r="BY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D705" s="1"/>
      <c r="GE705" s="1"/>
      <c r="GF705" s="1"/>
      <c r="GG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</row>
    <row r="706" spans="3:222" x14ac:dyDescent="0.3"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O706" s="1"/>
      <c r="AP706" s="1"/>
      <c r="AQ706" s="1"/>
      <c r="AR706" s="1"/>
      <c r="AS706" s="1"/>
      <c r="AU706" s="1"/>
      <c r="AV706" s="1"/>
      <c r="AW706" s="1"/>
      <c r="AX706" s="1"/>
      <c r="AY706" s="1"/>
      <c r="AZ706" s="1"/>
      <c r="BA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Q706" s="1"/>
      <c r="BR706" s="1"/>
      <c r="BS706" s="1"/>
      <c r="BT706" s="1"/>
      <c r="BU706" s="1"/>
      <c r="BV706" s="1"/>
      <c r="BW706" s="1"/>
      <c r="BX706" s="1"/>
      <c r="BY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D706" s="1"/>
      <c r="GE706" s="1"/>
      <c r="GF706" s="1"/>
      <c r="GG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</row>
    <row r="707" spans="3:222" x14ac:dyDescent="0.3"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O707" s="1"/>
      <c r="AP707" s="1"/>
      <c r="AQ707" s="1"/>
      <c r="AR707" s="1"/>
      <c r="AS707" s="1"/>
      <c r="AU707" s="1"/>
      <c r="AV707" s="1"/>
      <c r="AW707" s="1"/>
      <c r="AX707" s="1"/>
      <c r="AY707" s="1"/>
      <c r="AZ707" s="1"/>
      <c r="BA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Q707" s="1"/>
      <c r="BR707" s="1"/>
      <c r="BS707" s="1"/>
      <c r="BT707" s="1"/>
      <c r="BU707" s="1"/>
      <c r="BV707" s="1"/>
      <c r="BW707" s="1"/>
      <c r="BX707" s="1"/>
      <c r="BY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D707" s="1"/>
      <c r="GE707" s="1"/>
      <c r="GF707" s="1"/>
      <c r="GG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</row>
    <row r="708" spans="3:222" x14ac:dyDescent="0.3"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O708" s="1"/>
      <c r="AP708" s="1"/>
      <c r="AQ708" s="1"/>
      <c r="AR708" s="1"/>
      <c r="AS708" s="1"/>
      <c r="AU708" s="1"/>
      <c r="AV708" s="1"/>
      <c r="AW708" s="1"/>
      <c r="AX708" s="1"/>
      <c r="AY708" s="1"/>
      <c r="AZ708" s="1"/>
      <c r="BA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Q708" s="1"/>
      <c r="BR708" s="1"/>
      <c r="BS708" s="1"/>
      <c r="BT708" s="1"/>
      <c r="BU708" s="1"/>
      <c r="BV708" s="1"/>
      <c r="BW708" s="1"/>
      <c r="BX708" s="1"/>
      <c r="BY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D708" s="1"/>
      <c r="GE708" s="1"/>
      <c r="GF708" s="1"/>
      <c r="GG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</row>
    <row r="709" spans="3:222" x14ac:dyDescent="0.3"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O709" s="1"/>
      <c r="AP709" s="1"/>
      <c r="AQ709" s="1"/>
      <c r="AR709" s="1"/>
      <c r="AS709" s="1"/>
      <c r="AU709" s="1"/>
      <c r="AV709" s="1"/>
      <c r="AW709" s="1"/>
      <c r="AX709" s="1"/>
      <c r="AY709" s="1"/>
      <c r="AZ709" s="1"/>
      <c r="BA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Q709" s="1"/>
      <c r="BR709" s="1"/>
      <c r="BS709" s="1"/>
      <c r="BT709" s="1"/>
      <c r="BU709" s="1"/>
      <c r="BV709" s="1"/>
      <c r="BW709" s="1"/>
      <c r="BX709" s="1"/>
      <c r="BY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D709" s="1"/>
      <c r="GE709" s="1"/>
      <c r="GF709" s="1"/>
      <c r="GG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</row>
    <row r="710" spans="3:222" x14ac:dyDescent="0.3"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O710" s="1"/>
      <c r="AP710" s="1"/>
      <c r="AQ710" s="1"/>
      <c r="AR710" s="1"/>
      <c r="AS710" s="1"/>
      <c r="AU710" s="1"/>
      <c r="AV710" s="1"/>
      <c r="AW710" s="1"/>
      <c r="AX710" s="1"/>
      <c r="AY710" s="1"/>
      <c r="AZ710" s="1"/>
      <c r="BA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Q710" s="1"/>
      <c r="BR710" s="1"/>
      <c r="BS710" s="1"/>
      <c r="BT710" s="1"/>
      <c r="BU710" s="1"/>
      <c r="BV710" s="1"/>
      <c r="BW710" s="1"/>
      <c r="BX710" s="1"/>
      <c r="BY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D710" s="1"/>
      <c r="GE710" s="1"/>
      <c r="GF710" s="1"/>
      <c r="GG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</row>
    <row r="711" spans="3:222" x14ac:dyDescent="0.3"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O711" s="1"/>
      <c r="AP711" s="1"/>
      <c r="AQ711" s="1"/>
      <c r="AR711" s="1"/>
      <c r="AS711" s="1"/>
      <c r="AU711" s="1"/>
      <c r="AV711" s="1"/>
      <c r="AW711" s="1"/>
      <c r="AX711" s="1"/>
      <c r="AY711" s="1"/>
      <c r="AZ711" s="1"/>
      <c r="BA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Q711" s="1"/>
      <c r="BR711" s="1"/>
      <c r="BS711" s="1"/>
      <c r="BT711" s="1"/>
      <c r="BU711" s="1"/>
      <c r="BV711" s="1"/>
      <c r="BW711" s="1"/>
      <c r="BX711" s="1"/>
      <c r="BY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D711" s="1"/>
      <c r="GE711" s="1"/>
      <c r="GF711" s="1"/>
      <c r="GG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</row>
    <row r="712" spans="3:222" x14ac:dyDescent="0.3"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O712" s="1"/>
      <c r="AP712" s="1"/>
      <c r="AQ712" s="1"/>
      <c r="AR712" s="1"/>
      <c r="AS712" s="1"/>
      <c r="AU712" s="1"/>
      <c r="AV712" s="1"/>
      <c r="AW712" s="1"/>
      <c r="AX712" s="1"/>
      <c r="AY712" s="1"/>
      <c r="AZ712" s="1"/>
      <c r="BA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Q712" s="1"/>
      <c r="BR712" s="1"/>
      <c r="BS712" s="1"/>
      <c r="BT712" s="1"/>
      <c r="BU712" s="1"/>
      <c r="BV712" s="1"/>
      <c r="BW712" s="1"/>
      <c r="BX712" s="1"/>
      <c r="BY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D712" s="1"/>
      <c r="GE712" s="1"/>
      <c r="GF712" s="1"/>
      <c r="GG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</row>
    <row r="713" spans="3:222" x14ac:dyDescent="0.3"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O713" s="1"/>
      <c r="AP713" s="1"/>
      <c r="AQ713" s="1"/>
      <c r="AR713" s="1"/>
      <c r="AS713" s="1"/>
      <c r="AU713" s="1"/>
      <c r="AV713" s="1"/>
      <c r="AW713" s="1"/>
      <c r="AX713" s="1"/>
      <c r="AY713" s="1"/>
      <c r="AZ713" s="1"/>
      <c r="BA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Q713" s="1"/>
      <c r="BR713" s="1"/>
      <c r="BS713" s="1"/>
      <c r="BT713" s="1"/>
      <c r="BU713" s="1"/>
      <c r="BV713" s="1"/>
      <c r="BW713" s="1"/>
      <c r="BX713" s="1"/>
      <c r="BY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D713" s="1"/>
      <c r="GE713" s="1"/>
      <c r="GF713" s="1"/>
      <c r="GG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</row>
    <row r="714" spans="3:222" x14ac:dyDescent="0.3"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O714" s="1"/>
      <c r="AP714" s="1"/>
      <c r="AQ714" s="1"/>
      <c r="AR714" s="1"/>
      <c r="AS714" s="1"/>
      <c r="AU714" s="1"/>
      <c r="AV714" s="1"/>
      <c r="AW714" s="1"/>
      <c r="AX714" s="1"/>
      <c r="AY714" s="1"/>
      <c r="AZ714" s="1"/>
      <c r="BA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Q714" s="1"/>
      <c r="BR714" s="1"/>
      <c r="BS714" s="1"/>
      <c r="BT714" s="1"/>
      <c r="BU714" s="1"/>
      <c r="BV714" s="1"/>
      <c r="BW714" s="1"/>
      <c r="BX714" s="1"/>
      <c r="BY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D714" s="1"/>
      <c r="GE714" s="1"/>
      <c r="GF714" s="1"/>
      <c r="GG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</row>
    <row r="715" spans="3:222" x14ac:dyDescent="0.3"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O715" s="1"/>
      <c r="AP715" s="1"/>
      <c r="AQ715" s="1"/>
      <c r="AR715" s="1"/>
      <c r="AS715" s="1"/>
      <c r="AU715" s="1"/>
      <c r="AV715" s="1"/>
      <c r="AW715" s="1"/>
      <c r="AX715" s="1"/>
      <c r="AY715" s="1"/>
      <c r="AZ715" s="1"/>
      <c r="BA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Q715" s="1"/>
      <c r="BR715" s="1"/>
      <c r="BS715" s="1"/>
      <c r="BT715" s="1"/>
      <c r="BU715" s="1"/>
      <c r="BV715" s="1"/>
      <c r="BW715" s="1"/>
      <c r="BX715" s="1"/>
      <c r="BY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D715" s="1"/>
      <c r="GE715" s="1"/>
      <c r="GF715" s="1"/>
      <c r="GG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</row>
    <row r="716" spans="3:222" x14ac:dyDescent="0.3"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O716" s="1"/>
      <c r="AP716" s="1"/>
      <c r="AQ716" s="1"/>
      <c r="AR716" s="1"/>
      <c r="AS716" s="1"/>
      <c r="AU716" s="1"/>
      <c r="AV716" s="1"/>
      <c r="AW716" s="1"/>
      <c r="AX716" s="1"/>
      <c r="AY716" s="1"/>
      <c r="AZ716" s="1"/>
      <c r="BA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Q716" s="1"/>
      <c r="BR716" s="1"/>
      <c r="BS716" s="1"/>
      <c r="BT716" s="1"/>
      <c r="BU716" s="1"/>
      <c r="BV716" s="1"/>
      <c r="BW716" s="1"/>
      <c r="BX716" s="1"/>
      <c r="BY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D716" s="1"/>
      <c r="GE716" s="1"/>
      <c r="GF716" s="1"/>
      <c r="GG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</row>
    <row r="717" spans="3:222" x14ac:dyDescent="0.3"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O717" s="1"/>
      <c r="AP717" s="1"/>
      <c r="AQ717" s="1"/>
      <c r="AR717" s="1"/>
      <c r="AS717" s="1"/>
      <c r="AU717" s="1"/>
      <c r="AV717" s="1"/>
      <c r="AW717" s="1"/>
      <c r="AX717" s="1"/>
      <c r="AY717" s="1"/>
      <c r="AZ717" s="1"/>
      <c r="BA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Q717" s="1"/>
      <c r="BR717" s="1"/>
      <c r="BS717" s="1"/>
      <c r="BT717" s="1"/>
      <c r="BU717" s="1"/>
      <c r="BV717" s="1"/>
      <c r="BW717" s="1"/>
      <c r="BX717" s="1"/>
      <c r="BY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D717" s="1"/>
      <c r="GE717" s="1"/>
      <c r="GF717" s="1"/>
      <c r="GG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</row>
    <row r="718" spans="3:222" x14ac:dyDescent="0.3"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O718" s="1"/>
      <c r="AP718" s="1"/>
      <c r="AQ718" s="1"/>
      <c r="AR718" s="1"/>
      <c r="AS718" s="1"/>
      <c r="AU718" s="1"/>
      <c r="AV718" s="1"/>
      <c r="AW718" s="1"/>
      <c r="AX718" s="1"/>
      <c r="AY718" s="1"/>
      <c r="AZ718" s="1"/>
      <c r="BA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Q718" s="1"/>
      <c r="BR718" s="1"/>
      <c r="BS718" s="1"/>
      <c r="BT718" s="1"/>
      <c r="BU718" s="1"/>
      <c r="BV718" s="1"/>
      <c r="BW718" s="1"/>
      <c r="BX718" s="1"/>
      <c r="BY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D718" s="1"/>
      <c r="GE718" s="1"/>
      <c r="GF718" s="1"/>
      <c r="GG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</row>
    <row r="719" spans="3:222" x14ac:dyDescent="0.3"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O719" s="1"/>
      <c r="AP719" s="1"/>
      <c r="AQ719" s="1"/>
      <c r="AR719" s="1"/>
      <c r="AS719" s="1"/>
      <c r="AU719" s="1"/>
      <c r="AV719" s="1"/>
      <c r="AW719" s="1"/>
      <c r="AX719" s="1"/>
      <c r="AY719" s="1"/>
      <c r="AZ719" s="1"/>
      <c r="BA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Q719" s="1"/>
      <c r="BR719" s="1"/>
      <c r="BS719" s="1"/>
      <c r="BT719" s="1"/>
      <c r="BU719" s="1"/>
      <c r="BV719" s="1"/>
      <c r="BW719" s="1"/>
      <c r="BX719" s="1"/>
      <c r="BY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D719" s="1"/>
      <c r="GE719" s="1"/>
      <c r="GF719" s="1"/>
      <c r="GG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</row>
    <row r="720" spans="3:222" x14ac:dyDescent="0.3"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O720" s="1"/>
      <c r="AP720" s="1"/>
      <c r="AQ720" s="1"/>
      <c r="AR720" s="1"/>
      <c r="AS720" s="1"/>
      <c r="AU720" s="1"/>
      <c r="AV720" s="1"/>
      <c r="AW720" s="1"/>
      <c r="AX720" s="1"/>
      <c r="AY720" s="1"/>
      <c r="AZ720" s="1"/>
      <c r="BA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Q720" s="1"/>
      <c r="BR720" s="1"/>
      <c r="BS720" s="1"/>
      <c r="BT720" s="1"/>
      <c r="BU720" s="1"/>
      <c r="BV720" s="1"/>
      <c r="BW720" s="1"/>
      <c r="BX720" s="1"/>
      <c r="BY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D720" s="1"/>
      <c r="GE720" s="1"/>
      <c r="GF720" s="1"/>
      <c r="GG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</row>
    <row r="721" spans="3:222" x14ac:dyDescent="0.3"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O721" s="1"/>
      <c r="AP721" s="1"/>
      <c r="AQ721" s="1"/>
      <c r="AR721" s="1"/>
      <c r="AS721" s="1"/>
      <c r="AU721" s="1"/>
      <c r="AV721" s="1"/>
      <c r="AW721" s="1"/>
      <c r="AX721" s="1"/>
      <c r="AY721" s="1"/>
      <c r="AZ721" s="1"/>
      <c r="BA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Q721" s="1"/>
      <c r="BR721" s="1"/>
      <c r="BS721" s="1"/>
      <c r="BT721" s="1"/>
      <c r="BU721" s="1"/>
      <c r="BV721" s="1"/>
      <c r="BW721" s="1"/>
      <c r="BX721" s="1"/>
      <c r="BY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D721" s="1"/>
      <c r="GE721" s="1"/>
      <c r="GF721" s="1"/>
      <c r="GG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</row>
    <row r="722" spans="3:222" x14ac:dyDescent="0.3"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O722" s="1"/>
      <c r="AP722" s="1"/>
      <c r="AQ722" s="1"/>
      <c r="AR722" s="1"/>
      <c r="AS722" s="1"/>
      <c r="AU722" s="1"/>
      <c r="AV722" s="1"/>
      <c r="AW722" s="1"/>
      <c r="AX722" s="1"/>
      <c r="AY722" s="1"/>
      <c r="AZ722" s="1"/>
      <c r="BA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Q722" s="1"/>
      <c r="BR722" s="1"/>
      <c r="BS722" s="1"/>
      <c r="BT722" s="1"/>
      <c r="BU722" s="1"/>
      <c r="BV722" s="1"/>
      <c r="BW722" s="1"/>
      <c r="BX722" s="1"/>
      <c r="BY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D722" s="1"/>
      <c r="GE722" s="1"/>
      <c r="GF722" s="1"/>
      <c r="GG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</row>
    <row r="723" spans="3:222" x14ac:dyDescent="0.3"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O723" s="1"/>
      <c r="AP723" s="1"/>
      <c r="AQ723" s="1"/>
      <c r="AR723" s="1"/>
      <c r="AS723" s="1"/>
      <c r="AU723" s="1"/>
      <c r="AV723" s="1"/>
      <c r="AW723" s="1"/>
      <c r="AX723" s="1"/>
      <c r="AY723" s="1"/>
      <c r="AZ723" s="1"/>
      <c r="BA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Q723" s="1"/>
      <c r="BR723" s="1"/>
      <c r="BS723" s="1"/>
      <c r="BT723" s="1"/>
      <c r="BU723" s="1"/>
      <c r="BV723" s="1"/>
      <c r="BW723" s="1"/>
      <c r="BX723" s="1"/>
      <c r="BY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D723" s="1"/>
      <c r="GE723" s="1"/>
      <c r="GF723" s="1"/>
      <c r="GG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</row>
    <row r="724" spans="3:222" x14ac:dyDescent="0.3"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O724" s="1"/>
      <c r="AP724" s="1"/>
      <c r="AQ724" s="1"/>
      <c r="AR724" s="1"/>
      <c r="AS724" s="1"/>
      <c r="AU724" s="1"/>
      <c r="AV724" s="1"/>
      <c r="AW724" s="1"/>
      <c r="AX724" s="1"/>
      <c r="AY724" s="1"/>
      <c r="AZ724" s="1"/>
      <c r="BA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Q724" s="1"/>
      <c r="BR724" s="1"/>
      <c r="BS724" s="1"/>
      <c r="BT724" s="1"/>
      <c r="BU724" s="1"/>
      <c r="BV724" s="1"/>
      <c r="BW724" s="1"/>
      <c r="BX724" s="1"/>
      <c r="BY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D724" s="1"/>
      <c r="GE724" s="1"/>
      <c r="GF724" s="1"/>
      <c r="GG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</row>
    <row r="725" spans="3:222" x14ac:dyDescent="0.3"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O725" s="1"/>
      <c r="AP725" s="1"/>
      <c r="AQ725" s="1"/>
      <c r="AR725" s="1"/>
      <c r="AS725" s="1"/>
      <c r="AU725" s="1"/>
      <c r="AV725" s="1"/>
      <c r="AW725" s="1"/>
      <c r="AX725" s="1"/>
      <c r="AY725" s="1"/>
      <c r="AZ725" s="1"/>
      <c r="BA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Q725" s="1"/>
      <c r="BR725" s="1"/>
      <c r="BS725" s="1"/>
      <c r="BT725" s="1"/>
      <c r="BU725" s="1"/>
      <c r="BV725" s="1"/>
      <c r="BW725" s="1"/>
      <c r="BX725" s="1"/>
      <c r="BY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D725" s="1"/>
      <c r="GE725" s="1"/>
      <c r="GF725" s="1"/>
      <c r="GG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</row>
    <row r="726" spans="3:222" x14ac:dyDescent="0.3"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O726" s="1"/>
      <c r="AP726" s="1"/>
      <c r="AQ726" s="1"/>
      <c r="AR726" s="1"/>
      <c r="AS726" s="1"/>
      <c r="AU726" s="1"/>
      <c r="AV726" s="1"/>
      <c r="AW726" s="1"/>
      <c r="AX726" s="1"/>
      <c r="AY726" s="1"/>
      <c r="AZ726" s="1"/>
      <c r="BA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Q726" s="1"/>
      <c r="BR726" s="1"/>
      <c r="BS726" s="1"/>
      <c r="BT726" s="1"/>
      <c r="BU726" s="1"/>
      <c r="BV726" s="1"/>
      <c r="BW726" s="1"/>
      <c r="BX726" s="1"/>
      <c r="BY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D726" s="1"/>
      <c r="GE726" s="1"/>
      <c r="GF726" s="1"/>
      <c r="GG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</row>
    <row r="727" spans="3:222" x14ac:dyDescent="0.3"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O727" s="1"/>
      <c r="AP727" s="1"/>
      <c r="AQ727" s="1"/>
      <c r="AR727" s="1"/>
      <c r="AS727" s="1"/>
      <c r="AU727" s="1"/>
      <c r="AV727" s="1"/>
      <c r="AW727" s="1"/>
      <c r="AX727" s="1"/>
      <c r="AY727" s="1"/>
      <c r="AZ727" s="1"/>
      <c r="BA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Q727" s="1"/>
      <c r="BR727" s="1"/>
      <c r="BS727" s="1"/>
      <c r="BT727" s="1"/>
      <c r="BU727" s="1"/>
      <c r="BV727" s="1"/>
      <c r="BW727" s="1"/>
      <c r="BX727" s="1"/>
      <c r="BY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D727" s="1"/>
      <c r="GE727" s="1"/>
      <c r="GF727" s="1"/>
      <c r="GG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</row>
    <row r="728" spans="3:222" x14ac:dyDescent="0.3"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O728" s="1"/>
      <c r="AP728" s="1"/>
      <c r="AQ728" s="1"/>
      <c r="AR728" s="1"/>
      <c r="AS728" s="1"/>
      <c r="AU728" s="1"/>
      <c r="AV728" s="1"/>
      <c r="AW728" s="1"/>
      <c r="AX728" s="1"/>
      <c r="AY728" s="1"/>
      <c r="AZ728" s="1"/>
      <c r="BA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Q728" s="1"/>
      <c r="BR728" s="1"/>
      <c r="BS728" s="1"/>
      <c r="BT728" s="1"/>
      <c r="BU728" s="1"/>
      <c r="BV728" s="1"/>
      <c r="BW728" s="1"/>
      <c r="BX728" s="1"/>
      <c r="BY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D728" s="1"/>
      <c r="GE728" s="1"/>
      <c r="GF728" s="1"/>
      <c r="GG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</row>
    <row r="729" spans="3:222" x14ac:dyDescent="0.3"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O729" s="1"/>
      <c r="AP729" s="1"/>
      <c r="AQ729" s="1"/>
      <c r="AR729" s="1"/>
      <c r="AS729" s="1"/>
      <c r="AU729" s="1"/>
      <c r="AV729" s="1"/>
      <c r="AW729" s="1"/>
      <c r="AX729" s="1"/>
      <c r="AY729" s="1"/>
      <c r="AZ729" s="1"/>
      <c r="BA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Q729" s="1"/>
      <c r="BR729" s="1"/>
      <c r="BS729" s="1"/>
      <c r="BT729" s="1"/>
      <c r="BU729" s="1"/>
      <c r="BV729" s="1"/>
      <c r="BW729" s="1"/>
      <c r="BX729" s="1"/>
      <c r="BY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D729" s="1"/>
      <c r="GE729" s="1"/>
      <c r="GF729" s="1"/>
      <c r="GG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</row>
    <row r="730" spans="3:222" x14ac:dyDescent="0.3"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O730" s="1"/>
      <c r="AP730" s="1"/>
      <c r="AQ730" s="1"/>
      <c r="AR730" s="1"/>
      <c r="AS730" s="1"/>
      <c r="AU730" s="1"/>
      <c r="AV730" s="1"/>
      <c r="AW730" s="1"/>
      <c r="AX730" s="1"/>
      <c r="AY730" s="1"/>
      <c r="AZ730" s="1"/>
      <c r="BA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Q730" s="1"/>
      <c r="BR730" s="1"/>
      <c r="BS730" s="1"/>
      <c r="BT730" s="1"/>
      <c r="BU730" s="1"/>
      <c r="BV730" s="1"/>
      <c r="BW730" s="1"/>
      <c r="BX730" s="1"/>
      <c r="BY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D730" s="1"/>
      <c r="GE730" s="1"/>
      <c r="GF730" s="1"/>
      <c r="GG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</row>
    <row r="731" spans="3:222" x14ac:dyDescent="0.3"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O731" s="1"/>
      <c r="AP731" s="1"/>
      <c r="AQ731" s="1"/>
      <c r="AR731" s="1"/>
      <c r="AS731" s="1"/>
      <c r="AU731" s="1"/>
      <c r="AV731" s="1"/>
      <c r="AW731" s="1"/>
      <c r="AX731" s="1"/>
      <c r="AY731" s="1"/>
      <c r="AZ731" s="1"/>
      <c r="BA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Q731" s="1"/>
      <c r="BR731" s="1"/>
      <c r="BS731" s="1"/>
      <c r="BT731" s="1"/>
      <c r="BU731" s="1"/>
      <c r="BV731" s="1"/>
      <c r="BW731" s="1"/>
      <c r="BX731" s="1"/>
      <c r="BY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D731" s="1"/>
      <c r="GE731" s="1"/>
      <c r="GF731" s="1"/>
      <c r="GG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</row>
    <row r="732" spans="3:222" x14ac:dyDescent="0.3"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O732" s="1"/>
      <c r="AP732" s="1"/>
      <c r="AQ732" s="1"/>
      <c r="AR732" s="1"/>
      <c r="AS732" s="1"/>
      <c r="AU732" s="1"/>
      <c r="AV732" s="1"/>
      <c r="AW732" s="1"/>
      <c r="AX732" s="1"/>
      <c r="AY732" s="1"/>
      <c r="AZ732" s="1"/>
      <c r="BA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Q732" s="1"/>
      <c r="BR732" s="1"/>
      <c r="BS732" s="1"/>
      <c r="BT732" s="1"/>
      <c r="BU732" s="1"/>
      <c r="BV732" s="1"/>
      <c r="BW732" s="1"/>
      <c r="BX732" s="1"/>
      <c r="BY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D732" s="1"/>
      <c r="GE732" s="1"/>
      <c r="GF732" s="1"/>
      <c r="GG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</row>
    <row r="733" spans="3:222" x14ac:dyDescent="0.3"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O733" s="1"/>
      <c r="AP733" s="1"/>
      <c r="AQ733" s="1"/>
      <c r="AR733" s="1"/>
      <c r="AS733" s="1"/>
      <c r="AU733" s="1"/>
      <c r="AV733" s="1"/>
      <c r="AW733" s="1"/>
      <c r="AX733" s="1"/>
      <c r="AY733" s="1"/>
      <c r="AZ733" s="1"/>
      <c r="BA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Q733" s="1"/>
      <c r="BR733" s="1"/>
      <c r="BS733" s="1"/>
      <c r="BT733" s="1"/>
      <c r="BU733" s="1"/>
      <c r="BV733" s="1"/>
      <c r="BW733" s="1"/>
      <c r="BX733" s="1"/>
      <c r="BY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D733" s="1"/>
      <c r="GE733" s="1"/>
      <c r="GF733" s="1"/>
      <c r="GG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</row>
    <row r="734" spans="3:222" x14ac:dyDescent="0.3"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O734" s="1"/>
      <c r="AP734" s="1"/>
      <c r="AQ734" s="1"/>
      <c r="AR734" s="1"/>
      <c r="AS734" s="1"/>
      <c r="AU734" s="1"/>
      <c r="AV734" s="1"/>
      <c r="AW734" s="1"/>
      <c r="AX734" s="1"/>
      <c r="AY734" s="1"/>
      <c r="AZ734" s="1"/>
      <c r="BA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Q734" s="1"/>
      <c r="BR734" s="1"/>
      <c r="BS734" s="1"/>
      <c r="BT734" s="1"/>
      <c r="BU734" s="1"/>
      <c r="BV734" s="1"/>
      <c r="BW734" s="1"/>
      <c r="BX734" s="1"/>
      <c r="BY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D734" s="1"/>
      <c r="GE734" s="1"/>
      <c r="GF734" s="1"/>
      <c r="GG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</row>
    <row r="735" spans="3:222" x14ac:dyDescent="0.3"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O735" s="1"/>
      <c r="AP735" s="1"/>
      <c r="AQ735" s="1"/>
      <c r="AR735" s="1"/>
      <c r="AS735" s="1"/>
      <c r="AU735" s="1"/>
      <c r="AV735" s="1"/>
      <c r="AW735" s="1"/>
      <c r="AX735" s="1"/>
      <c r="AY735" s="1"/>
      <c r="AZ735" s="1"/>
      <c r="BA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Q735" s="1"/>
      <c r="BR735" s="1"/>
      <c r="BS735" s="1"/>
      <c r="BT735" s="1"/>
      <c r="BU735" s="1"/>
      <c r="BV735" s="1"/>
      <c r="BW735" s="1"/>
      <c r="BX735" s="1"/>
      <c r="BY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D735" s="1"/>
      <c r="GE735" s="1"/>
      <c r="GF735" s="1"/>
      <c r="GG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</row>
    <row r="736" spans="3:222" x14ac:dyDescent="0.3"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O736" s="1"/>
      <c r="AP736" s="1"/>
      <c r="AQ736" s="1"/>
      <c r="AR736" s="1"/>
      <c r="AS736" s="1"/>
      <c r="AU736" s="1"/>
      <c r="AV736" s="1"/>
      <c r="AW736" s="1"/>
      <c r="AX736" s="1"/>
      <c r="AY736" s="1"/>
      <c r="AZ736" s="1"/>
      <c r="BA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Q736" s="1"/>
      <c r="BR736" s="1"/>
      <c r="BS736" s="1"/>
      <c r="BT736" s="1"/>
      <c r="BU736" s="1"/>
      <c r="BV736" s="1"/>
      <c r="BW736" s="1"/>
      <c r="BX736" s="1"/>
      <c r="BY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D736" s="1"/>
      <c r="GE736" s="1"/>
      <c r="GF736" s="1"/>
      <c r="GG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</row>
    <row r="737" spans="3:222" x14ac:dyDescent="0.3"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O737" s="1"/>
      <c r="AP737" s="1"/>
      <c r="AQ737" s="1"/>
      <c r="AR737" s="1"/>
      <c r="AS737" s="1"/>
      <c r="AU737" s="1"/>
      <c r="AV737" s="1"/>
      <c r="AW737" s="1"/>
      <c r="AX737" s="1"/>
      <c r="AY737" s="1"/>
      <c r="AZ737" s="1"/>
      <c r="BA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Q737" s="1"/>
      <c r="BR737" s="1"/>
      <c r="BS737" s="1"/>
      <c r="BT737" s="1"/>
      <c r="BU737" s="1"/>
      <c r="BV737" s="1"/>
      <c r="BW737" s="1"/>
      <c r="BX737" s="1"/>
      <c r="BY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D737" s="1"/>
      <c r="GE737" s="1"/>
      <c r="GF737" s="1"/>
      <c r="GG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</row>
    <row r="738" spans="3:222" x14ac:dyDescent="0.3"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O738" s="1"/>
      <c r="AP738" s="1"/>
      <c r="AQ738" s="1"/>
      <c r="AR738" s="1"/>
      <c r="AS738" s="1"/>
      <c r="AU738" s="1"/>
      <c r="AV738" s="1"/>
      <c r="AW738" s="1"/>
      <c r="AX738" s="1"/>
      <c r="AY738" s="1"/>
      <c r="AZ738" s="1"/>
      <c r="BA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Q738" s="1"/>
      <c r="BR738" s="1"/>
      <c r="BS738" s="1"/>
      <c r="BT738" s="1"/>
      <c r="BU738" s="1"/>
      <c r="BV738" s="1"/>
      <c r="BW738" s="1"/>
      <c r="BX738" s="1"/>
      <c r="BY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D738" s="1"/>
      <c r="GE738" s="1"/>
      <c r="GF738" s="1"/>
      <c r="GG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</row>
    <row r="739" spans="3:222" x14ac:dyDescent="0.3"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O739" s="1"/>
      <c r="AP739" s="1"/>
      <c r="AQ739" s="1"/>
      <c r="AR739" s="1"/>
      <c r="AS739" s="1"/>
      <c r="AU739" s="1"/>
      <c r="AV739" s="1"/>
      <c r="AW739" s="1"/>
      <c r="AX739" s="1"/>
      <c r="AY739" s="1"/>
      <c r="AZ739" s="1"/>
      <c r="BA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Q739" s="1"/>
      <c r="BR739" s="1"/>
      <c r="BS739" s="1"/>
      <c r="BT739" s="1"/>
      <c r="BU739" s="1"/>
      <c r="BV739" s="1"/>
      <c r="BW739" s="1"/>
      <c r="BX739" s="1"/>
      <c r="BY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D739" s="1"/>
      <c r="GE739" s="1"/>
      <c r="GF739" s="1"/>
      <c r="GG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</row>
    <row r="740" spans="3:222" x14ac:dyDescent="0.3"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O740" s="1"/>
      <c r="AP740" s="1"/>
      <c r="AQ740" s="1"/>
      <c r="AR740" s="1"/>
      <c r="AS740" s="1"/>
      <c r="AU740" s="1"/>
      <c r="AV740" s="1"/>
      <c r="AW740" s="1"/>
      <c r="AX740" s="1"/>
      <c r="AY740" s="1"/>
      <c r="AZ740" s="1"/>
      <c r="BA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Q740" s="1"/>
      <c r="BR740" s="1"/>
      <c r="BS740" s="1"/>
      <c r="BT740" s="1"/>
      <c r="BU740" s="1"/>
      <c r="BV740" s="1"/>
      <c r="BW740" s="1"/>
      <c r="BX740" s="1"/>
      <c r="BY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D740" s="1"/>
      <c r="GE740" s="1"/>
      <c r="GF740" s="1"/>
      <c r="GG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</row>
    <row r="741" spans="3:222" x14ac:dyDescent="0.3"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O741" s="1"/>
      <c r="AP741" s="1"/>
      <c r="AQ741" s="1"/>
      <c r="AR741" s="1"/>
      <c r="AS741" s="1"/>
      <c r="AU741" s="1"/>
      <c r="AV741" s="1"/>
      <c r="AW741" s="1"/>
      <c r="AX741" s="1"/>
      <c r="AY741" s="1"/>
      <c r="AZ741" s="1"/>
      <c r="BA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Q741" s="1"/>
      <c r="BR741" s="1"/>
      <c r="BS741" s="1"/>
      <c r="BT741" s="1"/>
      <c r="BU741" s="1"/>
      <c r="BV741" s="1"/>
      <c r="BW741" s="1"/>
      <c r="BX741" s="1"/>
      <c r="BY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D741" s="1"/>
      <c r="GE741" s="1"/>
      <c r="GF741" s="1"/>
      <c r="GG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</row>
    <row r="742" spans="3:222" x14ac:dyDescent="0.3"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O742" s="1"/>
      <c r="AP742" s="1"/>
      <c r="AQ742" s="1"/>
      <c r="AR742" s="1"/>
      <c r="AS742" s="1"/>
      <c r="AU742" s="1"/>
      <c r="AV742" s="1"/>
      <c r="AW742" s="1"/>
      <c r="AX742" s="1"/>
      <c r="AY742" s="1"/>
      <c r="AZ742" s="1"/>
      <c r="BA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Q742" s="1"/>
      <c r="BR742" s="1"/>
      <c r="BS742" s="1"/>
      <c r="BT742" s="1"/>
      <c r="BU742" s="1"/>
      <c r="BV742" s="1"/>
      <c r="BW742" s="1"/>
      <c r="BX742" s="1"/>
      <c r="BY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D742" s="1"/>
      <c r="GE742" s="1"/>
      <c r="GF742" s="1"/>
      <c r="GG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</row>
    <row r="743" spans="3:222" x14ac:dyDescent="0.3"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O743" s="1"/>
      <c r="AP743" s="1"/>
      <c r="AQ743" s="1"/>
      <c r="AR743" s="1"/>
      <c r="AS743" s="1"/>
      <c r="AU743" s="1"/>
      <c r="AV743" s="1"/>
      <c r="AW743" s="1"/>
      <c r="AX743" s="1"/>
      <c r="AY743" s="1"/>
      <c r="AZ743" s="1"/>
      <c r="BA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Q743" s="1"/>
      <c r="BR743" s="1"/>
      <c r="BS743" s="1"/>
      <c r="BT743" s="1"/>
      <c r="BU743" s="1"/>
      <c r="BV743" s="1"/>
      <c r="BW743" s="1"/>
      <c r="BX743" s="1"/>
      <c r="BY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D743" s="1"/>
      <c r="GE743" s="1"/>
      <c r="GF743" s="1"/>
      <c r="GG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</row>
    <row r="744" spans="3:222" x14ac:dyDescent="0.3"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O744" s="1"/>
      <c r="AP744" s="1"/>
      <c r="AQ744" s="1"/>
      <c r="AR744" s="1"/>
      <c r="AS744" s="1"/>
      <c r="AU744" s="1"/>
      <c r="AV744" s="1"/>
      <c r="AW744" s="1"/>
      <c r="AX744" s="1"/>
      <c r="AY744" s="1"/>
      <c r="AZ744" s="1"/>
      <c r="BA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Q744" s="1"/>
      <c r="BR744" s="1"/>
      <c r="BS744" s="1"/>
      <c r="BT744" s="1"/>
      <c r="BU744" s="1"/>
      <c r="BV744" s="1"/>
      <c r="BW744" s="1"/>
      <c r="BX744" s="1"/>
      <c r="BY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D744" s="1"/>
      <c r="GE744" s="1"/>
      <c r="GF744" s="1"/>
      <c r="GG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</row>
    <row r="745" spans="3:222" x14ac:dyDescent="0.3"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O745" s="1"/>
      <c r="AP745" s="1"/>
      <c r="AQ745" s="1"/>
      <c r="AR745" s="1"/>
      <c r="AS745" s="1"/>
      <c r="AU745" s="1"/>
      <c r="AV745" s="1"/>
      <c r="AW745" s="1"/>
      <c r="AX745" s="1"/>
      <c r="AY745" s="1"/>
      <c r="AZ745" s="1"/>
      <c r="BA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Q745" s="1"/>
      <c r="BR745" s="1"/>
      <c r="BS745" s="1"/>
      <c r="BT745" s="1"/>
      <c r="BU745" s="1"/>
      <c r="BV745" s="1"/>
      <c r="BW745" s="1"/>
      <c r="BX745" s="1"/>
      <c r="BY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D745" s="1"/>
      <c r="GE745" s="1"/>
      <c r="GF745" s="1"/>
      <c r="GG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</row>
    <row r="746" spans="3:222" x14ac:dyDescent="0.3"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O746" s="1"/>
      <c r="AP746" s="1"/>
      <c r="AQ746" s="1"/>
      <c r="AR746" s="1"/>
      <c r="AS746" s="1"/>
      <c r="AU746" s="1"/>
      <c r="AV746" s="1"/>
      <c r="AW746" s="1"/>
      <c r="AX746" s="1"/>
      <c r="AY746" s="1"/>
      <c r="AZ746" s="1"/>
      <c r="BA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Q746" s="1"/>
      <c r="BR746" s="1"/>
      <c r="BS746" s="1"/>
      <c r="BT746" s="1"/>
      <c r="BU746" s="1"/>
      <c r="BV746" s="1"/>
      <c r="BW746" s="1"/>
      <c r="BX746" s="1"/>
      <c r="BY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D746" s="1"/>
      <c r="GE746" s="1"/>
      <c r="GF746" s="1"/>
      <c r="GG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</row>
    <row r="747" spans="3:222" x14ac:dyDescent="0.3"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O747" s="1"/>
      <c r="AP747" s="1"/>
      <c r="AQ747" s="1"/>
      <c r="AR747" s="1"/>
      <c r="AS747" s="1"/>
      <c r="AU747" s="1"/>
      <c r="AV747" s="1"/>
      <c r="AW747" s="1"/>
      <c r="AX747" s="1"/>
      <c r="AY747" s="1"/>
      <c r="AZ747" s="1"/>
      <c r="BA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Q747" s="1"/>
      <c r="BR747" s="1"/>
      <c r="BS747" s="1"/>
      <c r="BT747" s="1"/>
      <c r="BU747" s="1"/>
      <c r="BV747" s="1"/>
      <c r="BW747" s="1"/>
      <c r="BX747" s="1"/>
      <c r="BY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D747" s="1"/>
      <c r="GE747" s="1"/>
      <c r="GF747" s="1"/>
      <c r="GG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</row>
    <row r="748" spans="3:222" x14ac:dyDescent="0.3"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O748" s="1"/>
      <c r="AP748" s="1"/>
      <c r="AQ748" s="1"/>
      <c r="AR748" s="1"/>
      <c r="AS748" s="1"/>
      <c r="AU748" s="1"/>
      <c r="AV748" s="1"/>
      <c r="AW748" s="1"/>
      <c r="AX748" s="1"/>
      <c r="AY748" s="1"/>
      <c r="AZ748" s="1"/>
      <c r="BA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Q748" s="1"/>
      <c r="BR748" s="1"/>
      <c r="BS748" s="1"/>
      <c r="BT748" s="1"/>
      <c r="BU748" s="1"/>
      <c r="BV748" s="1"/>
      <c r="BW748" s="1"/>
      <c r="BX748" s="1"/>
      <c r="BY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D748" s="1"/>
      <c r="GE748" s="1"/>
      <c r="GF748" s="1"/>
      <c r="GG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</row>
    <row r="749" spans="3:222" x14ac:dyDescent="0.3"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O749" s="1"/>
      <c r="AP749" s="1"/>
      <c r="AQ749" s="1"/>
      <c r="AR749" s="1"/>
      <c r="AS749" s="1"/>
      <c r="AU749" s="1"/>
      <c r="AV749" s="1"/>
      <c r="AW749" s="1"/>
      <c r="AX749" s="1"/>
      <c r="AY749" s="1"/>
      <c r="AZ749" s="1"/>
      <c r="BA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Q749" s="1"/>
      <c r="BR749" s="1"/>
      <c r="BS749" s="1"/>
      <c r="BT749" s="1"/>
      <c r="BU749" s="1"/>
      <c r="BV749" s="1"/>
      <c r="BW749" s="1"/>
      <c r="BX749" s="1"/>
      <c r="BY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D749" s="1"/>
      <c r="GE749" s="1"/>
      <c r="GF749" s="1"/>
      <c r="GG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</row>
    <row r="750" spans="3:222" x14ac:dyDescent="0.3"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O750" s="1"/>
      <c r="AP750" s="1"/>
      <c r="AQ750" s="1"/>
      <c r="AR750" s="1"/>
      <c r="AS750" s="1"/>
      <c r="AU750" s="1"/>
      <c r="AV750" s="1"/>
      <c r="AW750" s="1"/>
      <c r="AX750" s="1"/>
      <c r="AY750" s="1"/>
      <c r="AZ750" s="1"/>
      <c r="BA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Q750" s="1"/>
      <c r="BR750" s="1"/>
      <c r="BS750" s="1"/>
      <c r="BT750" s="1"/>
      <c r="BU750" s="1"/>
      <c r="BV750" s="1"/>
      <c r="BW750" s="1"/>
      <c r="BX750" s="1"/>
      <c r="BY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D750" s="1"/>
      <c r="GE750" s="1"/>
      <c r="GF750" s="1"/>
      <c r="GG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</row>
    <row r="751" spans="3:222" x14ac:dyDescent="0.3"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O751" s="1"/>
      <c r="AP751" s="1"/>
      <c r="AQ751" s="1"/>
      <c r="AR751" s="1"/>
      <c r="AS751" s="1"/>
      <c r="AU751" s="1"/>
      <c r="AV751" s="1"/>
      <c r="AW751" s="1"/>
      <c r="AX751" s="1"/>
      <c r="AY751" s="1"/>
      <c r="AZ751" s="1"/>
      <c r="BA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Q751" s="1"/>
      <c r="BR751" s="1"/>
      <c r="BS751" s="1"/>
      <c r="BT751" s="1"/>
      <c r="BU751" s="1"/>
      <c r="BV751" s="1"/>
      <c r="BW751" s="1"/>
      <c r="BX751" s="1"/>
      <c r="BY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D751" s="1"/>
      <c r="GE751" s="1"/>
      <c r="GF751" s="1"/>
      <c r="GG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</row>
    <row r="752" spans="3:222" x14ac:dyDescent="0.3"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O752" s="1"/>
      <c r="AP752" s="1"/>
      <c r="AQ752" s="1"/>
      <c r="AR752" s="1"/>
      <c r="AS752" s="1"/>
      <c r="AU752" s="1"/>
      <c r="AV752" s="1"/>
      <c r="AW752" s="1"/>
      <c r="AX752" s="1"/>
      <c r="AY752" s="1"/>
      <c r="AZ752" s="1"/>
      <c r="BA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Q752" s="1"/>
      <c r="BR752" s="1"/>
      <c r="BS752" s="1"/>
      <c r="BT752" s="1"/>
      <c r="BU752" s="1"/>
      <c r="BV752" s="1"/>
      <c r="BW752" s="1"/>
      <c r="BX752" s="1"/>
      <c r="BY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D752" s="1"/>
      <c r="GE752" s="1"/>
      <c r="GF752" s="1"/>
      <c r="GG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</row>
    <row r="753" spans="3:222" x14ac:dyDescent="0.3"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O753" s="1"/>
      <c r="AP753" s="1"/>
      <c r="AQ753" s="1"/>
      <c r="AR753" s="1"/>
      <c r="AS753" s="1"/>
      <c r="AU753" s="1"/>
      <c r="AV753" s="1"/>
      <c r="AW753" s="1"/>
      <c r="AX753" s="1"/>
      <c r="AY753" s="1"/>
      <c r="AZ753" s="1"/>
      <c r="BA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Q753" s="1"/>
      <c r="BR753" s="1"/>
      <c r="BS753" s="1"/>
      <c r="BT753" s="1"/>
      <c r="BU753" s="1"/>
      <c r="BV753" s="1"/>
      <c r="BW753" s="1"/>
      <c r="BX753" s="1"/>
      <c r="BY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D753" s="1"/>
      <c r="GE753" s="1"/>
      <c r="GF753" s="1"/>
      <c r="GG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</row>
    <row r="754" spans="3:222" x14ac:dyDescent="0.3"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O754" s="1"/>
      <c r="AP754" s="1"/>
      <c r="AQ754" s="1"/>
      <c r="AR754" s="1"/>
      <c r="AS754" s="1"/>
      <c r="AU754" s="1"/>
      <c r="AV754" s="1"/>
      <c r="AW754" s="1"/>
      <c r="AX754" s="1"/>
      <c r="AY754" s="1"/>
      <c r="AZ754" s="1"/>
      <c r="BA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Q754" s="1"/>
      <c r="BR754" s="1"/>
      <c r="BS754" s="1"/>
      <c r="BT754" s="1"/>
      <c r="BU754" s="1"/>
      <c r="BV754" s="1"/>
      <c r="BW754" s="1"/>
      <c r="BX754" s="1"/>
      <c r="BY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D754" s="1"/>
      <c r="GE754" s="1"/>
      <c r="GF754" s="1"/>
      <c r="GG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</row>
    <row r="755" spans="3:222" x14ac:dyDescent="0.3"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O755" s="1"/>
      <c r="AP755" s="1"/>
      <c r="AQ755" s="1"/>
      <c r="AR755" s="1"/>
      <c r="AS755" s="1"/>
      <c r="AU755" s="1"/>
      <c r="AV755" s="1"/>
      <c r="AW755" s="1"/>
      <c r="AX755" s="1"/>
      <c r="AY755" s="1"/>
      <c r="AZ755" s="1"/>
      <c r="BA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Q755" s="1"/>
      <c r="BR755" s="1"/>
      <c r="BS755" s="1"/>
      <c r="BT755" s="1"/>
      <c r="BU755" s="1"/>
      <c r="BV755" s="1"/>
      <c r="BW755" s="1"/>
      <c r="BX755" s="1"/>
      <c r="BY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D755" s="1"/>
      <c r="GE755" s="1"/>
      <c r="GF755" s="1"/>
      <c r="GG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</row>
    <row r="756" spans="3:222" x14ac:dyDescent="0.3"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O756" s="1"/>
      <c r="AP756" s="1"/>
      <c r="AQ756" s="1"/>
      <c r="AR756" s="1"/>
      <c r="AS756" s="1"/>
      <c r="AU756" s="1"/>
      <c r="AV756" s="1"/>
      <c r="AW756" s="1"/>
      <c r="AX756" s="1"/>
      <c r="AY756" s="1"/>
      <c r="AZ756" s="1"/>
      <c r="BA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Q756" s="1"/>
      <c r="BR756" s="1"/>
      <c r="BS756" s="1"/>
      <c r="BT756" s="1"/>
      <c r="BU756" s="1"/>
      <c r="BV756" s="1"/>
      <c r="BW756" s="1"/>
      <c r="BX756" s="1"/>
      <c r="BY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D756" s="1"/>
      <c r="GE756" s="1"/>
      <c r="GF756" s="1"/>
      <c r="GG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</row>
    <row r="757" spans="3:222" x14ac:dyDescent="0.3"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O757" s="1"/>
      <c r="AP757" s="1"/>
      <c r="AQ757" s="1"/>
      <c r="AR757" s="1"/>
      <c r="AS757" s="1"/>
      <c r="AU757" s="1"/>
      <c r="AV757" s="1"/>
      <c r="AW757" s="1"/>
      <c r="AX757" s="1"/>
      <c r="AY757" s="1"/>
      <c r="AZ757" s="1"/>
      <c r="BA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Q757" s="1"/>
      <c r="BR757" s="1"/>
      <c r="BS757" s="1"/>
      <c r="BT757" s="1"/>
      <c r="BU757" s="1"/>
      <c r="BV757" s="1"/>
      <c r="BW757" s="1"/>
      <c r="BX757" s="1"/>
      <c r="BY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D757" s="1"/>
      <c r="GE757" s="1"/>
      <c r="GF757" s="1"/>
      <c r="GG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</row>
    <row r="758" spans="3:222" x14ac:dyDescent="0.3"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O758" s="1"/>
      <c r="AP758" s="1"/>
      <c r="AQ758" s="1"/>
      <c r="AR758" s="1"/>
      <c r="AS758" s="1"/>
      <c r="AU758" s="1"/>
      <c r="AV758" s="1"/>
      <c r="AW758" s="1"/>
      <c r="AX758" s="1"/>
      <c r="AY758" s="1"/>
      <c r="AZ758" s="1"/>
      <c r="BA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Q758" s="1"/>
      <c r="BR758" s="1"/>
      <c r="BS758" s="1"/>
      <c r="BT758" s="1"/>
      <c r="BU758" s="1"/>
      <c r="BV758" s="1"/>
      <c r="BW758" s="1"/>
      <c r="BX758" s="1"/>
      <c r="BY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D758" s="1"/>
      <c r="GE758" s="1"/>
      <c r="GF758" s="1"/>
      <c r="GG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</row>
    <row r="759" spans="3:222" x14ac:dyDescent="0.3"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O759" s="1"/>
      <c r="AP759" s="1"/>
      <c r="AQ759" s="1"/>
      <c r="AR759" s="1"/>
      <c r="AS759" s="1"/>
      <c r="AU759" s="1"/>
      <c r="AV759" s="1"/>
      <c r="AW759" s="1"/>
      <c r="AX759" s="1"/>
      <c r="AY759" s="1"/>
      <c r="AZ759" s="1"/>
      <c r="BA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Q759" s="1"/>
      <c r="BR759" s="1"/>
      <c r="BS759" s="1"/>
      <c r="BT759" s="1"/>
      <c r="BU759" s="1"/>
      <c r="BV759" s="1"/>
      <c r="BW759" s="1"/>
      <c r="BX759" s="1"/>
      <c r="BY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D759" s="1"/>
      <c r="GE759" s="1"/>
      <c r="GF759" s="1"/>
      <c r="GG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</row>
    <row r="760" spans="3:222" x14ac:dyDescent="0.3"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O760" s="1"/>
      <c r="AP760" s="1"/>
      <c r="AQ760" s="1"/>
      <c r="AR760" s="1"/>
      <c r="AS760" s="1"/>
      <c r="AU760" s="1"/>
      <c r="AV760" s="1"/>
      <c r="AW760" s="1"/>
      <c r="AX760" s="1"/>
      <c r="AY760" s="1"/>
      <c r="AZ760" s="1"/>
      <c r="BA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Q760" s="1"/>
      <c r="BR760" s="1"/>
      <c r="BS760" s="1"/>
      <c r="BT760" s="1"/>
      <c r="BU760" s="1"/>
      <c r="BV760" s="1"/>
      <c r="BW760" s="1"/>
      <c r="BX760" s="1"/>
      <c r="BY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D760" s="1"/>
      <c r="GE760" s="1"/>
      <c r="GF760" s="1"/>
      <c r="GG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</row>
    <row r="761" spans="3:222" x14ac:dyDescent="0.3"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O761" s="1"/>
      <c r="AP761" s="1"/>
      <c r="AQ761" s="1"/>
      <c r="AR761" s="1"/>
      <c r="AS761" s="1"/>
      <c r="AU761" s="1"/>
      <c r="AV761" s="1"/>
      <c r="AW761" s="1"/>
      <c r="AX761" s="1"/>
      <c r="AY761" s="1"/>
      <c r="AZ761" s="1"/>
      <c r="BA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Q761" s="1"/>
      <c r="BR761" s="1"/>
      <c r="BS761" s="1"/>
      <c r="BT761" s="1"/>
      <c r="BU761" s="1"/>
      <c r="BV761" s="1"/>
      <c r="BW761" s="1"/>
      <c r="BX761" s="1"/>
      <c r="BY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D761" s="1"/>
      <c r="GE761" s="1"/>
      <c r="GF761" s="1"/>
      <c r="GG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</row>
    <row r="762" spans="3:222" x14ac:dyDescent="0.3"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O762" s="1"/>
      <c r="AP762" s="1"/>
      <c r="AQ762" s="1"/>
      <c r="AR762" s="1"/>
      <c r="AS762" s="1"/>
      <c r="AU762" s="1"/>
      <c r="AV762" s="1"/>
      <c r="AW762" s="1"/>
      <c r="AX762" s="1"/>
      <c r="AY762" s="1"/>
      <c r="AZ762" s="1"/>
      <c r="BA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Q762" s="1"/>
      <c r="BR762" s="1"/>
      <c r="BS762" s="1"/>
      <c r="BT762" s="1"/>
      <c r="BU762" s="1"/>
      <c r="BV762" s="1"/>
      <c r="BW762" s="1"/>
      <c r="BX762" s="1"/>
      <c r="BY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D762" s="1"/>
      <c r="GE762" s="1"/>
      <c r="GF762" s="1"/>
      <c r="GG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</row>
    <row r="763" spans="3:222" x14ac:dyDescent="0.3"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O763" s="1"/>
      <c r="AP763" s="1"/>
      <c r="AQ763" s="1"/>
      <c r="AR763" s="1"/>
      <c r="AS763" s="1"/>
      <c r="AU763" s="1"/>
      <c r="AV763" s="1"/>
      <c r="AW763" s="1"/>
      <c r="AX763" s="1"/>
      <c r="AY763" s="1"/>
      <c r="AZ763" s="1"/>
      <c r="BA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Q763" s="1"/>
      <c r="BR763" s="1"/>
      <c r="BS763" s="1"/>
      <c r="BT763" s="1"/>
      <c r="BU763" s="1"/>
      <c r="BV763" s="1"/>
      <c r="BW763" s="1"/>
      <c r="BX763" s="1"/>
      <c r="BY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D763" s="1"/>
      <c r="GE763" s="1"/>
      <c r="GF763" s="1"/>
      <c r="GG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</row>
    <row r="764" spans="3:222" x14ac:dyDescent="0.3"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O764" s="1"/>
      <c r="AP764" s="1"/>
      <c r="AQ764" s="1"/>
      <c r="AR764" s="1"/>
      <c r="AS764" s="1"/>
      <c r="AU764" s="1"/>
      <c r="AV764" s="1"/>
      <c r="AW764" s="1"/>
      <c r="AX764" s="1"/>
      <c r="AY764" s="1"/>
      <c r="AZ764" s="1"/>
      <c r="BA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Q764" s="1"/>
      <c r="BR764" s="1"/>
      <c r="BS764" s="1"/>
      <c r="BT764" s="1"/>
      <c r="BU764" s="1"/>
      <c r="BV764" s="1"/>
      <c r="BW764" s="1"/>
      <c r="BX764" s="1"/>
      <c r="BY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D764" s="1"/>
      <c r="GE764" s="1"/>
      <c r="GF764" s="1"/>
      <c r="GG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</row>
    <row r="765" spans="3:222" x14ac:dyDescent="0.3"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O765" s="1"/>
      <c r="AP765" s="1"/>
      <c r="AQ765" s="1"/>
      <c r="AR765" s="1"/>
      <c r="AS765" s="1"/>
      <c r="AU765" s="1"/>
      <c r="AV765" s="1"/>
      <c r="AW765" s="1"/>
      <c r="AX765" s="1"/>
      <c r="AY765" s="1"/>
      <c r="AZ765" s="1"/>
      <c r="BA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Q765" s="1"/>
      <c r="BR765" s="1"/>
      <c r="BS765" s="1"/>
      <c r="BT765" s="1"/>
      <c r="BU765" s="1"/>
      <c r="BV765" s="1"/>
      <c r="BW765" s="1"/>
      <c r="BX765" s="1"/>
      <c r="BY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D765" s="1"/>
      <c r="GE765" s="1"/>
      <c r="GF765" s="1"/>
      <c r="GG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</row>
    <row r="766" spans="3:222" x14ac:dyDescent="0.3"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O766" s="1"/>
      <c r="AP766" s="1"/>
      <c r="AQ766" s="1"/>
      <c r="AR766" s="1"/>
      <c r="AS766" s="1"/>
      <c r="AU766" s="1"/>
      <c r="AV766" s="1"/>
      <c r="AW766" s="1"/>
      <c r="AX766" s="1"/>
      <c r="AY766" s="1"/>
      <c r="AZ766" s="1"/>
      <c r="BA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Q766" s="1"/>
      <c r="BR766" s="1"/>
      <c r="BS766" s="1"/>
      <c r="BT766" s="1"/>
      <c r="BU766" s="1"/>
      <c r="BV766" s="1"/>
      <c r="BW766" s="1"/>
      <c r="BX766" s="1"/>
      <c r="BY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D766" s="1"/>
      <c r="GE766" s="1"/>
      <c r="GF766" s="1"/>
      <c r="GG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</row>
    <row r="767" spans="3:222" x14ac:dyDescent="0.3"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O767" s="1"/>
      <c r="AP767" s="1"/>
      <c r="AQ767" s="1"/>
      <c r="AR767" s="1"/>
      <c r="AS767" s="1"/>
      <c r="AU767" s="1"/>
      <c r="AV767" s="1"/>
      <c r="AW767" s="1"/>
      <c r="AX767" s="1"/>
      <c r="AY767" s="1"/>
      <c r="AZ767" s="1"/>
      <c r="BA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Q767" s="1"/>
      <c r="BR767" s="1"/>
      <c r="BS767" s="1"/>
      <c r="BT767" s="1"/>
      <c r="BU767" s="1"/>
      <c r="BV767" s="1"/>
      <c r="BW767" s="1"/>
      <c r="BX767" s="1"/>
      <c r="BY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D767" s="1"/>
      <c r="GE767" s="1"/>
      <c r="GF767" s="1"/>
      <c r="GG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</row>
    <row r="768" spans="3:222" x14ac:dyDescent="0.3"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O768" s="1"/>
      <c r="AP768" s="1"/>
      <c r="AQ768" s="1"/>
      <c r="AR768" s="1"/>
      <c r="AS768" s="1"/>
      <c r="AU768" s="1"/>
      <c r="AV768" s="1"/>
      <c r="AW768" s="1"/>
      <c r="AX768" s="1"/>
      <c r="AY768" s="1"/>
      <c r="AZ768" s="1"/>
      <c r="BA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Q768" s="1"/>
      <c r="BR768" s="1"/>
      <c r="BS768" s="1"/>
      <c r="BT768" s="1"/>
      <c r="BU768" s="1"/>
      <c r="BV768" s="1"/>
      <c r="BW768" s="1"/>
      <c r="BX768" s="1"/>
      <c r="BY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D768" s="1"/>
      <c r="GE768" s="1"/>
      <c r="GF768" s="1"/>
      <c r="GG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</row>
    <row r="769" spans="3:222" x14ac:dyDescent="0.3"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O769" s="1"/>
      <c r="AP769" s="1"/>
      <c r="AQ769" s="1"/>
      <c r="AR769" s="1"/>
      <c r="AS769" s="1"/>
      <c r="AU769" s="1"/>
      <c r="AV769" s="1"/>
      <c r="AW769" s="1"/>
      <c r="AX769" s="1"/>
      <c r="AY769" s="1"/>
      <c r="AZ769" s="1"/>
      <c r="BA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Q769" s="1"/>
      <c r="BR769" s="1"/>
      <c r="BS769" s="1"/>
      <c r="BT769" s="1"/>
      <c r="BU769" s="1"/>
      <c r="BV769" s="1"/>
      <c r="BW769" s="1"/>
      <c r="BX769" s="1"/>
      <c r="BY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D769" s="1"/>
      <c r="GE769" s="1"/>
      <c r="GF769" s="1"/>
      <c r="GG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</row>
    <row r="770" spans="3:222" x14ac:dyDescent="0.3"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O770" s="1"/>
      <c r="AP770" s="1"/>
      <c r="AQ770" s="1"/>
      <c r="AR770" s="1"/>
      <c r="AS770" s="1"/>
      <c r="AU770" s="1"/>
      <c r="AV770" s="1"/>
      <c r="AW770" s="1"/>
      <c r="AX770" s="1"/>
      <c r="AY770" s="1"/>
      <c r="AZ770" s="1"/>
      <c r="BA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Q770" s="1"/>
      <c r="BR770" s="1"/>
      <c r="BS770" s="1"/>
      <c r="BT770" s="1"/>
      <c r="BU770" s="1"/>
      <c r="BV770" s="1"/>
      <c r="BW770" s="1"/>
      <c r="BX770" s="1"/>
      <c r="BY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D770" s="1"/>
      <c r="GE770" s="1"/>
      <c r="GF770" s="1"/>
      <c r="GG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</row>
    <row r="771" spans="3:222" x14ac:dyDescent="0.3"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O771" s="1"/>
      <c r="AP771" s="1"/>
      <c r="AQ771" s="1"/>
      <c r="AR771" s="1"/>
      <c r="AS771" s="1"/>
      <c r="AU771" s="1"/>
      <c r="AV771" s="1"/>
      <c r="AW771" s="1"/>
      <c r="AX771" s="1"/>
      <c r="AY771" s="1"/>
      <c r="AZ771" s="1"/>
      <c r="BA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Q771" s="1"/>
      <c r="BR771" s="1"/>
      <c r="BS771" s="1"/>
      <c r="BT771" s="1"/>
      <c r="BU771" s="1"/>
      <c r="BV771" s="1"/>
      <c r="BW771" s="1"/>
      <c r="BX771" s="1"/>
      <c r="BY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D771" s="1"/>
      <c r="GE771" s="1"/>
      <c r="GF771" s="1"/>
      <c r="GG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</row>
    <row r="772" spans="3:222" x14ac:dyDescent="0.3"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O772" s="1"/>
      <c r="AP772" s="1"/>
      <c r="AQ772" s="1"/>
      <c r="AR772" s="1"/>
      <c r="AS772" s="1"/>
      <c r="AU772" s="1"/>
      <c r="AV772" s="1"/>
      <c r="AW772" s="1"/>
      <c r="AX772" s="1"/>
      <c r="AY772" s="1"/>
      <c r="AZ772" s="1"/>
      <c r="BA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Q772" s="1"/>
      <c r="BR772" s="1"/>
      <c r="BS772" s="1"/>
      <c r="BT772" s="1"/>
      <c r="BU772" s="1"/>
      <c r="BV772" s="1"/>
      <c r="BW772" s="1"/>
      <c r="BX772" s="1"/>
      <c r="BY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D772" s="1"/>
      <c r="GE772" s="1"/>
      <c r="GF772" s="1"/>
      <c r="GG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</row>
    <row r="773" spans="3:222" x14ac:dyDescent="0.3"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O773" s="1"/>
      <c r="AP773" s="1"/>
      <c r="AQ773" s="1"/>
      <c r="AR773" s="1"/>
      <c r="AS773" s="1"/>
      <c r="AU773" s="1"/>
      <c r="AV773" s="1"/>
      <c r="AW773" s="1"/>
      <c r="AX773" s="1"/>
      <c r="AY773" s="1"/>
      <c r="AZ773" s="1"/>
      <c r="BA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Q773" s="1"/>
      <c r="BR773" s="1"/>
      <c r="BS773" s="1"/>
      <c r="BT773" s="1"/>
      <c r="BU773" s="1"/>
      <c r="BV773" s="1"/>
      <c r="BW773" s="1"/>
      <c r="BX773" s="1"/>
      <c r="BY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D773" s="1"/>
      <c r="GE773" s="1"/>
      <c r="GF773" s="1"/>
      <c r="GG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</row>
    <row r="774" spans="3:222" x14ac:dyDescent="0.3"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O774" s="1"/>
      <c r="AP774" s="1"/>
      <c r="AQ774" s="1"/>
      <c r="AR774" s="1"/>
      <c r="AS774" s="1"/>
      <c r="AU774" s="1"/>
      <c r="AV774" s="1"/>
      <c r="AW774" s="1"/>
      <c r="AX774" s="1"/>
      <c r="AY774" s="1"/>
      <c r="AZ774" s="1"/>
      <c r="BA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Q774" s="1"/>
      <c r="BR774" s="1"/>
      <c r="BS774" s="1"/>
      <c r="BT774" s="1"/>
      <c r="BU774" s="1"/>
      <c r="BV774" s="1"/>
      <c r="BW774" s="1"/>
      <c r="BX774" s="1"/>
      <c r="BY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D774" s="1"/>
      <c r="GE774" s="1"/>
      <c r="GF774" s="1"/>
      <c r="GG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</row>
    <row r="775" spans="3:222" x14ac:dyDescent="0.3"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O775" s="1"/>
      <c r="AP775" s="1"/>
      <c r="AQ775" s="1"/>
      <c r="AR775" s="1"/>
      <c r="AS775" s="1"/>
      <c r="AU775" s="1"/>
      <c r="AV775" s="1"/>
      <c r="AW775" s="1"/>
      <c r="AX775" s="1"/>
      <c r="AY775" s="1"/>
      <c r="AZ775" s="1"/>
      <c r="BA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Q775" s="1"/>
      <c r="BR775" s="1"/>
      <c r="BS775" s="1"/>
      <c r="BT775" s="1"/>
      <c r="BU775" s="1"/>
      <c r="BV775" s="1"/>
      <c r="BW775" s="1"/>
      <c r="BX775" s="1"/>
      <c r="BY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D775" s="1"/>
      <c r="GE775" s="1"/>
      <c r="GF775" s="1"/>
      <c r="GG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</row>
    <row r="776" spans="3:222" x14ac:dyDescent="0.3"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O776" s="1"/>
      <c r="AP776" s="1"/>
      <c r="AQ776" s="1"/>
      <c r="AR776" s="1"/>
      <c r="AS776" s="1"/>
      <c r="AU776" s="1"/>
      <c r="AV776" s="1"/>
      <c r="AW776" s="1"/>
      <c r="AX776" s="1"/>
      <c r="AY776" s="1"/>
      <c r="AZ776" s="1"/>
      <c r="BA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Q776" s="1"/>
      <c r="BR776" s="1"/>
      <c r="BS776" s="1"/>
      <c r="BT776" s="1"/>
      <c r="BU776" s="1"/>
      <c r="BV776" s="1"/>
      <c r="BW776" s="1"/>
      <c r="BX776" s="1"/>
      <c r="BY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D776" s="1"/>
      <c r="GE776" s="1"/>
      <c r="GF776" s="1"/>
      <c r="GG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</row>
    <row r="777" spans="3:222" x14ac:dyDescent="0.3"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O777" s="1"/>
      <c r="AP777" s="1"/>
      <c r="AQ777" s="1"/>
      <c r="AR777" s="1"/>
      <c r="AS777" s="1"/>
      <c r="AU777" s="1"/>
      <c r="AV777" s="1"/>
      <c r="AW777" s="1"/>
      <c r="AX777" s="1"/>
      <c r="AY777" s="1"/>
      <c r="AZ777" s="1"/>
      <c r="BA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Q777" s="1"/>
      <c r="BR777" s="1"/>
      <c r="BS777" s="1"/>
      <c r="BT777" s="1"/>
      <c r="BU777" s="1"/>
      <c r="BV777" s="1"/>
      <c r="BW777" s="1"/>
      <c r="BX777" s="1"/>
      <c r="BY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D777" s="1"/>
      <c r="GE777" s="1"/>
      <c r="GF777" s="1"/>
      <c r="GG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</row>
    <row r="778" spans="3:222" x14ac:dyDescent="0.3"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O778" s="1"/>
      <c r="AP778" s="1"/>
      <c r="AQ778" s="1"/>
      <c r="AR778" s="1"/>
      <c r="AS778" s="1"/>
      <c r="AU778" s="1"/>
      <c r="AV778" s="1"/>
      <c r="AW778" s="1"/>
      <c r="AX778" s="1"/>
      <c r="AY778" s="1"/>
      <c r="AZ778" s="1"/>
      <c r="BA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Q778" s="1"/>
      <c r="BR778" s="1"/>
      <c r="BS778" s="1"/>
      <c r="BT778" s="1"/>
      <c r="BU778" s="1"/>
      <c r="BV778" s="1"/>
      <c r="BW778" s="1"/>
      <c r="BX778" s="1"/>
      <c r="BY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D778" s="1"/>
      <c r="GE778" s="1"/>
      <c r="GF778" s="1"/>
      <c r="GG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</row>
    <row r="779" spans="3:222" x14ac:dyDescent="0.3"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O779" s="1"/>
      <c r="AP779" s="1"/>
      <c r="AQ779" s="1"/>
      <c r="AR779" s="1"/>
      <c r="AS779" s="1"/>
      <c r="AU779" s="1"/>
      <c r="AV779" s="1"/>
      <c r="AW779" s="1"/>
      <c r="AX779" s="1"/>
      <c r="AY779" s="1"/>
      <c r="AZ779" s="1"/>
      <c r="BA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Q779" s="1"/>
      <c r="BR779" s="1"/>
      <c r="BS779" s="1"/>
      <c r="BT779" s="1"/>
      <c r="BU779" s="1"/>
      <c r="BV779" s="1"/>
      <c r="BW779" s="1"/>
      <c r="BX779" s="1"/>
      <c r="BY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D779" s="1"/>
      <c r="GE779" s="1"/>
      <c r="GF779" s="1"/>
      <c r="GG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</row>
    <row r="780" spans="3:222" x14ac:dyDescent="0.3"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O780" s="1"/>
      <c r="AP780" s="1"/>
      <c r="AQ780" s="1"/>
      <c r="AR780" s="1"/>
      <c r="AS780" s="1"/>
      <c r="AU780" s="1"/>
      <c r="AV780" s="1"/>
      <c r="AW780" s="1"/>
      <c r="AX780" s="1"/>
      <c r="AY780" s="1"/>
      <c r="AZ780" s="1"/>
      <c r="BA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Q780" s="1"/>
      <c r="BR780" s="1"/>
      <c r="BS780" s="1"/>
      <c r="BT780" s="1"/>
      <c r="BU780" s="1"/>
      <c r="BV780" s="1"/>
      <c r="BW780" s="1"/>
      <c r="BX780" s="1"/>
      <c r="BY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D780" s="1"/>
      <c r="GE780" s="1"/>
      <c r="GF780" s="1"/>
      <c r="GG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</row>
    <row r="781" spans="3:222" x14ac:dyDescent="0.3"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O781" s="1"/>
      <c r="AP781" s="1"/>
      <c r="AQ781" s="1"/>
      <c r="AR781" s="1"/>
      <c r="AS781" s="1"/>
      <c r="AU781" s="1"/>
      <c r="AV781" s="1"/>
      <c r="AW781" s="1"/>
      <c r="AX781" s="1"/>
      <c r="AY781" s="1"/>
      <c r="AZ781" s="1"/>
      <c r="BA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Q781" s="1"/>
      <c r="BR781" s="1"/>
      <c r="BS781" s="1"/>
      <c r="BT781" s="1"/>
      <c r="BU781" s="1"/>
      <c r="BV781" s="1"/>
      <c r="BW781" s="1"/>
      <c r="BX781" s="1"/>
      <c r="BY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D781" s="1"/>
      <c r="GE781" s="1"/>
      <c r="GF781" s="1"/>
      <c r="GG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</row>
    <row r="782" spans="3:222" x14ac:dyDescent="0.3"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O782" s="1"/>
      <c r="AP782" s="1"/>
      <c r="AQ782" s="1"/>
      <c r="AR782" s="1"/>
      <c r="AS782" s="1"/>
      <c r="AU782" s="1"/>
      <c r="AV782" s="1"/>
      <c r="AW782" s="1"/>
      <c r="AX782" s="1"/>
      <c r="AY782" s="1"/>
      <c r="AZ782" s="1"/>
      <c r="BA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Q782" s="1"/>
      <c r="BR782" s="1"/>
      <c r="BS782" s="1"/>
      <c r="BT782" s="1"/>
      <c r="BU782" s="1"/>
      <c r="BV782" s="1"/>
      <c r="BW782" s="1"/>
      <c r="BX782" s="1"/>
      <c r="BY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D782" s="1"/>
      <c r="GE782" s="1"/>
      <c r="GF782" s="1"/>
      <c r="GG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</row>
    <row r="783" spans="3:222" x14ac:dyDescent="0.3"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O783" s="1"/>
      <c r="AP783" s="1"/>
      <c r="AQ783" s="1"/>
      <c r="AR783" s="1"/>
      <c r="AS783" s="1"/>
      <c r="AU783" s="1"/>
      <c r="AV783" s="1"/>
      <c r="AW783" s="1"/>
      <c r="AX783" s="1"/>
      <c r="AY783" s="1"/>
      <c r="AZ783" s="1"/>
      <c r="BA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Q783" s="1"/>
      <c r="BR783" s="1"/>
      <c r="BS783" s="1"/>
      <c r="BT783" s="1"/>
      <c r="BU783" s="1"/>
      <c r="BV783" s="1"/>
      <c r="BW783" s="1"/>
      <c r="BX783" s="1"/>
      <c r="BY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D783" s="1"/>
      <c r="GE783" s="1"/>
      <c r="GF783" s="1"/>
      <c r="GG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</row>
    <row r="784" spans="3:222" x14ac:dyDescent="0.3"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O784" s="1"/>
      <c r="AP784" s="1"/>
      <c r="AQ784" s="1"/>
      <c r="AR784" s="1"/>
      <c r="AS784" s="1"/>
      <c r="AU784" s="1"/>
      <c r="AV784" s="1"/>
      <c r="AW784" s="1"/>
      <c r="AX784" s="1"/>
      <c r="AY784" s="1"/>
      <c r="AZ784" s="1"/>
      <c r="BA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Q784" s="1"/>
      <c r="BR784" s="1"/>
      <c r="BS784" s="1"/>
      <c r="BT784" s="1"/>
      <c r="BU784" s="1"/>
      <c r="BV784" s="1"/>
      <c r="BW784" s="1"/>
      <c r="BX784" s="1"/>
      <c r="BY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D784" s="1"/>
      <c r="GE784" s="1"/>
      <c r="GF784" s="1"/>
      <c r="GG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</row>
    <row r="785" spans="3:222" x14ac:dyDescent="0.3"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O785" s="1"/>
      <c r="AP785" s="1"/>
      <c r="AQ785" s="1"/>
      <c r="AR785" s="1"/>
      <c r="AS785" s="1"/>
      <c r="AU785" s="1"/>
      <c r="AV785" s="1"/>
      <c r="AW785" s="1"/>
      <c r="AX785" s="1"/>
      <c r="AY785" s="1"/>
      <c r="AZ785" s="1"/>
      <c r="BA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Q785" s="1"/>
      <c r="BR785" s="1"/>
      <c r="BS785" s="1"/>
      <c r="BT785" s="1"/>
      <c r="BU785" s="1"/>
      <c r="BV785" s="1"/>
      <c r="BW785" s="1"/>
      <c r="BX785" s="1"/>
      <c r="BY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D785" s="1"/>
      <c r="GE785" s="1"/>
      <c r="GF785" s="1"/>
      <c r="GG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</row>
    <row r="786" spans="3:222" x14ac:dyDescent="0.3"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O786" s="1"/>
      <c r="AP786" s="1"/>
      <c r="AQ786" s="1"/>
      <c r="AR786" s="1"/>
      <c r="AS786" s="1"/>
      <c r="AU786" s="1"/>
      <c r="AV786" s="1"/>
      <c r="AW786" s="1"/>
      <c r="AX786" s="1"/>
      <c r="AY786" s="1"/>
      <c r="AZ786" s="1"/>
      <c r="BA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Q786" s="1"/>
      <c r="BR786" s="1"/>
      <c r="BS786" s="1"/>
      <c r="BT786" s="1"/>
      <c r="BU786" s="1"/>
      <c r="BV786" s="1"/>
      <c r="BW786" s="1"/>
      <c r="BX786" s="1"/>
      <c r="BY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D786" s="1"/>
      <c r="GE786" s="1"/>
      <c r="GF786" s="1"/>
      <c r="GG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</row>
    <row r="787" spans="3:222" x14ac:dyDescent="0.3"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O787" s="1"/>
      <c r="AP787" s="1"/>
      <c r="AQ787" s="1"/>
      <c r="AR787" s="1"/>
      <c r="AS787" s="1"/>
      <c r="AU787" s="1"/>
      <c r="AV787" s="1"/>
      <c r="AW787" s="1"/>
      <c r="AX787" s="1"/>
      <c r="AY787" s="1"/>
      <c r="AZ787" s="1"/>
      <c r="BA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Q787" s="1"/>
      <c r="BR787" s="1"/>
      <c r="BS787" s="1"/>
      <c r="BT787" s="1"/>
      <c r="BU787" s="1"/>
      <c r="BV787" s="1"/>
      <c r="BW787" s="1"/>
      <c r="BX787" s="1"/>
      <c r="BY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D787" s="1"/>
      <c r="GE787" s="1"/>
      <c r="GF787" s="1"/>
      <c r="GG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</row>
    <row r="788" spans="3:222" x14ac:dyDescent="0.3"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O788" s="1"/>
      <c r="AP788" s="1"/>
      <c r="AQ788" s="1"/>
      <c r="AR788" s="1"/>
      <c r="AS788" s="1"/>
      <c r="AU788" s="1"/>
      <c r="AV788" s="1"/>
      <c r="AW788" s="1"/>
      <c r="AX788" s="1"/>
      <c r="AY788" s="1"/>
      <c r="AZ788" s="1"/>
      <c r="BA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Q788" s="1"/>
      <c r="BR788" s="1"/>
      <c r="BS788" s="1"/>
      <c r="BT788" s="1"/>
      <c r="BU788" s="1"/>
      <c r="BV788" s="1"/>
      <c r="BW788" s="1"/>
      <c r="BX788" s="1"/>
      <c r="BY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D788" s="1"/>
      <c r="GE788" s="1"/>
      <c r="GF788" s="1"/>
      <c r="GG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</row>
    <row r="789" spans="3:222" x14ac:dyDescent="0.3"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O789" s="1"/>
      <c r="AP789" s="1"/>
      <c r="AQ789" s="1"/>
      <c r="AR789" s="1"/>
      <c r="AS789" s="1"/>
      <c r="AU789" s="1"/>
      <c r="AV789" s="1"/>
      <c r="AW789" s="1"/>
      <c r="AX789" s="1"/>
      <c r="AY789" s="1"/>
      <c r="AZ789" s="1"/>
      <c r="BA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Q789" s="1"/>
      <c r="BR789" s="1"/>
      <c r="BS789" s="1"/>
      <c r="BT789" s="1"/>
      <c r="BU789" s="1"/>
      <c r="BV789" s="1"/>
      <c r="BW789" s="1"/>
      <c r="BX789" s="1"/>
      <c r="BY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D789" s="1"/>
      <c r="GE789" s="1"/>
      <c r="GF789" s="1"/>
      <c r="GG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</row>
    <row r="790" spans="3:222" x14ac:dyDescent="0.3"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O790" s="1"/>
      <c r="AP790" s="1"/>
      <c r="AQ790" s="1"/>
      <c r="AR790" s="1"/>
      <c r="AS790" s="1"/>
      <c r="AU790" s="1"/>
      <c r="AV790" s="1"/>
      <c r="AW790" s="1"/>
      <c r="AX790" s="1"/>
      <c r="AY790" s="1"/>
      <c r="AZ790" s="1"/>
      <c r="BA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Q790" s="1"/>
      <c r="BR790" s="1"/>
      <c r="BS790" s="1"/>
      <c r="BT790" s="1"/>
      <c r="BU790" s="1"/>
      <c r="BV790" s="1"/>
      <c r="BW790" s="1"/>
      <c r="BX790" s="1"/>
      <c r="BY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D790" s="1"/>
      <c r="GE790" s="1"/>
      <c r="GF790" s="1"/>
      <c r="GG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</row>
    <row r="791" spans="3:222" x14ac:dyDescent="0.3"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O791" s="1"/>
      <c r="AP791" s="1"/>
      <c r="AQ791" s="1"/>
      <c r="AR791" s="1"/>
      <c r="AS791" s="1"/>
      <c r="AU791" s="1"/>
      <c r="AV791" s="1"/>
      <c r="AW791" s="1"/>
      <c r="AX791" s="1"/>
      <c r="AY791" s="1"/>
      <c r="AZ791" s="1"/>
      <c r="BA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Q791" s="1"/>
      <c r="BR791" s="1"/>
      <c r="BS791" s="1"/>
      <c r="BT791" s="1"/>
      <c r="BU791" s="1"/>
      <c r="BV791" s="1"/>
      <c r="BW791" s="1"/>
      <c r="BX791" s="1"/>
      <c r="BY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D791" s="1"/>
      <c r="GE791" s="1"/>
      <c r="GF791" s="1"/>
      <c r="GG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</row>
    <row r="792" spans="3:222" x14ac:dyDescent="0.3"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O792" s="1"/>
      <c r="AP792" s="1"/>
      <c r="AQ792" s="1"/>
      <c r="AR792" s="1"/>
      <c r="AS792" s="1"/>
      <c r="AU792" s="1"/>
      <c r="AV792" s="1"/>
      <c r="AW792" s="1"/>
      <c r="AX792" s="1"/>
      <c r="AY792" s="1"/>
      <c r="AZ792" s="1"/>
      <c r="BA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Q792" s="1"/>
      <c r="BR792" s="1"/>
      <c r="BS792" s="1"/>
      <c r="BT792" s="1"/>
      <c r="BU792" s="1"/>
      <c r="BV792" s="1"/>
      <c r="BW792" s="1"/>
      <c r="BX792" s="1"/>
      <c r="BY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D792" s="1"/>
      <c r="GE792" s="1"/>
      <c r="GF792" s="1"/>
      <c r="GG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</row>
    <row r="793" spans="3:222" x14ac:dyDescent="0.3"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O793" s="1"/>
      <c r="AP793" s="1"/>
      <c r="AQ793" s="1"/>
      <c r="AR793" s="1"/>
      <c r="AS793" s="1"/>
      <c r="AU793" s="1"/>
      <c r="AV793" s="1"/>
      <c r="AW793" s="1"/>
      <c r="AX793" s="1"/>
      <c r="AY793" s="1"/>
      <c r="AZ793" s="1"/>
      <c r="BA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Q793" s="1"/>
      <c r="BR793" s="1"/>
      <c r="BS793" s="1"/>
      <c r="BT793" s="1"/>
      <c r="BU793" s="1"/>
      <c r="BV793" s="1"/>
      <c r="BW793" s="1"/>
      <c r="BX793" s="1"/>
      <c r="BY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D793" s="1"/>
      <c r="GE793" s="1"/>
      <c r="GF793" s="1"/>
      <c r="GG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</row>
    <row r="794" spans="3:222" x14ac:dyDescent="0.3"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O794" s="1"/>
      <c r="AP794" s="1"/>
      <c r="AQ794" s="1"/>
      <c r="AR794" s="1"/>
      <c r="AS794" s="1"/>
      <c r="AU794" s="1"/>
      <c r="AV794" s="1"/>
      <c r="AW794" s="1"/>
      <c r="AX794" s="1"/>
      <c r="AY794" s="1"/>
      <c r="AZ794" s="1"/>
      <c r="BA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Q794" s="1"/>
      <c r="BR794" s="1"/>
      <c r="BS794" s="1"/>
      <c r="BT794" s="1"/>
      <c r="BU794" s="1"/>
      <c r="BV794" s="1"/>
      <c r="BW794" s="1"/>
      <c r="BX794" s="1"/>
      <c r="BY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D794" s="1"/>
      <c r="GE794" s="1"/>
      <c r="GF794" s="1"/>
      <c r="GG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</row>
    <row r="795" spans="3:222" x14ac:dyDescent="0.3"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O795" s="1"/>
      <c r="AP795" s="1"/>
      <c r="AQ795" s="1"/>
      <c r="AR795" s="1"/>
      <c r="AS795" s="1"/>
      <c r="AU795" s="1"/>
      <c r="AV795" s="1"/>
      <c r="AW795" s="1"/>
      <c r="AX795" s="1"/>
      <c r="AY795" s="1"/>
      <c r="AZ795" s="1"/>
      <c r="BA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Q795" s="1"/>
      <c r="BR795" s="1"/>
      <c r="BS795" s="1"/>
      <c r="BT795" s="1"/>
      <c r="BU795" s="1"/>
      <c r="BV795" s="1"/>
      <c r="BW795" s="1"/>
      <c r="BX795" s="1"/>
      <c r="BY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D795" s="1"/>
      <c r="GE795" s="1"/>
      <c r="GF795" s="1"/>
      <c r="GG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</row>
    <row r="796" spans="3:222" x14ac:dyDescent="0.3"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O796" s="1"/>
      <c r="AP796" s="1"/>
      <c r="AQ796" s="1"/>
      <c r="AR796" s="1"/>
      <c r="AS796" s="1"/>
      <c r="AU796" s="1"/>
      <c r="AV796" s="1"/>
      <c r="AW796" s="1"/>
      <c r="AX796" s="1"/>
      <c r="AY796" s="1"/>
      <c r="AZ796" s="1"/>
      <c r="BA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Q796" s="1"/>
      <c r="BR796" s="1"/>
      <c r="BS796" s="1"/>
      <c r="BT796" s="1"/>
      <c r="BU796" s="1"/>
      <c r="BV796" s="1"/>
      <c r="BW796" s="1"/>
      <c r="BX796" s="1"/>
      <c r="BY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D796" s="1"/>
      <c r="GE796" s="1"/>
      <c r="GF796" s="1"/>
      <c r="GG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</row>
    <row r="797" spans="3:222" x14ac:dyDescent="0.3"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O797" s="1"/>
      <c r="AP797" s="1"/>
      <c r="AQ797" s="1"/>
      <c r="AR797" s="1"/>
      <c r="AS797" s="1"/>
      <c r="AU797" s="1"/>
      <c r="AV797" s="1"/>
      <c r="AW797" s="1"/>
      <c r="AX797" s="1"/>
      <c r="AY797" s="1"/>
      <c r="AZ797" s="1"/>
      <c r="BA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Q797" s="1"/>
      <c r="BR797" s="1"/>
      <c r="BS797" s="1"/>
      <c r="BT797" s="1"/>
      <c r="BU797" s="1"/>
      <c r="BV797" s="1"/>
      <c r="BW797" s="1"/>
      <c r="BX797" s="1"/>
      <c r="BY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D797" s="1"/>
      <c r="GE797" s="1"/>
      <c r="GF797" s="1"/>
      <c r="GG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</row>
    <row r="798" spans="3:222" x14ac:dyDescent="0.3"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O798" s="1"/>
      <c r="AP798" s="1"/>
      <c r="AQ798" s="1"/>
      <c r="AR798" s="1"/>
      <c r="AS798" s="1"/>
      <c r="AU798" s="1"/>
      <c r="AV798" s="1"/>
      <c r="AW798" s="1"/>
      <c r="AX798" s="1"/>
      <c r="AY798" s="1"/>
      <c r="AZ798" s="1"/>
      <c r="BA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Q798" s="1"/>
      <c r="BR798" s="1"/>
      <c r="BS798" s="1"/>
      <c r="BT798" s="1"/>
      <c r="BU798" s="1"/>
      <c r="BV798" s="1"/>
      <c r="BW798" s="1"/>
      <c r="BX798" s="1"/>
      <c r="BY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D798" s="1"/>
      <c r="GE798" s="1"/>
      <c r="GF798" s="1"/>
      <c r="GG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</row>
    <row r="799" spans="3:222" x14ac:dyDescent="0.3"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O799" s="1"/>
      <c r="AP799" s="1"/>
      <c r="AQ799" s="1"/>
      <c r="AR799" s="1"/>
      <c r="AS799" s="1"/>
      <c r="AU799" s="1"/>
      <c r="AV799" s="1"/>
      <c r="AW799" s="1"/>
      <c r="AX799" s="1"/>
      <c r="AY799" s="1"/>
      <c r="AZ799" s="1"/>
      <c r="BA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Q799" s="1"/>
      <c r="BR799" s="1"/>
      <c r="BS799" s="1"/>
      <c r="BT799" s="1"/>
      <c r="BU799" s="1"/>
      <c r="BV799" s="1"/>
      <c r="BW799" s="1"/>
      <c r="BX799" s="1"/>
      <c r="BY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D799" s="1"/>
      <c r="GE799" s="1"/>
      <c r="GF799" s="1"/>
      <c r="GG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</row>
    <row r="800" spans="3:222" x14ac:dyDescent="0.3"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O800" s="1"/>
      <c r="AP800" s="1"/>
      <c r="AQ800" s="1"/>
      <c r="AR800" s="1"/>
      <c r="AS800" s="1"/>
      <c r="AU800" s="1"/>
      <c r="AV800" s="1"/>
      <c r="AW800" s="1"/>
      <c r="AX800" s="1"/>
      <c r="AY800" s="1"/>
      <c r="AZ800" s="1"/>
      <c r="BA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Q800" s="1"/>
      <c r="BR800" s="1"/>
      <c r="BS800" s="1"/>
      <c r="BT800" s="1"/>
      <c r="BU800" s="1"/>
      <c r="BV800" s="1"/>
      <c r="BW800" s="1"/>
      <c r="BX800" s="1"/>
      <c r="BY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D800" s="1"/>
      <c r="GE800" s="1"/>
      <c r="GF800" s="1"/>
      <c r="GG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</row>
    <row r="801" spans="3:222" x14ac:dyDescent="0.3"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O801" s="1"/>
      <c r="AP801" s="1"/>
      <c r="AQ801" s="1"/>
      <c r="AR801" s="1"/>
      <c r="AS801" s="1"/>
      <c r="AU801" s="1"/>
      <c r="AV801" s="1"/>
      <c r="AW801" s="1"/>
      <c r="AX801" s="1"/>
      <c r="AY801" s="1"/>
      <c r="AZ801" s="1"/>
      <c r="BA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Q801" s="1"/>
      <c r="BR801" s="1"/>
      <c r="BS801" s="1"/>
      <c r="BT801" s="1"/>
      <c r="BU801" s="1"/>
      <c r="BV801" s="1"/>
      <c r="BW801" s="1"/>
      <c r="BX801" s="1"/>
      <c r="BY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D801" s="1"/>
      <c r="GE801" s="1"/>
      <c r="GF801" s="1"/>
      <c r="GG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</row>
    <row r="802" spans="3:222" x14ac:dyDescent="0.3"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O802" s="1"/>
      <c r="AP802" s="1"/>
      <c r="AQ802" s="1"/>
      <c r="AR802" s="1"/>
      <c r="AS802" s="1"/>
      <c r="AU802" s="1"/>
      <c r="AV802" s="1"/>
      <c r="AW802" s="1"/>
      <c r="AX802" s="1"/>
      <c r="AY802" s="1"/>
      <c r="AZ802" s="1"/>
      <c r="BA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Q802" s="1"/>
      <c r="BR802" s="1"/>
      <c r="BS802" s="1"/>
      <c r="BT802" s="1"/>
      <c r="BU802" s="1"/>
      <c r="BV802" s="1"/>
      <c r="BW802" s="1"/>
      <c r="BX802" s="1"/>
      <c r="BY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D802" s="1"/>
      <c r="GE802" s="1"/>
      <c r="GF802" s="1"/>
      <c r="GG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</row>
    <row r="803" spans="3:222" x14ac:dyDescent="0.3"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O803" s="1"/>
      <c r="AP803" s="1"/>
      <c r="AQ803" s="1"/>
      <c r="AR803" s="1"/>
      <c r="AS803" s="1"/>
      <c r="AU803" s="1"/>
      <c r="AV803" s="1"/>
      <c r="AW803" s="1"/>
      <c r="AX803" s="1"/>
      <c r="AY803" s="1"/>
      <c r="AZ803" s="1"/>
      <c r="BA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Q803" s="1"/>
      <c r="BR803" s="1"/>
      <c r="BS803" s="1"/>
      <c r="BT803" s="1"/>
      <c r="BU803" s="1"/>
      <c r="BV803" s="1"/>
      <c r="BW803" s="1"/>
      <c r="BX803" s="1"/>
      <c r="BY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D803" s="1"/>
      <c r="GE803" s="1"/>
      <c r="GF803" s="1"/>
      <c r="GG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</row>
    <row r="804" spans="3:222" x14ac:dyDescent="0.3"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O804" s="1"/>
      <c r="AP804" s="1"/>
      <c r="AQ804" s="1"/>
      <c r="AR804" s="1"/>
      <c r="AS804" s="1"/>
      <c r="AU804" s="1"/>
      <c r="AV804" s="1"/>
      <c r="AW804" s="1"/>
      <c r="AX804" s="1"/>
      <c r="AY804" s="1"/>
      <c r="AZ804" s="1"/>
      <c r="BA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Q804" s="1"/>
      <c r="BR804" s="1"/>
      <c r="BS804" s="1"/>
      <c r="BT804" s="1"/>
      <c r="BU804" s="1"/>
      <c r="BV804" s="1"/>
      <c r="BW804" s="1"/>
      <c r="BX804" s="1"/>
      <c r="BY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D804" s="1"/>
      <c r="GE804" s="1"/>
      <c r="GF804" s="1"/>
      <c r="GG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</row>
    <row r="805" spans="3:222" x14ac:dyDescent="0.3"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O805" s="1"/>
      <c r="AP805" s="1"/>
      <c r="AQ805" s="1"/>
      <c r="AR805" s="1"/>
      <c r="AS805" s="1"/>
      <c r="AU805" s="1"/>
      <c r="AV805" s="1"/>
      <c r="AW805" s="1"/>
      <c r="AX805" s="1"/>
      <c r="AY805" s="1"/>
      <c r="AZ805" s="1"/>
      <c r="BA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Q805" s="1"/>
      <c r="BR805" s="1"/>
      <c r="BS805" s="1"/>
      <c r="BT805" s="1"/>
      <c r="BU805" s="1"/>
      <c r="BV805" s="1"/>
      <c r="BW805" s="1"/>
      <c r="BX805" s="1"/>
      <c r="BY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D805" s="1"/>
      <c r="GE805" s="1"/>
      <c r="GF805" s="1"/>
      <c r="GG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</row>
    <row r="806" spans="3:222" x14ac:dyDescent="0.3"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O806" s="1"/>
      <c r="AP806" s="1"/>
      <c r="AQ806" s="1"/>
      <c r="AR806" s="1"/>
      <c r="AS806" s="1"/>
      <c r="AU806" s="1"/>
      <c r="AV806" s="1"/>
      <c r="AW806" s="1"/>
      <c r="AX806" s="1"/>
      <c r="AY806" s="1"/>
      <c r="AZ806" s="1"/>
      <c r="BA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Q806" s="1"/>
      <c r="BR806" s="1"/>
      <c r="BS806" s="1"/>
      <c r="BT806" s="1"/>
      <c r="BU806" s="1"/>
      <c r="BV806" s="1"/>
      <c r="BW806" s="1"/>
      <c r="BX806" s="1"/>
      <c r="BY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D806" s="1"/>
      <c r="GE806" s="1"/>
      <c r="GF806" s="1"/>
      <c r="GG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</row>
    <row r="807" spans="3:222" x14ac:dyDescent="0.3"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O807" s="1"/>
      <c r="AP807" s="1"/>
      <c r="AQ807" s="1"/>
      <c r="AR807" s="1"/>
      <c r="AS807" s="1"/>
      <c r="AU807" s="1"/>
      <c r="AV807" s="1"/>
      <c r="AW807" s="1"/>
      <c r="AX807" s="1"/>
      <c r="AY807" s="1"/>
      <c r="AZ807" s="1"/>
      <c r="BA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Q807" s="1"/>
      <c r="BR807" s="1"/>
      <c r="BS807" s="1"/>
      <c r="BT807" s="1"/>
      <c r="BU807" s="1"/>
      <c r="BV807" s="1"/>
      <c r="BW807" s="1"/>
      <c r="BX807" s="1"/>
      <c r="BY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D807" s="1"/>
      <c r="GE807" s="1"/>
      <c r="GF807" s="1"/>
      <c r="GG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</row>
    <row r="808" spans="3:222" x14ac:dyDescent="0.3"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O808" s="1"/>
      <c r="AP808" s="1"/>
      <c r="AQ808" s="1"/>
      <c r="AR808" s="1"/>
      <c r="AS808" s="1"/>
      <c r="AU808" s="1"/>
      <c r="AV808" s="1"/>
      <c r="AW808" s="1"/>
      <c r="AX808" s="1"/>
      <c r="AY808" s="1"/>
      <c r="AZ808" s="1"/>
      <c r="BA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Q808" s="1"/>
      <c r="BR808" s="1"/>
      <c r="BS808" s="1"/>
      <c r="BT808" s="1"/>
      <c r="BU808" s="1"/>
      <c r="BV808" s="1"/>
      <c r="BW808" s="1"/>
      <c r="BX808" s="1"/>
      <c r="BY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D808" s="1"/>
      <c r="GE808" s="1"/>
      <c r="GF808" s="1"/>
      <c r="GG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</row>
    <row r="809" spans="3:222" x14ac:dyDescent="0.3"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O809" s="1"/>
      <c r="AP809" s="1"/>
      <c r="AQ809" s="1"/>
      <c r="AR809" s="1"/>
      <c r="AS809" s="1"/>
      <c r="AU809" s="1"/>
      <c r="AV809" s="1"/>
      <c r="AW809" s="1"/>
      <c r="AX809" s="1"/>
      <c r="AY809" s="1"/>
      <c r="AZ809" s="1"/>
      <c r="BA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Q809" s="1"/>
      <c r="BR809" s="1"/>
      <c r="BS809" s="1"/>
      <c r="BT809" s="1"/>
      <c r="BU809" s="1"/>
      <c r="BV809" s="1"/>
      <c r="BW809" s="1"/>
      <c r="BX809" s="1"/>
      <c r="BY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D809" s="1"/>
      <c r="GE809" s="1"/>
      <c r="GF809" s="1"/>
      <c r="GG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</row>
    <row r="810" spans="3:222" x14ac:dyDescent="0.3"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O810" s="1"/>
      <c r="AP810" s="1"/>
      <c r="AQ810" s="1"/>
      <c r="AR810" s="1"/>
      <c r="AS810" s="1"/>
      <c r="AU810" s="1"/>
      <c r="AV810" s="1"/>
      <c r="AW810" s="1"/>
      <c r="AX810" s="1"/>
      <c r="AY810" s="1"/>
      <c r="AZ810" s="1"/>
      <c r="BA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Q810" s="1"/>
      <c r="BR810" s="1"/>
      <c r="BS810" s="1"/>
      <c r="BT810" s="1"/>
      <c r="BU810" s="1"/>
      <c r="BV810" s="1"/>
      <c r="BW810" s="1"/>
      <c r="BX810" s="1"/>
      <c r="BY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D810" s="1"/>
      <c r="GE810" s="1"/>
      <c r="GF810" s="1"/>
      <c r="GG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</row>
    <row r="811" spans="3:222" x14ac:dyDescent="0.3"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O811" s="1"/>
      <c r="AP811" s="1"/>
      <c r="AQ811" s="1"/>
      <c r="AR811" s="1"/>
      <c r="AS811" s="1"/>
      <c r="AU811" s="1"/>
      <c r="AV811" s="1"/>
      <c r="AW811" s="1"/>
      <c r="AX811" s="1"/>
      <c r="AY811" s="1"/>
      <c r="AZ811" s="1"/>
      <c r="BA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Q811" s="1"/>
      <c r="BR811" s="1"/>
      <c r="BS811" s="1"/>
      <c r="BT811" s="1"/>
      <c r="BU811" s="1"/>
      <c r="BV811" s="1"/>
      <c r="BW811" s="1"/>
      <c r="BX811" s="1"/>
      <c r="BY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D811" s="1"/>
      <c r="GE811" s="1"/>
      <c r="GF811" s="1"/>
      <c r="GG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</row>
    <row r="812" spans="3:222" x14ac:dyDescent="0.3"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O812" s="1"/>
      <c r="AP812" s="1"/>
      <c r="AQ812" s="1"/>
      <c r="AR812" s="1"/>
      <c r="AS812" s="1"/>
      <c r="AU812" s="1"/>
      <c r="AV812" s="1"/>
      <c r="AW812" s="1"/>
      <c r="AX812" s="1"/>
      <c r="AY812" s="1"/>
      <c r="AZ812" s="1"/>
      <c r="BA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Q812" s="1"/>
      <c r="BR812" s="1"/>
      <c r="BS812" s="1"/>
      <c r="BT812" s="1"/>
      <c r="BU812" s="1"/>
      <c r="BV812" s="1"/>
      <c r="BW812" s="1"/>
      <c r="BX812" s="1"/>
      <c r="BY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D812" s="1"/>
      <c r="GE812" s="1"/>
      <c r="GF812" s="1"/>
      <c r="GG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</row>
    <row r="813" spans="3:222" x14ac:dyDescent="0.3"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O813" s="1"/>
      <c r="AP813" s="1"/>
      <c r="AQ813" s="1"/>
      <c r="AR813" s="1"/>
      <c r="AS813" s="1"/>
      <c r="AU813" s="1"/>
      <c r="AV813" s="1"/>
      <c r="AW813" s="1"/>
      <c r="AX813" s="1"/>
      <c r="AY813" s="1"/>
      <c r="AZ813" s="1"/>
      <c r="BA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Q813" s="1"/>
      <c r="BR813" s="1"/>
      <c r="BS813" s="1"/>
      <c r="BT813" s="1"/>
      <c r="BU813" s="1"/>
      <c r="BV813" s="1"/>
      <c r="BW813" s="1"/>
      <c r="BX813" s="1"/>
      <c r="BY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D813" s="1"/>
      <c r="GE813" s="1"/>
      <c r="GF813" s="1"/>
      <c r="GG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</row>
    <row r="814" spans="3:222" x14ac:dyDescent="0.3"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O814" s="1"/>
      <c r="AP814" s="1"/>
      <c r="AQ814" s="1"/>
      <c r="AR814" s="1"/>
      <c r="AS814" s="1"/>
      <c r="AU814" s="1"/>
      <c r="AV814" s="1"/>
      <c r="AW814" s="1"/>
      <c r="AX814" s="1"/>
      <c r="AY814" s="1"/>
      <c r="AZ814" s="1"/>
      <c r="BA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Q814" s="1"/>
      <c r="BR814" s="1"/>
      <c r="BS814" s="1"/>
      <c r="BT814" s="1"/>
      <c r="BU814" s="1"/>
      <c r="BV814" s="1"/>
      <c r="BW814" s="1"/>
      <c r="BX814" s="1"/>
      <c r="BY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D814" s="1"/>
      <c r="GE814" s="1"/>
      <c r="GF814" s="1"/>
      <c r="GG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</row>
    <row r="815" spans="3:222" x14ac:dyDescent="0.3"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O815" s="1"/>
      <c r="AP815" s="1"/>
      <c r="AQ815" s="1"/>
      <c r="AR815" s="1"/>
      <c r="AS815" s="1"/>
      <c r="AU815" s="1"/>
      <c r="AV815" s="1"/>
      <c r="AW815" s="1"/>
      <c r="AX815" s="1"/>
      <c r="AY815" s="1"/>
      <c r="AZ815" s="1"/>
      <c r="BA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Q815" s="1"/>
      <c r="BR815" s="1"/>
      <c r="BS815" s="1"/>
      <c r="BT815" s="1"/>
      <c r="BU815" s="1"/>
      <c r="BV815" s="1"/>
      <c r="BW815" s="1"/>
      <c r="BX815" s="1"/>
      <c r="BY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D815" s="1"/>
      <c r="GE815" s="1"/>
      <c r="GF815" s="1"/>
      <c r="GG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</row>
    <row r="816" spans="3:222" x14ac:dyDescent="0.3"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O816" s="1"/>
      <c r="AP816" s="1"/>
      <c r="AQ816" s="1"/>
      <c r="AR816" s="1"/>
      <c r="AS816" s="1"/>
      <c r="AU816" s="1"/>
      <c r="AV816" s="1"/>
      <c r="AW816" s="1"/>
      <c r="AX816" s="1"/>
      <c r="AY816" s="1"/>
      <c r="AZ816" s="1"/>
      <c r="BA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Q816" s="1"/>
      <c r="BR816" s="1"/>
      <c r="BS816" s="1"/>
      <c r="BT816" s="1"/>
      <c r="BU816" s="1"/>
      <c r="BV816" s="1"/>
      <c r="BW816" s="1"/>
      <c r="BX816" s="1"/>
      <c r="BY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D816" s="1"/>
      <c r="GE816" s="1"/>
      <c r="GF816" s="1"/>
      <c r="GG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</row>
    <row r="817" spans="3:222" x14ac:dyDescent="0.3"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O817" s="1"/>
      <c r="AP817" s="1"/>
      <c r="AQ817" s="1"/>
      <c r="AR817" s="1"/>
      <c r="AS817" s="1"/>
      <c r="AU817" s="1"/>
      <c r="AV817" s="1"/>
      <c r="AW817" s="1"/>
      <c r="AX817" s="1"/>
      <c r="AY817" s="1"/>
      <c r="AZ817" s="1"/>
      <c r="BA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Q817" s="1"/>
      <c r="BR817" s="1"/>
      <c r="BS817" s="1"/>
      <c r="BT817" s="1"/>
      <c r="BU817" s="1"/>
      <c r="BV817" s="1"/>
      <c r="BW817" s="1"/>
      <c r="BX817" s="1"/>
      <c r="BY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D817" s="1"/>
      <c r="GE817" s="1"/>
      <c r="GF817" s="1"/>
      <c r="GG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</row>
    <row r="818" spans="3:222" x14ac:dyDescent="0.3"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O818" s="1"/>
      <c r="AP818" s="1"/>
      <c r="AQ818" s="1"/>
      <c r="AR818" s="1"/>
      <c r="AS818" s="1"/>
      <c r="AU818" s="1"/>
      <c r="AV818" s="1"/>
      <c r="AW818" s="1"/>
      <c r="AX818" s="1"/>
      <c r="AY818" s="1"/>
      <c r="AZ818" s="1"/>
      <c r="BA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Q818" s="1"/>
      <c r="BR818" s="1"/>
      <c r="BS818" s="1"/>
      <c r="BT818" s="1"/>
      <c r="BU818" s="1"/>
      <c r="BV818" s="1"/>
      <c r="BW818" s="1"/>
      <c r="BX818" s="1"/>
      <c r="BY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D818" s="1"/>
      <c r="GE818" s="1"/>
      <c r="GF818" s="1"/>
      <c r="GG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</row>
    <row r="819" spans="3:222" x14ac:dyDescent="0.3"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O819" s="1"/>
      <c r="AP819" s="1"/>
      <c r="AQ819" s="1"/>
      <c r="AR819" s="1"/>
      <c r="AS819" s="1"/>
      <c r="AU819" s="1"/>
      <c r="AV819" s="1"/>
      <c r="AW819" s="1"/>
      <c r="AX819" s="1"/>
      <c r="AY819" s="1"/>
      <c r="AZ819" s="1"/>
      <c r="BA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Q819" s="1"/>
      <c r="BR819" s="1"/>
      <c r="BS819" s="1"/>
      <c r="BT819" s="1"/>
      <c r="BU819" s="1"/>
      <c r="BV819" s="1"/>
      <c r="BW819" s="1"/>
      <c r="BX819" s="1"/>
      <c r="BY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D819" s="1"/>
      <c r="GE819" s="1"/>
      <c r="GF819" s="1"/>
      <c r="GG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</row>
    <row r="820" spans="3:222" x14ac:dyDescent="0.3"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O820" s="1"/>
      <c r="AP820" s="1"/>
      <c r="AQ820" s="1"/>
      <c r="AR820" s="1"/>
      <c r="AS820" s="1"/>
      <c r="AU820" s="1"/>
      <c r="AV820" s="1"/>
      <c r="AW820" s="1"/>
      <c r="AX820" s="1"/>
      <c r="AY820" s="1"/>
      <c r="AZ820" s="1"/>
      <c r="BA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Q820" s="1"/>
      <c r="BR820" s="1"/>
      <c r="BS820" s="1"/>
      <c r="BT820" s="1"/>
      <c r="BU820" s="1"/>
      <c r="BV820" s="1"/>
      <c r="BW820" s="1"/>
      <c r="BX820" s="1"/>
      <c r="BY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D820" s="1"/>
      <c r="GE820" s="1"/>
      <c r="GF820" s="1"/>
      <c r="GG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</row>
    <row r="821" spans="3:222" x14ac:dyDescent="0.3"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O821" s="1"/>
      <c r="AP821" s="1"/>
      <c r="AQ821" s="1"/>
      <c r="AR821" s="1"/>
      <c r="AS821" s="1"/>
      <c r="AU821" s="1"/>
      <c r="AV821" s="1"/>
      <c r="AW821" s="1"/>
      <c r="AX821" s="1"/>
      <c r="AY821" s="1"/>
      <c r="AZ821" s="1"/>
      <c r="BA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Q821" s="1"/>
      <c r="BR821" s="1"/>
      <c r="BS821" s="1"/>
      <c r="BT821" s="1"/>
      <c r="BU821" s="1"/>
      <c r="BV821" s="1"/>
      <c r="BW821" s="1"/>
      <c r="BX821" s="1"/>
      <c r="BY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D821" s="1"/>
      <c r="GE821" s="1"/>
      <c r="GF821" s="1"/>
      <c r="GG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</row>
    <row r="822" spans="3:222" x14ac:dyDescent="0.3"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O822" s="1"/>
      <c r="AP822" s="1"/>
      <c r="AQ822" s="1"/>
      <c r="AR822" s="1"/>
      <c r="AS822" s="1"/>
      <c r="AU822" s="1"/>
      <c r="AV822" s="1"/>
      <c r="AW822" s="1"/>
      <c r="AX822" s="1"/>
      <c r="AY822" s="1"/>
      <c r="AZ822" s="1"/>
      <c r="BA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Q822" s="1"/>
      <c r="BR822" s="1"/>
      <c r="BS822" s="1"/>
      <c r="BT822" s="1"/>
      <c r="BU822" s="1"/>
      <c r="BV822" s="1"/>
      <c r="BW822" s="1"/>
      <c r="BX822" s="1"/>
      <c r="BY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D822" s="1"/>
      <c r="GE822" s="1"/>
      <c r="GF822" s="1"/>
      <c r="GG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</row>
    <row r="823" spans="3:222" x14ac:dyDescent="0.3"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O823" s="1"/>
      <c r="AP823" s="1"/>
      <c r="AQ823" s="1"/>
      <c r="AR823" s="1"/>
      <c r="AS823" s="1"/>
      <c r="AU823" s="1"/>
      <c r="AV823" s="1"/>
      <c r="AW823" s="1"/>
      <c r="AX823" s="1"/>
      <c r="AY823" s="1"/>
      <c r="AZ823" s="1"/>
      <c r="BA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Q823" s="1"/>
      <c r="BR823" s="1"/>
      <c r="BS823" s="1"/>
      <c r="BT823" s="1"/>
      <c r="BU823" s="1"/>
      <c r="BV823" s="1"/>
      <c r="BW823" s="1"/>
      <c r="BX823" s="1"/>
      <c r="BY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D823" s="1"/>
      <c r="GE823" s="1"/>
      <c r="GF823" s="1"/>
      <c r="GG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</row>
    <row r="824" spans="3:222" x14ac:dyDescent="0.3"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O824" s="1"/>
      <c r="AP824" s="1"/>
      <c r="AQ824" s="1"/>
      <c r="AR824" s="1"/>
      <c r="AS824" s="1"/>
      <c r="AU824" s="1"/>
      <c r="AV824" s="1"/>
      <c r="AW824" s="1"/>
      <c r="AX824" s="1"/>
      <c r="AY824" s="1"/>
      <c r="AZ824" s="1"/>
      <c r="BA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Q824" s="1"/>
      <c r="BR824" s="1"/>
      <c r="BS824" s="1"/>
      <c r="BT824" s="1"/>
      <c r="BU824" s="1"/>
      <c r="BV824" s="1"/>
      <c r="BW824" s="1"/>
      <c r="BX824" s="1"/>
      <c r="BY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D824" s="1"/>
      <c r="GE824" s="1"/>
      <c r="GF824" s="1"/>
      <c r="GG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</row>
    <row r="825" spans="3:222" x14ac:dyDescent="0.3"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O825" s="1"/>
      <c r="AP825" s="1"/>
      <c r="AQ825" s="1"/>
      <c r="AR825" s="1"/>
      <c r="AS825" s="1"/>
      <c r="AU825" s="1"/>
      <c r="AV825" s="1"/>
      <c r="AW825" s="1"/>
      <c r="AX825" s="1"/>
      <c r="AY825" s="1"/>
      <c r="AZ825" s="1"/>
      <c r="BA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Q825" s="1"/>
      <c r="BR825" s="1"/>
      <c r="BS825" s="1"/>
      <c r="BT825" s="1"/>
      <c r="BU825" s="1"/>
      <c r="BV825" s="1"/>
      <c r="BW825" s="1"/>
      <c r="BX825" s="1"/>
      <c r="BY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D825" s="1"/>
      <c r="GE825" s="1"/>
      <c r="GF825" s="1"/>
      <c r="GG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</row>
    <row r="826" spans="3:222" x14ac:dyDescent="0.3"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O826" s="1"/>
      <c r="AP826" s="1"/>
      <c r="AQ826" s="1"/>
      <c r="AR826" s="1"/>
      <c r="AS826" s="1"/>
      <c r="AU826" s="1"/>
      <c r="AV826" s="1"/>
      <c r="AW826" s="1"/>
      <c r="AX826" s="1"/>
      <c r="AY826" s="1"/>
      <c r="AZ826" s="1"/>
      <c r="BA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Q826" s="1"/>
      <c r="BR826" s="1"/>
      <c r="BS826" s="1"/>
      <c r="BT826" s="1"/>
      <c r="BU826" s="1"/>
      <c r="BV826" s="1"/>
      <c r="BW826" s="1"/>
      <c r="BX826" s="1"/>
      <c r="BY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D826" s="1"/>
      <c r="GE826" s="1"/>
      <c r="GF826" s="1"/>
      <c r="GG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</row>
    <row r="827" spans="3:222" x14ac:dyDescent="0.3"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O827" s="1"/>
      <c r="AP827" s="1"/>
      <c r="AQ827" s="1"/>
      <c r="AR827" s="1"/>
      <c r="AS827" s="1"/>
      <c r="AU827" s="1"/>
      <c r="AV827" s="1"/>
      <c r="AW827" s="1"/>
      <c r="AX827" s="1"/>
      <c r="AY827" s="1"/>
      <c r="AZ827" s="1"/>
      <c r="BA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Q827" s="1"/>
      <c r="BR827" s="1"/>
      <c r="BS827" s="1"/>
      <c r="BT827" s="1"/>
      <c r="BU827" s="1"/>
      <c r="BV827" s="1"/>
      <c r="BW827" s="1"/>
      <c r="BX827" s="1"/>
      <c r="BY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D827" s="1"/>
      <c r="GE827" s="1"/>
      <c r="GF827" s="1"/>
      <c r="GG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</row>
    <row r="828" spans="3:222" x14ac:dyDescent="0.3"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O828" s="1"/>
      <c r="AP828" s="1"/>
      <c r="AQ828" s="1"/>
      <c r="AR828" s="1"/>
      <c r="AS828" s="1"/>
      <c r="AU828" s="1"/>
      <c r="AV828" s="1"/>
      <c r="AW828" s="1"/>
      <c r="AX828" s="1"/>
      <c r="AY828" s="1"/>
      <c r="AZ828" s="1"/>
      <c r="BA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Q828" s="1"/>
      <c r="BR828" s="1"/>
      <c r="BS828" s="1"/>
      <c r="BT828" s="1"/>
      <c r="BU828" s="1"/>
      <c r="BV828" s="1"/>
      <c r="BW828" s="1"/>
      <c r="BX828" s="1"/>
      <c r="BY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D828" s="1"/>
      <c r="GE828" s="1"/>
      <c r="GF828" s="1"/>
      <c r="GG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</row>
    <row r="829" spans="3:222" x14ac:dyDescent="0.3"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O829" s="1"/>
      <c r="AP829" s="1"/>
      <c r="AQ829" s="1"/>
      <c r="AR829" s="1"/>
      <c r="AS829" s="1"/>
      <c r="AU829" s="1"/>
      <c r="AV829" s="1"/>
      <c r="AW829" s="1"/>
      <c r="AX829" s="1"/>
      <c r="AY829" s="1"/>
      <c r="AZ829" s="1"/>
      <c r="BA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Q829" s="1"/>
      <c r="BR829" s="1"/>
      <c r="BS829" s="1"/>
      <c r="BT829" s="1"/>
      <c r="BU829" s="1"/>
      <c r="BV829" s="1"/>
      <c r="BW829" s="1"/>
      <c r="BX829" s="1"/>
      <c r="BY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D829" s="1"/>
      <c r="GE829" s="1"/>
      <c r="GF829" s="1"/>
      <c r="GG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</row>
    <row r="830" spans="3:222" x14ac:dyDescent="0.3"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O830" s="1"/>
      <c r="AP830" s="1"/>
      <c r="AQ830" s="1"/>
      <c r="AR830" s="1"/>
      <c r="AS830" s="1"/>
      <c r="AU830" s="1"/>
      <c r="AV830" s="1"/>
      <c r="AW830" s="1"/>
      <c r="AX830" s="1"/>
      <c r="AY830" s="1"/>
      <c r="AZ830" s="1"/>
      <c r="BA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Q830" s="1"/>
      <c r="BR830" s="1"/>
      <c r="BS830" s="1"/>
      <c r="BT830" s="1"/>
      <c r="BU830" s="1"/>
      <c r="BV830" s="1"/>
      <c r="BW830" s="1"/>
      <c r="BX830" s="1"/>
      <c r="BY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D830" s="1"/>
      <c r="GE830" s="1"/>
      <c r="GF830" s="1"/>
      <c r="GG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</row>
    <row r="831" spans="3:222" x14ac:dyDescent="0.3">
      <c r="C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O831" s="1"/>
      <c r="AP831" s="1"/>
      <c r="AQ831" s="1"/>
      <c r="AR831" s="1"/>
      <c r="AS831" s="1"/>
      <c r="AU831" s="1"/>
      <c r="AV831" s="1"/>
      <c r="AW831" s="1"/>
      <c r="AX831" s="1"/>
      <c r="AY831" s="1"/>
      <c r="AZ831" s="1"/>
      <c r="BA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Q831" s="1"/>
      <c r="BR831" s="1"/>
      <c r="BS831" s="1"/>
      <c r="BT831" s="1"/>
      <c r="BU831" s="1"/>
      <c r="BV831" s="1"/>
      <c r="BW831" s="1"/>
      <c r="BX831" s="1"/>
      <c r="BY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D831" s="1"/>
      <c r="GE831" s="1"/>
      <c r="GF831" s="1"/>
      <c r="GG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</row>
    <row r="832" spans="3:222" x14ac:dyDescent="0.3">
      <c r="C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O832" s="1"/>
      <c r="AP832" s="1"/>
      <c r="AQ832" s="1"/>
      <c r="AR832" s="1"/>
      <c r="AS832" s="1"/>
      <c r="AU832" s="1"/>
      <c r="AV832" s="1"/>
      <c r="AW832" s="1"/>
      <c r="AX832" s="1"/>
      <c r="AY832" s="1"/>
      <c r="AZ832" s="1"/>
      <c r="BA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Q832" s="1"/>
      <c r="BR832" s="1"/>
      <c r="BS832" s="1"/>
      <c r="BT832" s="1"/>
      <c r="BU832" s="1"/>
      <c r="BV832" s="1"/>
      <c r="BW832" s="1"/>
      <c r="BX832" s="1"/>
      <c r="BY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D832" s="1"/>
      <c r="GE832" s="1"/>
      <c r="GF832" s="1"/>
      <c r="GG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</row>
    <row r="833" spans="3:222" x14ac:dyDescent="0.3">
      <c r="C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O833" s="1"/>
      <c r="AP833" s="1"/>
      <c r="AQ833" s="1"/>
      <c r="AR833" s="1"/>
      <c r="AS833" s="1"/>
      <c r="AU833" s="1"/>
      <c r="AV833" s="1"/>
      <c r="AW833" s="1"/>
      <c r="AX833" s="1"/>
      <c r="AY833" s="1"/>
      <c r="AZ833" s="1"/>
      <c r="BA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Q833" s="1"/>
      <c r="BR833" s="1"/>
      <c r="BS833" s="1"/>
      <c r="BT833" s="1"/>
      <c r="BU833" s="1"/>
      <c r="BV833" s="1"/>
      <c r="BW833" s="1"/>
      <c r="BX833" s="1"/>
      <c r="BY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D833" s="1"/>
      <c r="GE833" s="1"/>
      <c r="GF833" s="1"/>
      <c r="GG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</row>
    <row r="834" spans="3:222" x14ac:dyDescent="0.3">
      <c r="C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O834" s="1"/>
      <c r="AP834" s="1"/>
      <c r="AQ834" s="1"/>
      <c r="AR834" s="1"/>
      <c r="AS834" s="1"/>
      <c r="AU834" s="1"/>
      <c r="AV834" s="1"/>
      <c r="AW834" s="1"/>
      <c r="AX834" s="1"/>
      <c r="AY834" s="1"/>
      <c r="AZ834" s="1"/>
      <c r="BA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Q834" s="1"/>
      <c r="BR834" s="1"/>
      <c r="BS834" s="1"/>
      <c r="BT834" s="1"/>
      <c r="BU834" s="1"/>
      <c r="BV834" s="1"/>
      <c r="BW834" s="1"/>
      <c r="BX834" s="1"/>
      <c r="BY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D834" s="1"/>
      <c r="GE834" s="1"/>
      <c r="GF834" s="1"/>
      <c r="GG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</row>
    <row r="835" spans="3:222" x14ac:dyDescent="0.3">
      <c r="C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O835" s="1"/>
      <c r="AP835" s="1"/>
      <c r="AQ835" s="1"/>
      <c r="AR835" s="1"/>
      <c r="AS835" s="1"/>
      <c r="AU835" s="1"/>
      <c r="AV835" s="1"/>
      <c r="AW835" s="1"/>
      <c r="AX835" s="1"/>
      <c r="AY835" s="1"/>
      <c r="AZ835" s="1"/>
      <c r="BA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Q835" s="1"/>
      <c r="BR835" s="1"/>
      <c r="BS835" s="1"/>
      <c r="BT835" s="1"/>
      <c r="BU835" s="1"/>
      <c r="BV835" s="1"/>
      <c r="BW835" s="1"/>
      <c r="BX835" s="1"/>
      <c r="BY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D835" s="1"/>
      <c r="GE835" s="1"/>
      <c r="GF835" s="1"/>
      <c r="GG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</row>
    <row r="836" spans="3:222" x14ac:dyDescent="0.3">
      <c r="C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O836" s="1"/>
      <c r="AP836" s="1"/>
      <c r="AQ836" s="1"/>
      <c r="AR836" s="1"/>
      <c r="AS836" s="1"/>
      <c r="AU836" s="1"/>
      <c r="AV836" s="1"/>
      <c r="AW836" s="1"/>
      <c r="AX836" s="1"/>
      <c r="AY836" s="1"/>
      <c r="AZ836" s="1"/>
      <c r="BA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Q836" s="1"/>
      <c r="BR836" s="1"/>
      <c r="BS836" s="1"/>
      <c r="BT836" s="1"/>
      <c r="BU836" s="1"/>
      <c r="BV836" s="1"/>
      <c r="BW836" s="1"/>
      <c r="BX836" s="1"/>
      <c r="BY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D836" s="1"/>
      <c r="GE836" s="1"/>
      <c r="GF836" s="1"/>
      <c r="GG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</row>
    <row r="837" spans="3:222" x14ac:dyDescent="0.3">
      <c r="C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O837" s="1"/>
      <c r="AP837" s="1"/>
      <c r="AQ837" s="1"/>
      <c r="AR837" s="1"/>
      <c r="AS837" s="1"/>
      <c r="AU837" s="1"/>
      <c r="AV837" s="1"/>
      <c r="AW837" s="1"/>
      <c r="AX837" s="1"/>
      <c r="AY837" s="1"/>
      <c r="AZ837" s="1"/>
      <c r="BA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Q837" s="1"/>
      <c r="BR837" s="1"/>
      <c r="BS837" s="1"/>
      <c r="BT837" s="1"/>
      <c r="BU837" s="1"/>
      <c r="BV837" s="1"/>
      <c r="BW837" s="1"/>
      <c r="BX837" s="1"/>
      <c r="BY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D837" s="1"/>
      <c r="GE837" s="1"/>
      <c r="GF837" s="1"/>
      <c r="GG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</row>
    <row r="838" spans="3:222" x14ac:dyDescent="0.3">
      <c r="C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O838" s="1"/>
      <c r="AP838" s="1"/>
      <c r="AQ838" s="1"/>
      <c r="AR838" s="1"/>
      <c r="AS838" s="1"/>
      <c r="AU838" s="1"/>
      <c r="AV838" s="1"/>
      <c r="AW838" s="1"/>
      <c r="AX838" s="1"/>
      <c r="AY838" s="1"/>
      <c r="AZ838" s="1"/>
      <c r="BA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Q838" s="1"/>
      <c r="BR838" s="1"/>
      <c r="BS838" s="1"/>
      <c r="BT838" s="1"/>
      <c r="BU838" s="1"/>
      <c r="BV838" s="1"/>
      <c r="BW838" s="1"/>
      <c r="BX838" s="1"/>
      <c r="BY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D838" s="1"/>
      <c r="GE838" s="1"/>
      <c r="GF838" s="1"/>
      <c r="GG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</row>
    <row r="839" spans="3:222" x14ac:dyDescent="0.3">
      <c r="C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O839" s="1"/>
      <c r="AP839" s="1"/>
      <c r="AQ839" s="1"/>
      <c r="AR839" s="1"/>
      <c r="AS839" s="1"/>
      <c r="AU839" s="1"/>
      <c r="AV839" s="1"/>
      <c r="AW839" s="1"/>
      <c r="AX839" s="1"/>
      <c r="AY839" s="1"/>
      <c r="AZ839" s="1"/>
      <c r="BA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Q839" s="1"/>
      <c r="BR839" s="1"/>
      <c r="BS839" s="1"/>
      <c r="BT839" s="1"/>
      <c r="BU839" s="1"/>
      <c r="BV839" s="1"/>
      <c r="BW839" s="1"/>
      <c r="BX839" s="1"/>
      <c r="BY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D839" s="1"/>
      <c r="GE839" s="1"/>
      <c r="GF839" s="1"/>
      <c r="GG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</row>
    <row r="840" spans="3:222" x14ac:dyDescent="0.3">
      <c r="C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O840" s="1"/>
      <c r="AP840" s="1"/>
      <c r="AQ840" s="1"/>
      <c r="AR840" s="1"/>
      <c r="AS840" s="1"/>
      <c r="AU840" s="1"/>
      <c r="AV840" s="1"/>
      <c r="AW840" s="1"/>
      <c r="AX840" s="1"/>
      <c r="AY840" s="1"/>
      <c r="AZ840" s="1"/>
      <c r="BA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Q840" s="1"/>
      <c r="BR840" s="1"/>
      <c r="BS840" s="1"/>
      <c r="BT840" s="1"/>
      <c r="BU840" s="1"/>
      <c r="BV840" s="1"/>
      <c r="BW840" s="1"/>
      <c r="BX840" s="1"/>
      <c r="BY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D840" s="1"/>
      <c r="GE840" s="1"/>
      <c r="GF840" s="1"/>
      <c r="GG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</row>
    <row r="841" spans="3:222" x14ac:dyDescent="0.3">
      <c r="C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O841" s="1"/>
      <c r="AP841" s="1"/>
      <c r="AQ841" s="1"/>
      <c r="AR841" s="1"/>
      <c r="AS841" s="1"/>
      <c r="AU841" s="1"/>
      <c r="AV841" s="1"/>
      <c r="AW841" s="1"/>
      <c r="AX841" s="1"/>
      <c r="AY841" s="1"/>
      <c r="AZ841" s="1"/>
      <c r="BA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Q841" s="1"/>
      <c r="BR841" s="1"/>
      <c r="BS841" s="1"/>
      <c r="BT841" s="1"/>
      <c r="BU841" s="1"/>
      <c r="BV841" s="1"/>
      <c r="BW841" s="1"/>
      <c r="BX841" s="1"/>
      <c r="BY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D841" s="1"/>
      <c r="GE841" s="1"/>
      <c r="GF841" s="1"/>
      <c r="GG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</row>
    <row r="842" spans="3:222" x14ac:dyDescent="0.3">
      <c r="C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O842" s="1"/>
      <c r="AP842" s="1"/>
      <c r="AQ842" s="1"/>
      <c r="AR842" s="1"/>
      <c r="AS842" s="1"/>
      <c r="AU842" s="1"/>
      <c r="AV842" s="1"/>
      <c r="AW842" s="1"/>
      <c r="AX842" s="1"/>
      <c r="AY842" s="1"/>
      <c r="AZ842" s="1"/>
      <c r="BA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Q842" s="1"/>
      <c r="BR842" s="1"/>
      <c r="BS842" s="1"/>
      <c r="BT842" s="1"/>
      <c r="BU842" s="1"/>
      <c r="BV842" s="1"/>
      <c r="BW842" s="1"/>
      <c r="BX842" s="1"/>
      <c r="BY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D842" s="1"/>
      <c r="GE842" s="1"/>
      <c r="GF842" s="1"/>
      <c r="GG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</row>
    <row r="843" spans="3:222" x14ac:dyDescent="0.3">
      <c r="C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O843" s="1"/>
      <c r="AP843" s="1"/>
      <c r="AQ843" s="1"/>
      <c r="AR843" s="1"/>
      <c r="AS843" s="1"/>
      <c r="AU843" s="1"/>
      <c r="AV843" s="1"/>
      <c r="AW843" s="1"/>
      <c r="AX843" s="1"/>
      <c r="AY843" s="1"/>
      <c r="AZ843" s="1"/>
      <c r="BA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Q843" s="1"/>
      <c r="BR843" s="1"/>
      <c r="BS843" s="1"/>
      <c r="BT843" s="1"/>
      <c r="BU843" s="1"/>
      <c r="BV843" s="1"/>
      <c r="BW843" s="1"/>
      <c r="BX843" s="1"/>
      <c r="BY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D843" s="1"/>
      <c r="GE843" s="1"/>
      <c r="GF843" s="1"/>
      <c r="GG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</row>
    <row r="844" spans="3:222" x14ac:dyDescent="0.3">
      <c r="C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O844" s="1"/>
      <c r="AP844" s="1"/>
      <c r="AQ844" s="1"/>
      <c r="AR844" s="1"/>
      <c r="AS844" s="1"/>
      <c r="AU844" s="1"/>
      <c r="AV844" s="1"/>
      <c r="AW844" s="1"/>
      <c r="AX844" s="1"/>
      <c r="AY844" s="1"/>
      <c r="AZ844" s="1"/>
      <c r="BA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Q844" s="1"/>
      <c r="BR844" s="1"/>
      <c r="BS844" s="1"/>
      <c r="BT844" s="1"/>
      <c r="BU844" s="1"/>
      <c r="BV844" s="1"/>
      <c r="BW844" s="1"/>
      <c r="BX844" s="1"/>
      <c r="BY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D844" s="1"/>
      <c r="GE844" s="1"/>
      <c r="GF844" s="1"/>
      <c r="GG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</row>
    <row r="845" spans="3:222" x14ac:dyDescent="0.3">
      <c r="C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O845" s="1"/>
      <c r="AP845" s="1"/>
      <c r="AQ845" s="1"/>
      <c r="AR845" s="1"/>
      <c r="AS845" s="1"/>
      <c r="AU845" s="1"/>
      <c r="AV845" s="1"/>
      <c r="AW845" s="1"/>
      <c r="AX845" s="1"/>
      <c r="AY845" s="1"/>
      <c r="AZ845" s="1"/>
      <c r="BA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Q845" s="1"/>
      <c r="BR845" s="1"/>
      <c r="BS845" s="1"/>
      <c r="BT845" s="1"/>
      <c r="BU845" s="1"/>
      <c r="BV845" s="1"/>
      <c r="BW845" s="1"/>
      <c r="BX845" s="1"/>
      <c r="BY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D845" s="1"/>
      <c r="GE845" s="1"/>
      <c r="GF845" s="1"/>
      <c r="GG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</row>
    <row r="846" spans="3:222" x14ac:dyDescent="0.3">
      <c r="C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O846" s="1"/>
      <c r="AP846" s="1"/>
      <c r="AQ846" s="1"/>
      <c r="AR846" s="1"/>
      <c r="AS846" s="1"/>
      <c r="AU846" s="1"/>
      <c r="AV846" s="1"/>
      <c r="AW846" s="1"/>
      <c r="AX846" s="1"/>
      <c r="AY846" s="1"/>
      <c r="AZ846" s="1"/>
      <c r="BA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Q846" s="1"/>
      <c r="BR846" s="1"/>
      <c r="BS846" s="1"/>
      <c r="BT846" s="1"/>
      <c r="BU846" s="1"/>
      <c r="BV846" s="1"/>
      <c r="BW846" s="1"/>
      <c r="BX846" s="1"/>
      <c r="BY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D846" s="1"/>
      <c r="GE846" s="1"/>
      <c r="GF846" s="1"/>
      <c r="GG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</row>
    <row r="847" spans="3:222" x14ac:dyDescent="0.3">
      <c r="C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O847" s="1"/>
      <c r="AP847" s="1"/>
      <c r="AQ847" s="1"/>
      <c r="AR847" s="1"/>
      <c r="AS847" s="1"/>
      <c r="AU847" s="1"/>
      <c r="AV847" s="1"/>
      <c r="AW847" s="1"/>
      <c r="AX847" s="1"/>
      <c r="AY847" s="1"/>
      <c r="AZ847" s="1"/>
      <c r="BA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Q847" s="1"/>
      <c r="BR847" s="1"/>
      <c r="BS847" s="1"/>
      <c r="BT847" s="1"/>
      <c r="BU847" s="1"/>
      <c r="BV847" s="1"/>
      <c r="BW847" s="1"/>
      <c r="BX847" s="1"/>
      <c r="BY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D847" s="1"/>
      <c r="GE847" s="1"/>
      <c r="GF847" s="1"/>
      <c r="GG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</row>
    <row r="848" spans="3:222" x14ac:dyDescent="0.3">
      <c r="C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O848" s="1"/>
      <c r="AP848" s="1"/>
      <c r="AQ848" s="1"/>
      <c r="AR848" s="1"/>
      <c r="AS848" s="1"/>
      <c r="AU848" s="1"/>
      <c r="AV848" s="1"/>
      <c r="AW848" s="1"/>
      <c r="AX848" s="1"/>
      <c r="AY848" s="1"/>
      <c r="AZ848" s="1"/>
      <c r="BA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Q848" s="1"/>
      <c r="BR848" s="1"/>
      <c r="BS848" s="1"/>
      <c r="BT848" s="1"/>
      <c r="BU848" s="1"/>
      <c r="BV848" s="1"/>
      <c r="BW848" s="1"/>
      <c r="BX848" s="1"/>
      <c r="BY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D848" s="1"/>
      <c r="GE848" s="1"/>
      <c r="GF848" s="1"/>
      <c r="GG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</row>
    <row r="849" spans="3:222" x14ac:dyDescent="0.3">
      <c r="C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O849" s="1"/>
      <c r="AP849" s="1"/>
      <c r="AQ849" s="1"/>
      <c r="AR849" s="1"/>
      <c r="AS849" s="1"/>
      <c r="AU849" s="1"/>
      <c r="AV849" s="1"/>
      <c r="AW849" s="1"/>
      <c r="AX849" s="1"/>
      <c r="AY849" s="1"/>
      <c r="AZ849" s="1"/>
      <c r="BA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Q849" s="1"/>
      <c r="BR849" s="1"/>
      <c r="BS849" s="1"/>
      <c r="BT849" s="1"/>
      <c r="BU849" s="1"/>
      <c r="BV849" s="1"/>
      <c r="BW849" s="1"/>
      <c r="BX849" s="1"/>
      <c r="BY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D849" s="1"/>
      <c r="GE849" s="1"/>
      <c r="GF849" s="1"/>
      <c r="GG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</row>
    <row r="850" spans="3:222" x14ac:dyDescent="0.3">
      <c r="C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O850" s="1"/>
      <c r="AP850" s="1"/>
      <c r="AQ850" s="1"/>
      <c r="AR850" s="1"/>
      <c r="AS850" s="1"/>
      <c r="AU850" s="1"/>
      <c r="AV850" s="1"/>
      <c r="AW850" s="1"/>
      <c r="AX850" s="1"/>
      <c r="AY850" s="1"/>
      <c r="AZ850" s="1"/>
      <c r="BA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Q850" s="1"/>
      <c r="BR850" s="1"/>
      <c r="BS850" s="1"/>
      <c r="BT850" s="1"/>
      <c r="BU850" s="1"/>
      <c r="BV850" s="1"/>
      <c r="BW850" s="1"/>
      <c r="BX850" s="1"/>
      <c r="BY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D850" s="1"/>
      <c r="GE850" s="1"/>
      <c r="GF850" s="1"/>
      <c r="GG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</row>
    <row r="851" spans="3:222" x14ac:dyDescent="0.3">
      <c r="C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O851" s="1"/>
      <c r="AP851" s="1"/>
      <c r="AQ851" s="1"/>
      <c r="AR851" s="1"/>
      <c r="AS851" s="1"/>
      <c r="AU851" s="1"/>
      <c r="AV851" s="1"/>
      <c r="AW851" s="1"/>
      <c r="AX851" s="1"/>
      <c r="AY851" s="1"/>
      <c r="AZ851" s="1"/>
      <c r="BA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Q851" s="1"/>
      <c r="BR851" s="1"/>
      <c r="BS851" s="1"/>
      <c r="BT851" s="1"/>
      <c r="BU851" s="1"/>
      <c r="BV851" s="1"/>
      <c r="BW851" s="1"/>
      <c r="BX851" s="1"/>
      <c r="BY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D851" s="1"/>
      <c r="GE851" s="1"/>
      <c r="GF851" s="1"/>
      <c r="GG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</row>
    <row r="852" spans="3:222" x14ac:dyDescent="0.3">
      <c r="C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O852" s="1"/>
      <c r="AP852" s="1"/>
      <c r="AQ852" s="1"/>
      <c r="AR852" s="1"/>
      <c r="AS852" s="1"/>
      <c r="AU852" s="1"/>
      <c r="AV852" s="1"/>
      <c r="AW852" s="1"/>
      <c r="AX852" s="1"/>
      <c r="AY852" s="1"/>
      <c r="AZ852" s="1"/>
      <c r="BA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Q852" s="1"/>
      <c r="BR852" s="1"/>
      <c r="BS852" s="1"/>
      <c r="BT852" s="1"/>
      <c r="BU852" s="1"/>
      <c r="BV852" s="1"/>
      <c r="BW852" s="1"/>
      <c r="BX852" s="1"/>
      <c r="BY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D852" s="1"/>
      <c r="GE852" s="1"/>
      <c r="GF852" s="1"/>
      <c r="GG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</row>
    <row r="853" spans="3:222" x14ac:dyDescent="0.3">
      <c r="C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O853" s="1"/>
      <c r="AP853" s="1"/>
      <c r="AQ853" s="1"/>
      <c r="AR853" s="1"/>
      <c r="AS853" s="1"/>
      <c r="AU853" s="1"/>
      <c r="AV853" s="1"/>
      <c r="AW853" s="1"/>
      <c r="AX853" s="1"/>
      <c r="AY853" s="1"/>
      <c r="AZ853" s="1"/>
      <c r="BA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Q853" s="1"/>
      <c r="BR853" s="1"/>
      <c r="BS853" s="1"/>
      <c r="BT853" s="1"/>
      <c r="BU853" s="1"/>
      <c r="BV853" s="1"/>
      <c r="BW853" s="1"/>
      <c r="BX853" s="1"/>
      <c r="BY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D853" s="1"/>
      <c r="GE853" s="1"/>
      <c r="GF853" s="1"/>
      <c r="GG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</row>
    <row r="854" spans="3:222" x14ac:dyDescent="0.3">
      <c r="C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O854" s="1"/>
      <c r="AP854" s="1"/>
      <c r="AQ854" s="1"/>
      <c r="AR854" s="1"/>
      <c r="AS854" s="1"/>
      <c r="AU854" s="1"/>
      <c r="AV854" s="1"/>
      <c r="AW854" s="1"/>
      <c r="AX854" s="1"/>
      <c r="AY854" s="1"/>
      <c r="AZ854" s="1"/>
      <c r="BA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Q854" s="1"/>
      <c r="BR854" s="1"/>
      <c r="BS854" s="1"/>
      <c r="BT854" s="1"/>
      <c r="BU854" s="1"/>
      <c r="BV854" s="1"/>
      <c r="BW854" s="1"/>
      <c r="BX854" s="1"/>
      <c r="BY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D854" s="1"/>
      <c r="GE854" s="1"/>
      <c r="GF854" s="1"/>
      <c r="GG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</row>
    <row r="855" spans="3:222" x14ac:dyDescent="0.3">
      <c r="C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O855" s="1"/>
      <c r="AP855" s="1"/>
      <c r="AQ855" s="1"/>
      <c r="AR855" s="1"/>
      <c r="AS855" s="1"/>
      <c r="AU855" s="1"/>
      <c r="AV855" s="1"/>
      <c r="AW855" s="1"/>
      <c r="AX855" s="1"/>
      <c r="AY855" s="1"/>
      <c r="AZ855" s="1"/>
      <c r="BA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Q855" s="1"/>
      <c r="BR855" s="1"/>
      <c r="BS855" s="1"/>
      <c r="BT855" s="1"/>
      <c r="BU855" s="1"/>
      <c r="BV855" s="1"/>
      <c r="BW855" s="1"/>
      <c r="BX855" s="1"/>
      <c r="BY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D855" s="1"/>
      <c r="GE855" s="1"/>
      <c r="GF855" s="1"/>
      <c r="GG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</row>
    <row r="856" spans="3:222" x14ac:dyDescent="0.3">
      <c r="C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O856" s="1"/>
      <c r="AP856" s="1"/>
      <c r="AQ856" s="1"/>
      <c r="AR856" s="1"/>
      <c r="AS856" s="1"/>
      <c r="AU856" s="1"/>
      <c r="AV856" s="1"/>
      <c r="AW856" s="1"/>
      <c r="AX856" s="1"/>
      <c r="AY856" s="1"/>
      <c r="AZ856" s="1"/>
      <c r="BA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Q856" s="1"/>
      <c r="BR856" s="1"/>
      <c r="BS856" s="1"/>
      <c r="BT856" s="1"/>
      <c r="BU856" s="1"/>
      <c r="BV856" s="1"/>
      <c r="BW856" s="1"/>
      <c r="BX856" s="1"/>
      <c r="BY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D856" s="1"/>
      <c r="GE856" s="1"/>
      <c r="GF856" s="1"/>
      <c r="GG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</row>
    <row r="857" spans="3:222" x14ac:dyDescent="0.3">
      <c r="C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O857" s="1"/>
      <c r="AP857" s="1"/>
      <c r="AQ857" s="1"/>
      <c r="AR857" s="1"/>
      <c r="AS857" s="1"/>
      <c r="AU857" s="1"/>
      <c r="AV857" s="1"/>
      <c r="AW857" s="1"/>
      <c r="AX857" s="1"/>
      <c r="AY857" s="1"/>
      <c r="AZ857" s="1"/>
      <c r="BA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Q857" s="1"/>
      <c r="BR857" s="1"/>
      <c r="BS857" s="1"/>
      <c r="BT857" s="1"/>
      <c r="BU857" s="1"/>
      <c r="BV857" s="1"/>
      <c r="BW857" s="1"/>
      <c r="BX857" s="1"/>
      <c r="BY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D857" s="1"/>
      <c r="GE857" s="1"/>
      <c r="GF857" s="1"/>
      <c r="GG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</row>
    <row r="858" spans="3:222" x14ac:dyDescent="0.3">
      <c r="C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O858" s="1"/>
      <c r="AP858" s="1"/>
      <c r="AQ858" s="1"/>
      <c r="AR858" s="1"/>
      <c r="AS858" s="1"/>
      <c r="AU858" s="1"/>
      <c r="AV858" s="1"/>
      <c r="AW858" s="1"/>
      <c r="AX858" s="1"/>
      <c r="AY858" s="1"/>
      <c r="AZ858" s="1"/>
      <c r="BA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Q858" s="1"/>
      <c r="BR858" s="1"/>
      <c r="BS858" s="1"/>
      <c r="BT858" s="1"/>
      <c r="BU858" s="1"/>
      <c r="BV858" s="1"/>
      <c r="BW858" s="1"/>
      <c r="BX858" s="1"/>
      <c r="BY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D858" s="1"/>
      <c r="GE858" s="1"/>
      <c r="GF858" s="1"/>
      <c r="GG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</row>
    <row r="859" spans="3:222" x14ac:dyDescent="0.3">
      <c r="C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O859" s="1"/>
      <c r="AP859" s="1"/>
      <c r="AQ859" s="1"/>
      <c r="AR859" s="1"/>
      <c r="AS859" s="1"/>
      <c r="AU859" s="1"/>
      <c r="AV859" s="1"/>
      <c r="AW859" s="1"/>
      <c r="AX859" s="1"/>
      <c r="AY859" s="1"/>
      <c r="AZ859" s="1"/>
      <c r="BA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Q859" s="1"/>
      <c r="BR859" s="1"/>
      <c r="BS859" s="1"/>
      <c r="BT859" s="1"/>
      <c r="BU859" s="1"/>
      <c r="BV859" s="1"/>
      <c r="BW859" s="1"/>
      <c r="BX859" s="1"/>
      <c r="BY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D859" s="1"/>
      <c r="GE859" s="1"/>
      <c r="GF859" s="1"/>
      <c r="GG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</row>
    <row r="860" spans="3:222" x14ac:dyDescent="0.3">
      <c r="C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O860" s="1"/>
      <c r="AP860" s="1"/>
      <c r="AQ860" s="1"/>
      <c r="AR860" s="1"/>
      <c r="AS860" s="1"/>
      <c r="AU860" s="1"/>
      <c r="AV860" s="1"/>
      <c r="AW860" s="1"/>
      <c r="AX860" s="1"/>
      <c r="AY860" s="1"/>
      <c r="AZ860" s="1"/>
      <c r="BA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Q860" s="1"/>
      <c r="BR860" s="1"/>
      <c r="BS860" s="1"/>
      <c r="BT860" s="1"/>
      <c r="BU860" s="1"/>
      <c r="BV860" s="1"/>
      <c r="BW860" s="1"/>
      <c r="BX860" s="1"/>
      <c r="BY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D860" s="1"/>
      <c r="GE860" s="1"/>
      <c r="GF860" s="1"/>
      <c r="GG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</row>
    <row r="861" spans="3:222" x14ac:dyDescent="0.3">
      <c r="C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O861" s="1"/>
      <c r="AP861" s="1"/>
      <c r="AQ861" s="1"/>
      <c r="AR861" s="1"/>
      <c r="AS861" s="1"/>
      <c r="AU861" s="1"/>
      <c r="AV861" s="1"/>
      <c r="AW861" s="1"/>
      <c r="AX861" s="1"/>
      <c r="AY861" s="1"/>
      <c r="AZ861" s="1"/>
      <c r="BA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Q861" s="1"/>
      <c r="BR861" s="1"/>
      <c r="BS861" s="1"/>
      <c r="BT861" s="1"/>
      <c r="BU861" s="1"/>
      <c r="BV861" s="1"/>
      <c r="BW861" s="1"/>
      <c r="BX861" s="1"/>
      <c r="BY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D861" s="1"/>
      <c r="GE861" s="1"/>
      <c r="GF861" s="1"/>
      <c r="GG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</row>
    <row r="862" spans="3:222" x14ac:dyDescent="0.3">
      <c r="C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O862" s="1"/>
      <c r="AP862" s="1"/>
      <c r="AQ862" s="1"/>
      <c r="AR862" s="1"/>
      <c r="AS862" s="1"/>
      <c r="AU862" s="1"/>
      <c r="AV862" s="1"/>
      <c r="AW862" s="1"/>
      <c r="AX862" s="1"/>
      <c r="AY862" s="1"/>
      <c r="AZ862" s="1"/>
      <c r="BA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Q862" s="1"/>
      <c r="BR862" s="1"/>
      <c r="BS862" s="1"/>
      <c r="BT862" s="1"/>
      <c r="BU862" s="1"/>
      <c r="BV862" s="1"/>
      <c r="BW862" s="1"/>
      <c r="BX862" s="1"/>
      <c r="BY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D862" s="1"/>
      <c r="GE862" s="1"/>
      <c r="GF862" s="1"/>
      <c r="GG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</row>
    <row r="863" spans="3:222" x14ac:dyDescent="0.3">
      <c r="C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O863" s="1"/>
      <c r="AP863" s="1"/>
      <c r="AQ863" s="1"/>
      <c r="AR863" s="1"/>
      <c r="AS863" s="1"/>
      <c r="AU863" s="1"/>
      <c r="AV863" s="1"/>
      <c r="AW863" s="1"/>
      <c r="AX863" s="1"/>
      <c r="AY863" s="1"/>
      <c r="AZ863" s="1"/>
      <c r="BA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Q863" s="1"/>
      <c r="BR863" s="1"/>
      <c r="BS863" s="1"/>
      <c r="BT863" s="1"/>
      <c r="BU863" s="1"/>
      <c r="BV863" s="1"/>
      <c r="BW863" s="1"/>
      <c r="BX863" s="1"/>
      <c r="BY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D863" s="1"/>
      <c r="GE863" s="1"/>
      <c r="GF863" s="1"/>
      <c r="GG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</row>
    <row r="864" spans="3:222" x14ac:dyDescent="0.3">
      <c r="C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O864" s="1"/>
      <c r="AP864" s="1"/>
      <c r="AQ864" s="1"/>
      <c r="AR864" s="1"/>
      <c r="AS864" s="1"/>
      <c r="AU864" s="1"/>
      <c r="AV864" s="1"/>
      <c r="AW864" s="1"/>
      <c r="AX864" s="1"/>
      <c r="AY864" s="1"/>
      <c r="AZ864" s="1"/>
      <c r="BA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Q864" s="1"/>
      <c r="BR864" s="1"/>
      <c r="BS864" s="1"/>
      <c r="BT864" s="1"/>
      <c r="BU864" s="1"/>
      <c r="BV864" s="1"/>
      <c r="BW864" s="1"/>
      <c r="BX864" s="1"/>
      <c r="BY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D864" s="1"/>
      <c r="GE864" s="1"/>
      <c r="GF864" s="1"/>
      <c r="GG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</row>
    <row r="865" spans="3:222" x14ac:dyDescent="0.3">
      <c r="C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O865" s="1"/>
      <c r="AP865" s="1"/>
      <c r="AQ865" s="1"/>
      <c r="AR865" s="1"/>
      <c r="AS865" s="1"/>
      <c r="AU865" s="1"/>
      <c r="AV865" s="1"/>
      <c r="AW865" s="1"/>
      <c r="AX865" s="1"/>
      <c r="AY865" s="1"/>
      <c r="AZ865" s="1"/>
      <c r="BA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Q865" s="1"/>
      <c r="BR865" s="1"/>
      <c r="BS865" s="1"/>
      <c r="BT865" s="1"/>
      <c r="BU865" s="1"/>
      <c r="BV865" s="1"/>
      <c r="BW865" s="1"/>
      <c r="BX865" s="1"/>
      <c r="BY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D865" s="1"/>
      <c r="GE865" s="1"/>
      <c r="GF865" s="1"/>
      <c r="GG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</row>
    <row r="866" spans="3:222" x14ac:dyDescent="0.3">
      <c r="C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O866" s="1"/>
      <c r="AP866" s="1"/>
      <c r="AQ866" s="1"/>
      <c r="AR866" s="1"/>
      <c r="AS866" s="1"/>
      <c r="AU866" s="1"/>
      <c r="AV866" s="1"/>
      <c r="AW866" s="1"/>
      <c r="AX866" s="1"/>
      <c r="AY866" s="1"/>
      <c r="AZ866" s="1"/>
      <c r="BA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Q866" s="1"/>
      <c r="BR866" s="1"/>
      <c r="BS866" s="1"/>
      <c r="BT866" s="1"/>
      <c r="BU866" s="1"/>
      <c r="BV866" s="1"/>
      <c r="BW866" s="1"/>
      <c r="BX866" s="1"/>
      <c r="BY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D866" s="1"/>
      <c r="GE866" s="1"/>
      <c r="GF866" s="1"/>
      <c r="GG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</row>
    <row r="867" spans="3:222" x14ac:dyDescent="0.3">
      <c r="C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O867" s="1"/>
      <c r="AP867" s="1"/>
      <c r="AQ867" s="1"/>
      <c r="AR867" s="1"/>
      <c r="AS867" s="1"/>
      <c r="AU867" s="1"/>
      <c r="AV867" s="1"/>
      <c r="AW867" s="1"/>
      <c r="AX867" s="1"/>
      <c r="AY867" s="1"/>
      <c r="AZ867" s="1"/>
      <c r="BA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Q867" s="1"/>
      <c r="BR867" s="1"/>
      <c r="BS867" s="1"/>
      <c r="BT867" s="1"/>
      <c r="BU867" s="1"/>
      <c r="BV867" s="1"/>
      <c r="BW867" s="1"/>
      <c r="BX867" s="1"/>
      <c r="BY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D867" s="1"/>
      <c r="GE867" s="1"/>
      <c r="GF867" s="1"/>
      <c r="GG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</row>
    <row r="868" spans="3:222" x14ac:dyDescent="0.3">
      <c r="C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O868" s="1"/>
      <c r="AP868" s="1"/>
      <c r="AQ868" s="1"/>
      <c r="AR868" s="1"/>
      <c r="AS868" s="1"/>
      <c r="AU868" s="1"/>
      <c r="AV868" s="1"/>
      <c r="AW868" s="1"/>
      <c r="AX868" s="1"/>
      <c r="AY868" s="1"/>
      <c r="AZ868" s="1"/>
      <c r="BA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Q868" s="1"/>
      <c r="BR868" s="1"/>
      <c r="BS868" s="1"/>
      <c r="BT868" s="1"/>
      <c r="BU868" s="1"/>
      <c r="BV868" s="1"/>
      <c r="BW868" s="1"/>
      <c r="BX868" s="1"/>
      <c r="BY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D868" s="1"/>
      <c r="GE868" s="1"/>
      <c r="GF868" s="1"/>
      <c r="GG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</row>
    <row r="869" spans="3:222" x14ac:dyDescent="0.3">
      <c r="C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O869" s="1"/>
      <c r="AP869" s="1"/>
      <c r="AQ869" s="1"/>
      <c r="AR869" s="1"/>
      <c r="AS869" s="1"/>
      <c r="AU869" s="1"/>
      <c r="AV869" s="1"/>
      <c r="AW869" s="1"/>
      <c r="AX869" s="1"/>
      <c r="AY869" s="1"/>
      <c r="AZ869" s="1"/>
      <c r="BA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Q869" s="1"/>
      <c r="BR869" s="1"/>
      <c r="BS869" s="1"/>
      <c r="BT869" s="1"/>
      <c r="BU869" s="1"/>
      <c r="BV869" s="1"/>
      <c r="BW869" s="1"/>
      <c r="BX869" s="1"/>
      <c r="BY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D869" s="1"/>
      <c r="GE869" s="1"/>
      <c r="GF869" s="1"/>
      <c r="GG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</row>
    <row r="870" spans="3:222" x14ac:dyDescent="0.3">
      <c r="C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O870" s="1"/>
      <c r="AP870" s="1"/>
      <c r="AQ870" s="1"/>
      <c r="AR870" s="1"/>
      <c r="AS870" s="1"/>
      <c r="AU870" s="1"/>
      <c r="AV870" s="1"/>
      <c r="AW870" s="1"/>
      <c r="AX870" s="1"/>
      <c r="AY870" s="1"/>
      <c r="AZ870" s="1"/>
      <c r="BA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Q870" s="1"/>
      <c r="BR870" s="1"/>
      <c r="BS870" s="1"/>
      <c r="BT870" s="1"/>
      <c r="BU870" s="1"/>
      <c r="BV870" s="1"/>
      <c r="BW870" s="1"/>
      <c r="BX870" s="1"/>
      <c r="BY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D870" s="1"/>
      <c r="GE870" s="1"/>
      <c r="GF870" s="1"/>
      <c r="GG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</row>
    <row r="871" spans="3:222" x14ac:dyDescent="0.3">
      <c r="C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O871" s="1"/>
      <c r="AP871" s="1"/>
      <c r="AQ871" s="1"/>
      <c r="AR871" s="1"/>
      <c r="AS871" s="1"/>
      <c r="AU871" s="1"/>
      <c r="AV871" s="1"/>
      <c r="AW871" s="1"/>
      <c r="AX871" s="1"/>
      <c r="AY871" s="1"/>
      <c r="AZ871" s="1"/>
      <c r="BA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Q871" s="1"/>
      <c r="BR871" s="1"/>
      <c r="BS871" s="1"/>
      <c r="BT871" s="1"/>
      <c r="BU871" s="1"/>
      <c r="BV871" s="1"/>
      <c r="BW871" s="1"/>
      <c r="BX871" s="1"/>
      <c r="BY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D871" s="1"/>
      <c r="GE871" s="1"/>
      <c r="GF871" s="1"/>
      <c r="GG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</row>
    <row r="872" spans="3:222" x14ac:dyDescent="0.3">
      <c r="C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O872" s="1"/>
      <c r="AP872" s="1"/>
      <c r="AQ872" s="1"/>
      <c r="AR872" s="1"/>
      <c r="AS872" s="1"/>
      <c r="AU872" s="1"/>
      <c r="AV872" s="1"/>
      <c r="AW872" s="1"/>
      <c r="AX872" s="1"/>
      <c r="AY872" s="1"/>
      <c r="AZ872" s="1"/>
      <c r="BA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Q872" s="1"/>
      <c r="BR872" s="1"/>
      <c r="BS872" s="1"/>
      <c r="BT872" s="1"/>
      <c r="BU872" s="1"/>
      <c r="BV872" s="1"/>
      <c r="BW872" s="1"/>
      <c r="BX872" s="1"/>
      <c r="BY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D872" s="1"/>
      <c r="GE872" s="1"/>
      <c r="GF872" s="1"/>
      <c r="GG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</row>
    <row r="873" spans="3:222" x14ac:dyDescent="0.3">
      <c r="C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O873" s="1"/>
      <c r="AP873" s="1"/>
      <c r="AQ873" s="1"/>
      <c r="AR873" s="1"/>
      <c r="AS873" s="1"/>
      <c r="AU873" s="1"/>
      <c r="AV873" s="1"/>
      <c r="AW873" s="1"/>
      <c r="AX873" s="1"/>
      <c r="AY873" s="1"/>
      <c r="AZ873" s="1"/>
      <c r="BA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Q873" s="1"/>
      <c r="BR873" s="1"/>
      <c r="BS873" s="1"/>
      <c r="BT873" s="1"/>
      <c r="BU873" s="1"/>
      <c r="BV873" s="1"/>
      <c r="BW873" s="1"/>
      <c r="BX873" s="1"/>
      <c r="BY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D873" s="1"/>
      <c r="GE873" s="1"/>
      <c r="GF873" s="1"/>
      <c r="GG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</row>
    <row r="874" spans="3:222" x14ac:dyDescent="0.3">
      <c r="C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O874" s="1"/>
      <c r="AP874" s="1"/>
      <c r="AQ874" s="1"/>
      <c r="AR874" s="1"/>
      <c r="AS874" s="1"/>
      <c r="AU874" s="1"/>
      <c r="AV874" s="1"/>
      <c r="AW874" s="1"/>
      <c r="AX874" s="1"/>
      <c r="AY874" s="1"/>
      <c r="AZ874" s="1"/>
      <c r="BA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Q874" s="1"/>
      <c r="BR874" s="1"/>
      <c r="BS874" s="1"/>
      <c r="BT874" s="1"/>
      <c r="BU874" s="1"/>
      <c r="BV874" s="1"/>
      <c r="BW874" s="1"/>
      <c r="BX874" s="1"/>
      <c r="BY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D874" s="1"/>
      <c r="GE874" s="1"/>
      <c r="GF874" s="1"/>
      <c r="GG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</row>
    <row r="875" spans="3:222" x14ac:dyDescent="0.3">
      <c r="C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O875" s="1"/>
      <c r="AP875" s="1"/>
      <c r="AQ875" s="1"/>
      <c r="AR875" s="1"/>
      <c r="AS875" s="1"/>
      <c r="AU875" s="1"/>
      <c r="AV875" s="1"/>
      <c r="AW875" s="1"/>
      <c r="AX875" s="1"/>
      <c r="AY875" s="1"/>
      <c r="AZ875" s="1"/>
      <c r="BA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Q875" s="1"/>
      <c r="BR875" s="1"/>
      <c r="BS875" s="1"/>
      <c r="BT875" s="1"/>
      <c r="BU875" s="1"/>
      <c r="BV875" s="1"/>
      <c r="BW875" s="1"/>
      <c r="BX875" s="1"/>
      <c r="BY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D875" s="1"/>
      <c r="GE875" s="1"/>
      <c r="GF875" s="1"/>
      <c r="GG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</row>
    <row r="876" spans="3:222" x14ac:dyDescent="0.3">
      <c r="C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O876" s="1"/>
      <c r="AP876" s="1"/>
      <c r="AQ876" s="1"/>
      <c r="AR876" s="1"/>
      <c r="AS876" s="1"/>
      <c r="AU876" s="1"/>
      <c r="AV876" s="1"/>
      <c r="AW876" s="1"/>
      <c r="AX876" s="1"/>
      <c r="AY876" s="1"/>
      <c r="AZ876" s="1"/>
      <c r="BA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Q876" s="1"/>
      <c r="BR876" s="1"/>
      <c r="BS876" s="1"/>
      <c r="BT876" s="1"/>
      <c r="BU876" s="1"/>
      <c r="BV876" s="1"/>
      <c r="BW876" s="1"/>
      <c r="BX876" s="1"/>
      <c r="BY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D876" s="1"/>
      <c r="GE876" s="1"/>
      <c r="GF876" s="1"/>
      <c r="GG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</row>
    <row r="877" spans="3:222" x14ac:dyDescent="0.3">
      <c r="C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O877" s="1"/>
      <c r="AP877" s="1"/>
      <c r="AQ877" s="1"/>
      <c r="AR877" s="1"/>
      <c r="AS877" s="1"/>
      <c r="AU877" s="1"/>
      <c r="AV877" s="1"/>
      <c r="AW877" s="1"/>
      <c r="AX877" s="1"/>
      <c r="AY877" s="1"/>
      <c r="AZ877" s="1"/>
      <c r="BA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Q877" s="1"/>
      <c r="BR877" s="1"/>
      <c r="BS877" s="1"/>
      <c r="BT877" s="1"/>
      <c r="BU877" s="1"/>
      <c r="BV877" s="1"/>
      <c r="BW877" s="1"/>
      <c r="BX877" s="1"/>
      <c r="BY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D877" s="1"/>
      <c r="GE877" s="1"/>
      <c r="GF877" s="1"/>
      <c r="GG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</row>
    <row r="878" spans="3:222" x14ac:dyDescent="0.3">
      <c r="C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O878" s="1"/>
      <c r="AP878" s="1"/>
      <c r="AQ878" s="1"/>
      <c r="AR878" s="1"/>
      <c r="AS878" s="1"/>
      <c r="AU878" s="1"/>
      <c r="AV878" s="1"/>
      <c r="AW878" s="1"/>
      <c r="AX878" s="1"/>
      <c r="AY878" s="1"/>
      <c r="AZ878" s="1"/>
      <c r="BA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Q878" s="1"/>
      <c r="BR878" s="1"/>
      <c r="BS878" s="1"/>
      <c r="BT878" s="1"/>
      <c r="BU878" s="1"/>
      <c r="BV878" s="1"/>
      <c r="BW878" s="1"/>
      <c r="BX878" s="1"/>
      <c r="BY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D878" s="1"/>
      <c r="GE878" s="1"/>
      <c r="GF878" s="1"/>
      <c r="GG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</row>
    <row r="879" spans="3:222" x14ac:dyDescent="0.3">
      <c r="C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O879" s="1"/>
      <c r="AP879" s="1"/>
      <c r="AQ879" s="1"/>
      <c r="AR879" s="1"/>
      <c r="AS879" s="1"/>
      <c r="AU879" s="1"/>
      <c r="AV879" s="1"/>
      <c r="AW879" s="1"/>
      <c r="AX879" s="1"/>
      <c r="AY879" s="1"/>
      <c r="AZ879" s="1"/>
      <c r="BA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Q879" s="1"/>
      <c r="BR879" s="1"/>
      <c r="BS879" s="1"/>
      <c r="BT879" s="1"/>
      <c r="BU879" s="1"/>
      <c r="BV879" s="1"/>
      <c r="BW879" s="1"/>
      <c r="BX879" s="1"/>
      <c r="BY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D879" s="1"/>
      <c r="GE879" s="1"/>
      <c r="GF879" s="1"/>
      <c r="GG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</row>
    <row r="880" spans="3:222" x14ac:dyDescent="0.3">
      <c r="C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O880" s="1"/>
      <c r="AP880" s="1"/>
      <c r="AQ880" s="1"/>
      <c r="AR880" s="1"/>
      <c r="AS880" s="1"/>
      <c r="AU880" s="1"/>
      <c r="AV880" s="1"/>
      <c r="AW880" s="1"/>
      <c r="AX880" s="1"/>
      <c r="AY880" s="1"/>
      <c r="AZ880" s="1"/>
      <c r="BA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Q880" s="1"/>
      <c r="BR880" s="1"/>
      <c r="BS880" s="1"/>
      <c r="BT880" s="1"/>
      <c r="BU880" s="1"/>
      <c r="BV880" s="1"/>
      <c r="BW880" s="1"/>
      <c r="BX880" s="1"/>
      <c r="BY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D880" s="1"/>
      <c r="GE880" s="1"/>
      <c r="GF880" s="1"/>
      <c r="GG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</row>
    <row r="881" spans="3:222" x14ac:dyDescent="0.3">
      <c r="C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O881" s="1"/>
      <c r="AP881" s="1"/>
      <c r="AQ881" s="1"/>
      <c r="AR881" s="1"/>
      <c r="AS881" s="1"/>
      <c r="AU881" s="1"/>
      <c r="AV881" s="1"/>
      <c r="AW881" s="1"/>
      <c r="AX881" s="1"/>
      <c r="AY881" s="1"/>
      <c r="AZ881" s="1"/>
      <c r="BA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Q881" s="1"/>
      <c r="BR881" s="1"/>
      <c r="BS881" s="1"/>
      <c r="BT881" s="1"/>
      <c r="BU881" s="1"/>
      <c r="BV881" s="1"/>
      <c r="BW881" s="1"/>
      <c r="BX881" s="1"/>
      <c r="BY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D881" s="1"/>
      <c r="GE881" s="1"/>
      <c r="GF881" s="1"/>
      <c r="GG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</row>
    <row r="882" spans="3:222" x14ac:dyDescent="0.3">
      <c r="C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O882" s="1"/>
      <c r="AP882" s="1"/>
      <c r="AQ882" s="1"/>
      <c r="AR882" s="1"/>
      <c r="AS882" s="1"/>
      <c r="AU882" s="1"/>
      <c r="AV882" s="1"/>
      <c r="AW882" s="1"/>
      <c r="AX882" s="1"/>
      <c r="AY882" s="1"/>
      <c r="AZ882" s="1"/>
      <c r="BA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Q882" s="1"/>
      <c r="BR882" s="1"/>
      <c r="BS882" s="1"/>
      <c r="BT882" s="1"/>
      <c r="BU882" s="1"/>
      <c r="BV882" s="1"/>
      <c r="BW882" s="1"/>
      <c r="BX882" s="1"/>
      <c r="BY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D882" s="1"/>
      <c r="GE882" s="1"/>
      <c r="GF882" s="1"/>
      <c r="GG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</row>
    <row r="883" spans="3:222" x14ac:dyDescent="0.3">
      <c r="C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O883" s="1"/>
      <c r="AP883" s="1"/>
      <c r="AQ883" s="1"/>
      <c r="AR883" s="1"/>
      <c r="AS883" s="1"/>
      <c r="AU883" s="1"/>
      <c r="AV883" s="1"/>
      <c r="AW883" s="1"/>
      <c r="AX883" s="1"/>
      <c r="AY883" s="1"/>
      <c r="AZ883" s="1"/>
      <c r="BA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Q883" s="1"/>
      <c r="BR883" s="1"/>
      <c r="BS883" s="1"/>
      <c r="BT883" s="1"/>
      <c r="BU883" s="1"/>
      <c r="BV883" s="1"/>
      <c r="BW883" s="1"/>
      <c r="BX883" s="1"/>
      <c r="BY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D883" s="1"/>
      <c r="GE883" s="1"/>
      <c r="GF883" s="1"/>
      <c r="GG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</row>
    <row r="884" spans="3:222" x14ac:dyDescent="0.3">
      <c r="C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O884" s="1"/>
      <c r="AP884" s="1"/>
      <c r="AQ884" s="1"/>
      <c r="AR884" s="1"/>
      <c r="AS884" s="1"/>
      <c r="AU884" s="1"/>
      <c r="AV884" s="1"/>
      <c r="AW884" s="1"/>
      <c r="AX884" s="1"/>
      <c r="AY884" s="1"/>
      <c r="AZ884" s="1"/>
      <c r="BA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Q884" s="1"/>
      <c r="BR884" s="1"/>
      <c r="BS884" s="1"/>
      <c r="BT884" s="1"/>
      <c r="BU884" s="1"/>
      <c r="BV884" s="1"/>
      <c r="BW884" s="1"/>
      <c r="BX884" s="1"/>
      <c r="BY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D884" s="1"/>
      <c r="GE884" s="1"/>
      <c r="GF884" s="1"/>
      <c r="GG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</row>
    <row r="885" spans="3:222" x14ac:dyDescent="0.3">
      <c r="C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O885" s="1"/>
      <c r="AP885" s="1"/>
      <c r="AQ885" s="1"/>
      <c r="AR885" s="1"/>
      <c r="AS885" s="1"/>
      <c r="AU885" s="1"/>
      <c r="AV885" s="1"/>
      <c r="AW885" s="1"/>
      <c r="AX885" s="1"/>
      <c r="AY885" s="1"/>
      <c r="AZ885" s="1"/>
      <c r="BA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Q885" s="1"/>
      <c r="BR885" s="1"/>
      <c r="BS885" s="1"/>
      <c r="BT885" s="1"/>
      <c r="BU885" s="1"/>
      <c r="BV885" s="1"/>
      <c r="BW885" s="1"/>
      <c r="BX885" s="1"/>
      <c r="BY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D885" s="1"/>
      <c r="GE885" s="1"/>
      <c r="GF885" s="1"/>
      <c r="GG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</row>
    <row r="886" spans="3:222" x14ac:dyDescent="0.3">
      <c r="C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O886" s="1"/>
      <c r="AP886" s="1"/>
      <c r="AQ886" s="1"/>
      <c r="AR886" s="1"/>
      <c r="AS886" s="1"/>
      <c r="AU886" s="1"/>
      <c r="AV886" s="1"/>
      <c r="AW886" s="1"/>
      <c r="AX886" s="1"/>
      <c r="AY886" s="1"/>
      <c r="AZ886" s="1"/>
      <c r="BA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Q886" s="1"/>
      <c r="BR886" s="1"/>
      <c r="BS886" s="1"/>
      <c r="BT886" s="1"/>
      <c r="BU886" s="1"/>
      <c r="BV886" s="1"/>
      <c r="BW886" s="1"/>
      <c r="BX886" s="1"/>
      <c r="BY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D886" s="1"/>
      <c r="GE886" s="1"/>
      <c r="GF886" s="1"/>
      <c r="GG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</row>
    <row r="887" spans="3:222" x14ac:dyDescent="0.3">
      <c r="C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O887" s="1"/>
      <c r="AP887" s="1"/>
      <c r="AQ887" s="1"/>
      <c r="AR887" s="1"/>
      <c r="AS887" s="1"/>
      <c r="AU887" s="1"/>
      <c r="AV887" s="1"/>
      <c r="AW887" s="1"/>
      <c r="AX887" s="1"/>
      <c r="AY887" s="1"/>
      <c r="AZ887" s="1"/>
      <c r="BA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Q887" s="1"/>
      <c r="BR887" s="1"/>
      <c r="BS887" s="1"/>
      <c r="BT887" s="1"/>
      <c r="BU887" s="1"/>
      <c r="BV887" s="1"/>
      <c r="BW887" s="1"/>
      <c r="BX887" s="1"/>
      <c r="BY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D887" s="1"/>
      <c r="GE887" s="1"/>
      <c r="GF887" s="1"/>
      <c r="GG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</row>
    <row r="888" spans="3:222" x14ac:dyDescent="0.3">
      <c r="C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O888" s="1"/>
      <c r="AP888" s="1"/>
      <c r="AQ888" s="1"/>
      <c r="AR888" s="1"/>
      <c r="AS888" s="1"/>
      <c r="AU888" s="1"/>
      <c r="AV888" s="1"/>
      <c r="AW888" s="1"/>
      <c r="AX888" s="1"/>
      <c r="AY888" s="1"/>
      <c r="AZ888" s="1"/>
      <c r="BA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Q888" s="1"/>
      <c r="BR888" s="1"/>
      <c r="BS888" s="1"/>
      <c r="BT888" s="1"/>
      <c r="BU888" s="1"/>
      <c r="BV888" s="1"/>
      <c r="BW888" s="1"/>
      <c r="BX888" s="1"/>
      <c r="BY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D888" s="1"/>
      <c r="GE888" s="1"/>
      <c r="GF888" s="1"/>
      <c r="GG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</row>
    <row r="889" spans="3:222" x14ac:dyDescent="0.3">
      <c r="C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O889" s="1"/>
      <c r="AP889" s="1"/>
      <c r="AQ889" s="1"/>
      <c r="AR889" s="1"/>
      <c r="AS889" s="1"/>
      <c r="AU889" s="1"/>
      <c r="AV889" s="1"/>
      <c r="AW889" s="1"/>
      <c r="AX889" s="1"/>
      <c r="AY889" s="1"/>
      <c r="AZ889" s="1"/>
      <c r="BA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Q889" s="1"/>
      <c r="BR889" s="1"/>
      <c r="BS889" s="1"/>
      <c r="BT889" s="1"/>
      <c r="BU889" s="1"/>
      <c r="BV889" s="1"/>
      <c r="BW889" s="1"/>
      <c r="BX889" s="1"/>
      <c r="BY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D889" s="1"/>
      <c r="GE889" s="1"/>
      <c r="GF889" s="1"/>
      <c r="GG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</row>
    <row r="890" spans="3:222" x14ac:dyDescent="0.3">
      <c r="C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O890" s="1"/>
      <c r="AP890" s="1"/>
      <c r="AQ890" s="1"/>
      <c r="AR890" s="1"/>
      <c r="AS890" s="1"/>
      <c r="AU890" s="1"/>
      <c r="AV890" s="1"/>
      <c r="AW890" s="1"/>
      <c r="AX890" s="1"/>
      <c r="AY890" s="1"/>
      <c r="AZ890" s="1"/>
      <c r="BA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Q890" s="1"/>
      <c r="BR890" s="1"/>
      <c r="BS890" s="1"/>
      <c r="BT890" s="1"/>
      <c r="BU890" s="1"/>
      <c r="BV890" s="1"/>
      <c r="BW890" s="1"/>
      <c r="BX890" s="1"/>
      <c r="BY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D890" s="1"/>
      <c r="GE890" s="1"/>
      <c r="GF890" s="1"/>
      <c r="GG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</row>
    <row r="891" spans="3:222" x14ac:dyDescent="0.3">
      <c r="C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O891" s="1"/>
      <c r="AP891" s="1"/>
      <c r="AQ891" s="1"/>
      <c r="AR891" s="1"/>
      <c r="AS891" s="1"/>
      <c r="AU891" s="1"/>
      <c r="AV891" s="1"/>
      <c r="AW891" s="1"/>
      <c r="AX891" s="1"/>
      <c r="AY891" s="1"/>
      <c r="AZ891" s="1"/>
      <c r="BA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Q891" s="1"/>
      <c r="BR891" s="1"/>
      <c r="BS891" s="1"/>
      <c r="BT891" s="1"/>
      <c r="BU891" s="1"/>
      <c r="BV891" s="1"/>
      <c r="BW891" s="1"/>
      <c r="BX891" s="1"/>
      <c r="BY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D891" s="1"/>
      <c r="GE891" s="1"/>
      <c r="GF891" s="1"/>
      <c r="GG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</row>
    <row r="892" spans="3:222" x14ac:dyDescent="0.3">
      <c r="C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O892" s="1"/>
      <c r="AP892" s="1"/>
      <c r="AQ892" s="1"/>
      <c r="AR892" s="1"/>
      <c r="AS892" s="1"/>
      <c r="AU892" s="1"/>
      <c r="AV892" s="1"/>
      <c r="AW892" s="1"/>
      <c r="AX892" s="1"/>
      <c r="AY892" s="1"/>
      <c r="AZ892" s="1"/>
      <c r="BA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Q892" s="1"/>
      <c r="BR892" s="1"/>
      <c r="BS892" s="1"/>
      <c r="BT892" s="1"/>
      <c r="BU892" s="1"/>
      <c r="BV892" s="1"/>
      <c r="BW892" s="1"/>
      <c r="BX892" s="1"/>
      <c r="BY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D892" s="1"/>
      <c r="GE892" s="1"/>
      <c r="GF892" s="1"/>
      <c r="GG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</row>
    <row r="893" spans="3:222" x14ac:dyDescent="0.3">
      <c r="C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O893" s="1"/>
      <c r="AP893" s="1"/>
      <c r="AQ893" s="1"/>
      <c r="AR893" s="1"/>
      <c r="AS893" s="1"/>
      <c r="AU893" s="1"/>
      <c r="AV893" s="1"/>
      <c r="AW893" s="1"/>
      <c r="AX893" s="1"/>
      <c r="AY893" s="1"/>
      <c r="AZ893" s="1"/>
      <c r="BA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Q893" s="1"/>
      <c r="BR893" s="1"/>
      <c r="BS893" s="1"/>
      <c r="BT893" s="1"/>
      <c r="BU893" s="1"/>
      <c r="BV893" s="1"/>
      <c r="BW893" s="1"/>
      <c r="BX893" s="1"/>
      <c r="BY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D893" s="1"/>
      <c r="GE893" s="1"/>
      <c r="GF893" s="1"/>
      <c r="GG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</row>
    <row r="894" spans="3:222" x14ac:dyDescent="0.3">
      <c r="C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O894" s="1"/>
      <c r="AP894" s="1"/>
      <c r="AQ894" s="1"/>
      <c r="AR894" s="1"/>
      <c r="AS894" s="1"/>
      <c r="AU894" s="1"/>
      <c r="AV894" s="1"/>
      <c r="AW894" s="1"/>
      <c r="AX894" s="1"/>
      <c r="AY894" s="1"/>
      <c r="AZ894" s="1"/>
      <c r="BA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Q894" s="1"/>
      <c r="BR894" s="1"/>
      <c r="BS894" s="1"/>
      <c r="BT894" s="1"/>
      <c r="BU894" s="1"/>
      <c r="BV894" s="1"/>
      <c r="BW894" s="1"/>
      <c r="BX894" s="1"/>
      <c r="BY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D894" s="1"/>
      <c r="GE894" s="1"/>
      <c r="GF894" s="1"/>
      <c r="GG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</row>
    <row r="895" spans="3:222" x14ac:dyDescent="0.3">
      <c r="C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O895" s="1"/>
      <c r="AP895" s="1"/>
      <c r="AQ895" s="1"/>
      <c r="AR895" s="1"/>
      <c r="AS895" s="1"/>
      <c r="AU895" s="1"/>
      <c r="AV895" s="1"/>
      <c r="AW895" s="1"/>
      <c r="AX895" s="1"/>
      <c r="AY895" s="1"/>
      <c r="AZ895" s="1"/>
      <c r="BA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Q895" s="1"/>
      <c r="BR895" s="1"/>
      <c r="BS895" s="1"/>
      <c r="BT895" s="1"/>
      <c r="BU895" s="1"/>
      <c r="BV895" s="1"/>
      <c r="BW895" s="1"/>
      <c r="BX895" s="1"/>
      <c r="BY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D895" s="1"/>
      <c r="GE895" s="1"/>
      <c r="GF895" s="1"/>
      <c r="GG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</row>
    <row r="896" spans="3:222" x14ac:dyDescent="0.3">
      <c r="C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O896" s="1"/>
      <c r="AP896" s="1"/>
      <c r="AQ896" s="1"/>
      <c r="AR896" s="1"/>
      <c r="AS896" s="1"/>
      <c r="AU896" s="1"/>
      <c r="AV896" s="1"/>
      <c r="AW896" s="1"/>
      <c r="AX896" s="1"/>
      <c r="AY896" s="1"/>
      <c r="AZ896" s="1"/>
      <c r="BA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Q896" s="1"/>
      <c r="BR896" s="1"/>
      <c r="BS896" s="1"/>
      <c r="BT896" s="1"/>
      <c r="BU896" s="1"/>
      <c r="BV896" s="1"/>
      <c r="BW896" s="1"/>
      <c r="BX896" s="1"/>
      <c r="BY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D896" s="1"/>
      <c r="GE896" s="1"/>
      <c r="GF896" s="1"/>
      <c r="GG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</row>
    <row r="897" spans="3:222" x14ac:dyDescent="0.3">
      <c r="C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O897" s="1"/>
      <c r="AP897" s="1"/>
      <c r="AQ897" s="1"/>
      <c r="AR897" s="1"/>
      <c r="AS897" s="1"/>
      <c r="AU897" s="1"/>
      <c r="AV897" s="1"/>
      <c r="AW897" s="1"/>
      <c r="AX897" s="1"/>
      <c r="AY897" s="1"/>
      <c r="AZ897" s="1"/>
      <c r="BA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Q897" s="1"/>
      <c r="BR897" s="1"/>
      <c r="BS897" s="1"/>
      <c r="BT897" s="1"/>
      <c r="BU897" s="1"/>
      <c r="BV897" s="1"/>
      <c r="BW897" s="1"/>
      <c r="BX897" s="1"/>
      <c r="BY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D897" s="1"/>
      <c r="GE897" s="1"/>
      <c r="GF897" s="1"/>
      <c r="GG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</row>
    <row r="898" spans="3:222" x14ac:dyDescent="0.3">
      <c r="C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O898" s="1"/>
      <c r="AP898" s="1"/>
      <c r="AQ898" s="1"/>
      <c r="AR898" s="1"/>
      <c r="AS898" s="1"/>
      <c r="AU898" s="1"/>
      <c r="AV898" s="1"/>
      <c r="AW898" s="1"/>
      <c r="AX898" s="1"/>
      <c r="AY898" s="1"/>
      <c r="AZ898" s="1"/>
      <c r="BA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Q898" s="1"/>
      <c r="BR898" s="1"/>
      <c r="BS898" s="1"/>
      <c r="BT898" s="1"/>
      <c r="BU898" s="1"/>
      <c r="BV898" s="1"/>
      <c r="BW898" s="1"/>
      <c r="BX898" s="1"/>
      <c r="BY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D898" s="1"/>
      <c r="GE898" s="1"/>
      <c r="GF898" s="1"/>
      <c r="GG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</row>
    <row r="899" spans="3:222" x14ac:dyDescent="0.3">
      <c r="C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O899" s="1"/>
      <c r="AP899" s="1"/>
      <c r="AQ899" s="1"/>
      <c r="AR899" s="1"/>
      <c r="AS899" s="1"/>
      <c r="AU899" s="1"/>
      <c r="AV899" s="1"/>
      <c r="AW899" s="1"/>
      <c r="AX899" s="1"/>
      <c r="AY899" s="1"/>
      <c r="AZ899" s="1"/>
      <c r="BA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Q899" s="1"/>
      <c r="BR899" s="1"/>
      <c r="BS899" s="1"/>
      <c r="BT899" s="1"/>
      <c r="BU899" s="1"/>
      <c r="BV899" s="1"/>
      <c r="BW899" s="1"/>
      <c r="BX899" s="1"/>
      <c r="BY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D899" s="1"/>
      <c r="GE899" s="1"/>
      <c r="GF899" s="1"/>
      <c r="GG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</row>
    <row r="900" spans="3:222" x14ac:dyDescent="0.3">
      <c r="C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O900" s="1"/>
      <c r="AP900" s="1"/>
      <c r="AQ900" s="1"/>
      <c r="AR900" s="1"/>
      <c r="AS900" s="1"/>
      <c r="AU900" s="1"/>
      <c r="AV900" s="1"/>
      <c r="AW900" s="1"/>
      <c r="AX900" s="1"/>
      <c r="AY900" s="1"/>
      <c r="AZ900" s="1"/>
      <c r="BA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Q900" s="1"/>
      <c r="BR900" s="1"/>
      <c r="BS900" s="1"/>
      <c r="BT900" s="1"/>
      <c r="BU900" s="1"/>
      <c r="BV900" s="1"/>
      <c r="BW900" s="1"/>
      <c r="BX900" s="1"/>
      <c r="BY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D900" s="1"/>
      <c r="GE900" s="1"/>
      <c r="GF900" s="1"/>
      <c r="GG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</row>
    <row r="901" spans="3:222" x14ac:dyDescent="0.3">
      <c r="C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O901" s="1"/>
      <c r="AP901" s="1"/>
      <c r="AQ901" s="1"/>
      <c r="AR901" s="1"/>
      <c r="AS901" s="1"/>
      <c r="AU901" s="1"/>
      <c r="AV901" s="1"/>
      <c r="AW901" s="1"/>
      <c r="AX901" s="1"/>
      <c r="AY901" s="1"/>
      <c r="AZ901" s="1"/>
      <c r="BA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Q901" s="1"/>
      <c r="BR901" s="1"/>
      <c r="BS901" s="1"/>
      <c r="BT901" s="1"/>
      <c r="BU901" s="1"/>
      <c r="BV901" s="1"/>
      <c r="BW901" s="1"/>
      <c r="BX901" s="1"/>
      <c r="BY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D901" s="1"/>
      <c r="GE901" s="1"/>
      <c r="GF901" s="1"/>
      <c r="GG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</row>
    <row r="902" spans="3:222" x14ac:dyDescent="0.3">
      <c r="C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O902" s="1"/>
      <c r="AP902" s="1"/>
      <c r="AQ902" s="1"/>
      <c r="AR902" s="1"/>
      <c r="AS902" s="1"/>
      <c r="AU902" s="1"/>
      <c r="AV902" s="1"/>
      <c r="AW902" s="1"/>
      <c r="AX902" s="1"/>
      <c r="AY902" s="1"/>
      <c r="AZ902" s="1"/>
      <c r="BA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Q902" s="1"/>
      <c r="BR902" s="1"/>
      <c r="BS902" s="1"/>
      <c r="BT902" s="1"/>
      <c r="BU902" s="1"/>
      <c r="BV902" s="1"/>
      <c r="BW902" s="1"/>
      <c r="BX902" s="1"/>
      <c r="BY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D902" s="1"/>
      <c r="GE902" s="1"/>
      <c r="GF902" s="1"/>
      <c r="GG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</row>
    <row r="903" spans="3:222" x14ac:dyDescent="0.3">
      <c r="C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O903" s="1"/>
      <c r="AP903" s="1"/>
      <c r="AQ903" s="1"/>
      <c r="AR903" s="1"/>
      <c r="AS903" s="1"/>
      <c r="AU903" s="1"/>
      <c r="AV903" s="1"/>
      <c r="AW903" s="1"/>
      <c r="AX903" s="1"/>
      <c r="AY903" s="1"/>
      <c r="AZ903" s="1"/>
      <c r="BA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Q903" s="1"/>
      <c r="BR903" s="1"/>
      <c r="BS903" s="1"/>
      <c r="BT903" s="1"/>
      <c r="BU903" s="1"/>
      <c r="BV903" s="1"/>
      <c r="BW903" s="1"/>
      <c r="BX903" s="1"/>
      <c r="BY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D903" s="1"/>
      <c r="GE903" s="1"/>
      <c r="GF903" s="1"/>
      <c r="GG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</row>
    <row r="904" spans="3:222" x14ac:dyDescent="0.3">
      <c r="C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O904" s="1"/>
      <c r="AP904" s="1"/>
      <c r="AQ904" s="1"/>
      <c r="AR904" s="1"/>
      <c r="AS904" s="1"/>
      <c r="AU904" s="1"/>
      <c r="AV904" s="1"/>
      <c r="AW904" s="1"/>
      <c r="AX904" s="1"/>
      <c r="AY904" s="1"/>
      <c r="AZ904" s="1"/>
      <c r="BA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Q904" s="1"/>
      <c r="BR904" s="1"/>
      <c r="BS904" s="1"/>
      <c r="BT904" s="1"/>
      <c r="BU904" s="1"/>
      <c r="BV904" s="1"/>
      <c r="BW904" s="1"/>
      <c r="BX904" s="1"/>
      <c r="BY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D904" s="1"/>
      <c r="GE904" s="1"/>
      <c r="GF904" s="1"/>
      <c r="GG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</row>
    <row r="905" spans="3:222" x14ac:dyDescent="0.3">
      <c r="C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O905" s="1"/>
      <c r="AP905" s="1"/>
      <c r="AQ905" s="1"/>
      <c r="AR905" s="1"/>
      <c r="AS905" s="1"/>
      <c r="AU905" s="1"/>
      <c r="AV905" s="1"/>
      <c r="AW905" s="1"/>
      <c r="AX905" s="1"/>
      <c r="AY905" s="1"/>
      <c r="AZ905" s="1"/>
      <c r="BA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Q905" s="1"/>
      <c r="BR905" s="1"/>
      <c r="BS905" s="1"/>
      <c r="BT905" s="1"/>
      <c r="BU905" s="1"/>
      <c r="BV905" s="1"/>
      <c r="BW905" s="1"/>
      <c r="BX905" s="1"/>
      <c r="BY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D905" s="1"/>
      <c r="GE905" s="1"/>
      <c r="GF905" s="1"/>
      <c r="GG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</row>
    <row r="906" spans="3:222" x14ac:dyDescent="0.3">
      <c r="C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O906" s="1"/>
      <c r="AP906" s="1"/>
      <c r="AQ906" s="1"/>
      <c r="AR906" s="1"/>
      <c r="AS906" s="1"/>
      <c r="AU906" s="1"/>
      <c r="AV906" s="1"/>
      <c r="AW906" s="1"/>
      <c r="AX906" s="1"/>
      <c r="AY906" s="1"/>
      <c r="AZ906" s="1"/>
      <c r="BA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Q906" s="1"/>
      <c r="BR906" s="1"/>
      <c r="BS906" s="1"/>
      <c r="BT906" s="1"/>
      <c r="BU906" s="1"/>
      <c r="BV906" s="1"/>
      <c r="BW906" s="1"/>
      <c r="BX906" s="1"/>
      <c r="BY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D906" s="1"/>
      <c r="GE906" s="1"/>
      <c r="GF906" s="1"/>
      <c r="GG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</row>
    <row r="907" spans="3:222" x14ac:dyDescent="0.3">
      <c r="C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O907" s="1"/>
      <c r="AP907" s="1"/>
      <c r="AQ907" s="1"/>
      <c r="AR907" s="1"/>
      <c r="AS907" s="1"/>
      <c r="AU907" s="1"/>
      <c r="AV907" s="1"/>
      <c r="AW907" s="1"/>
      <c r="AX907" s="1"/>
      <c r="AY907" s="1"/>
      <c r="AZ907" s="1"/>
      <c r="BA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Q907" s="1"/>
      <c r="BR907" s="1"/>
      <c r="BS907" s="1"/>
      <c r="BT907" s="1"/>
      <c r="BU907" s="1"/>
      <c r="BV907" s="1"/>
      <c r="BW907" s="1"/>
      <c r="BX907" s="1"/>
      <c r="BY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D907" s="1"/>
      <c r="GE907" s="1"/>
      <c r="GF907" s="1"/>
      <c r="GG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</row>
    <row r="908" spans="3:222" x14ac:dyDescent="0.3">
      <c r="C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O908" s="1"/>
      <c r="AP908" s="1"/>
      <c r="AQ908" s="1"/>
      <c r="AR908" s="1"/>
      <c r="AS908" s="1"/>
      <c r="AU908" s="1"/>
      <c r="AV908" s="1"/>
      <c r="AW908" s="1"/>
      <c r="AX908" s="1"/>
      <c r="AY908" s="1"/>
      <c r="AZ908" s="1"/>
      <c r="BA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Q908" s="1"/>
      <c r="BR908" s="1"/>
      <c r="BS908" s="1"/>
      <c r="BT908" s="1"/>
      <c r="BU908" s="1"/>
      <c r="BV908" s="1"/>
      <c r="BW908" s="1"/>
      <c r="BX908" s="1"/>
      <c r="BY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D908" s="1"/>
      <c r="GE908" s="1"/>
      <c r="GF908" s="1"/>
      <c r="GG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</row>
    <row r="909" spans="3:222" x14ac:dyDescent="0.3">
      <c r="C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O909" s="1"/>
      <c r="AP909" s="1"/>
      <c r="AQ909" s="1"/>
      <c r="AR909" s="1"/>
      <c r="AS909" s="1"/>
      <c r="AU909" s="1"/>
      <c r="AV909" s="1"/>
      <c r="AW909" s="1"/>
      <c r="AX909" s="1"/>
      <c r="AY909" s="1"/>
      <c r="AZ909" s="1"/>
      <c r="BA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Q909" s="1"/>
      <c r="BR909" s="1"/>
      <c r="BS909" s="1"/>
      <c r="BT909" s="1"/>
      <c r="BU909" s="1"/>
      <c r="BV909" s="1"/>
      <c r="BW909" s="1"/>
      <c r="BX909" s="1"/>
      <c r="BY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D909" s="1"/>
      <c r="GE909" s="1"/>
      <c r="GF909" s="1"/>
      <c r="GG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</row>
    <row r="910" spans="3:222" x14ac:dyDescent="0.3">
      <c r="C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O910" s="1"/>
      <c r="AP910" s="1"/>
      <c r="AQ910" s="1"/>
      <c r="AR910" s="1"/>
      <c r="AS910" s="1"/>
      <c r="AU910" s="1"/>
      <c r="AV910" s="1"/>
      <c r="AW910" s="1"/>
      <c r="AX910" s="1"/>
      <c r="AY910" s="1"/>
      <c r="AZ910" s="1"/>
      <c r="BA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Q910" s="1"/>
      <c r="BR910" s="1"/>
      <c r="BS910" s="1"/>
      <c r="BT910" s="1"/>
      <c r="BU910" s="1"/>
      <c r="BV910" s="1"/>
      <c r="BW910" s="1"/>
      <c r="BX910" s="1"/>
      <c r="BY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D910" s="1"/>
      <c r="GE910" s="1"/>
      <c r="GF910" s="1"/>
      <c r="GG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</row>
    <row r="911" spans="3:222" x14ac:dyDescent="0.3">
      <c r="C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O911" s="1"/>
      <c r="AP911" s="1"/>
      <c r="AQ911" s="1"/>
      <c r="AR911" s="1"/>
      <c r="AS911" s="1"/>
      <c r="AU911" s="1"/>
      <c r="AV911" s="1"/>
      <c r="AW911" s="1"/>
      <c r="AX911" s="1"/>
      <c r="AY911" s="1"/>
      <c r="AZ911" s="1"/>
      <c r="BA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Q911" s="1"/>
      <c r="BR911" s="1"/>
      <c r="BS911" s="1"/>
      <c r="BT911" s="1"/>
      <c r="BU911" s="1"/>
      <c r="BV911" s="1"/>
      <c r="BW911" s="1"/>
      <c r="BX911" s="1"/>
      <c r="BY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D911" s="1"/>
      <c r="GE911" s="1"/>
      <c r="GF911" s="1"/>
      <c r="GG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</row>
    <row r="912" spans="3:222" x14ac:dyDescent="0.3">
      <c r="C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O912" s="1"/>
      <c r="AP912" s="1"/>
      <c r="AQ912" s="1"/>
      <c r="AR912" s="1"/>
      <c r="AS912" s="1"/>
      <c r="AU912" s="1"/>
      <c r="AV912" s="1"/>
      <c r="AW912" s="1"/>
      <c r="AX912" s="1"/>
      <c r="AY912" s="1"/>
      <c r="AZ912" s="1"/>
      <c r="BA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Q912" s="1"/>
      <c r="BR912" s="1"/>
      <c r="BS912" s="1"/>
      <c r="BT912" s="1"/>
      <c r="BU912" s="1"/>
      <c r="BV912" s="1"/>
      <c r="BW912" s="1"/>
      <c r="BX912" s="1"/>
      <c r="BY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D912" s="1"/>
      <c r="GE912" s="1"/>
      <c r="GF912" s="1"/>
      <c r="GG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</row>
    <row r="913" spans="3:222" x14ac:dyDescent="0.3">
      <c r="C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O913" s="1"/>
      <c r="AP913" s="1"/>
      <c r="AQ913" s="1"/>
      <c r="AR913" s="1"/>
      <c r="AS913" s="1"/>
      <c r="AU913" s="1"/>
      <c r="AV913" s="1"/>
      <c r="AW913" s="1"/>
      <c r="AX913" s="1"/>
      <c r="AY913" s="1"/>
      <c r="AZ913" s="1"/>
      <c r="BA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Q913" s="1"/>
      <c r="BR913" s="1"/>
      <c r="BS913" s="1"/>
      <c r="BT913" s="1"/>
      <c r="BU913" s="1"/>
      <c r="BV913" s="1"/>
      <c r="BW913" s="1"/>
      <c r="BX913" s="1"/>
      <c r="BY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D913" s="1"/>
      <c r="GE913" s="1"/>
      <c r="GF913" s="1"/>
      <c r="GG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</row>
    <row r="914" spans="3:222" x14ac:dyDescent="0.3">
      <c r="C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O914" s="1"/>
      <c r="AP914" s="1"/>
      <c r="AQ914" s="1"/>
      <c r="AR914" s="1"/>
      <c r="AS914" s="1"/>
      <c r="AU914" s="1"/>
      <c r="AV914" s="1"/>
      <c r="AW914" s="1"/>
      <c r="AX914" s="1"/>
      <c r="AY914" s="1"/>
      <c r="AZ914" s="1"/>
      <c r="BA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Q914" s="1"/>
      <c r="BR914" s="1"/>
      <c r="BS914" s="1"/>
      <c r="BT914" s="1"/>
      <c r="BU914" s="1"/>
      <c r="BV914" s="1"/>
      <c r="BW914" s="1"/>
      <c r="BX914" s="1"/>
      <c r="BY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D914" s="1"/>
      <c r="GE914" s="1"/>
      <c r="GF914" s="1"/>
      <c r="GG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</row>
    <row r="915" spans="3:222" x14ac:dyDescent="0.3">
      <c r="C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O915" s="1"/>
      <c r="AP915" s="1"/>
      <c r="AQ915" s="1"/>
      <c r="AR915" s="1"/>
      <c r="AS915" s="1"/>
      <c r="AU915" s="1"/>
      <c r="AV915" s="1"/>
      <c r="AW915" s="1"/>
      <c r="AX915" s="1"/>
      <c r="AY915" s="1"/>
      <c r="AZ915" s="1"/>
      <c r="BA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Q915" s="1"/>
      <c r="BR915" s="1"/>
      <c r="BS915" s="1"/>
      <c r="BT915" s="1"/>
      <c r="BU915" s="1"/>
      <c r="BV915" s="1"/>
      <c r="BW915" s="1"/>
      <c r="BX915" s="1"/>
      <c r="BY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D915" s="1"/>
      <c r="GE915" s="1"/>
      <c r="GF915" s="1"/>
      <c r="GG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</row>
    <row r="916" spans="3:222" x14ac:dyDescent="0.3">
      <c r="C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O916" s="1"/>
      <c r="AP916" s="1"/>
      <c r="AQ916" s="1"/>
      <c r="AR916" s="1"/>
      <c r="AS916" s="1"/>
      <c r="AU916" s="1"/>
      <c r="AV916" s="1"/>
      <c r="AW916" s="1"/>
      <c r="AX916" s="1"/>
      <c r="AY916" s="1"/>
      <c r="AZ916" s="1"/>
      <c r="BA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Q916" s="1"/>
      <c r="BR916" s="1"/>
      <c r="BS916" s="1"/>
      <c r="BT916" s="1"/>
      <c r="BU916" s="1"/>
      <c r="BV916" s="1"/>
      <c r="BW916" s="1"/>
      <c r="BX916" s="1"/>
      <c r="BY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D916" s="1"/>
      <c r="GE916" s="1"/>
      <c r="GF916" s="1"/>
      <c r="GG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</row>
    <row r="917" spans="3:222" x14ac:dyDescent="0.3">
      <c r="C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O917" s="1"/>
      <c r="AP917" s="1"/>
      <c r="AQ917" s="1"/>
      <c r="AR917" s="1"/>
      <c r="AS917" s="1"/>
      <c r="AU917" s="1"/>
      <c r="AV917" s="1"/>
      <c r="AW917" s="1"/>
      <c r="AX917" s="1"/>
      <c r="AY917" s="1"/>
      <c r="AZ917" s="1"/>
      <c r="BA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Q917" s="1"/>
      <c r="BR917" s="1"/>
      <c r="BS917" s="1"/>
      <c r="BT917" s="1"/>
      <c r="BU917" s="1"/>
      <c r="BV917" s="1"/>
      <c r="BW917" s="1"/>
      <c r="BX917" s="1"/>
      <c r="BY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D917" s="1"/>
      <c r="GE917" s="1"/>
      <c r="GF917" s="1"/>
      <c r="GG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</row>
    <row r="918" spans="3:222" x14ac:dyDescent="0.3">
      <c r="C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O918" s="1"/>
      <c r="AP918" s="1"/>
      <c r="AQ918" s="1"/>
      <c r="AR918" s="1"/>
      <c r="AS918" s="1"/>
      <c r="AU918" s="1"/>
      <c r="AV918" s="1"/>
      <c r="AW918" s="1"/>
      <c r="AX918" s="1"/>
      <c r="AY918" s="1"/>
      <c r="AZ918" s="1"/>
      <c r="BA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Q918" s="1"/>
      <c r="BR918" s="1"/>
      <c r="BS918" s="1"/>
      <c r="BT918" s="1"/>
      <c r="BU918" s="1"/>
      <c r="BV918" s="1"/>
      <c r="BW918" s="1"/>
      <c r="BX918" s="1"/>
      <c r="BY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D918" s="1"/>
      <c r="GE918" s="1"/>
      <c r="GF918" s="1"/>
      <c r="GG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</row>
    <row r="919" spans="3:222" x14ac:dyDescent="0.3">
      <c r="C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O919" s="1"/>
      <c r="AP919" s="1"/>
      <c r="AQ919" s="1"/>
      <c r="AR919" s="1"/>
      <c r="AS919" s="1"/>
      <c r="AU919" s="1"/>
      <c r="AV919" s="1"/>
      <c r="AW919" s="1"/>
      <c r="AX919" s="1"/>
      <c r="AY919" s="1"/>
      <c r="AZ919" s="1"/>
      <c r="BA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Q919" s="1"/>
      <c r="BR919" s="1"/>
      <c r="BS919" s="1"/>
      <c r="BT919" s="1"/>
      <c r="BU919" s="1"/>
      <c r="BV919" s="1"/>
      <c r="BW919" s="1"/>
      <c r="BX919" s="1"/>
      <c r="BY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D919" s="1"/>
      <c r="GE919" s="1"/>
      <c r="GF919" s="1"/>
      <c r="GG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</row>
    <row r="920" spans="3:222" x14ac:dyDescent="0.3">
      <c r="C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O920" s="1"/>
      <c r="AP920" s="1"/>
      <c r="AQ920" s="1"/>
      <c r="AR920" s="1"/>
      <c r="AS920" s="1"/>
      <c r="AU920" s="1"/>
      <c r="AV920" s="1"/>
      <c r="AW920" s="1"/>
      <c r="AX920" s="1"/>
      <c r="AY920" s="1"/>
      <c r="AZ920" s="1"/>
      <c r="BA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Q920" s="1"/>
      <c r="BR920" s="1"/>
      <c r="BS920" s="1"/>
      <c r="BT920" s="1"/>
      <c r="BU920" s="1"/>
      <c r="BV920" s="1"/>
      <c r="BW920" s="1"/>
      <c r="BX920" s="1"/>
      <c r="BY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D920" s="1"/>
      <c r="GE920" s="1"/>
      <c r="GF920" s="1"/>
      <c r="GG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</row>
    <row r="921" spans="3:222" x14ac:dyDescent="0.3">
      <c r="C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O921" s="1"/>
      <c r="AP921" s="1"/>
      <c r="AQ921" s="1"/>
      <c r="AR921" s="1"/>
      <c r="AS921" s="1"/>
      <c r="AU921" s="1"/>
      <c r="AV921" s="1"/>
      <c r="AW921" s="1"/>
      <c r="AX921" s="1"/>
      <c r="AY921" s="1"/>
      <c r="AZ921" s="1"/>
      <c r="BA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Q921" s="1"/>
      <c r="BR921" s="1"/>
      <c r="BS921" s="1"/>
      <c r="BT921" s="1"/>
      <c r="BU921" s="1"/>
      <c r="BV921" s="1"/>
      <c r="BW921" s="1"/>
      <c r="BX921" s="1"/>
      <c r="BY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D921" s="1"/>
      <c r="GE921" s="1"/>
      <c r="GF921" s="1"/>
      <c r="GG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</row>
    <row r="922" spans="3:222" x14ac:dyDescent="0.3">
      <c r="C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O922" s="1"/>
      <c r="AP922" s="1"/>
      <c r="AQ922" s="1"/>
      <c r="AR922" s="1"/>
      <c r="AS922" s="1"/>
      <c r="AU922" s="1"/>
      <c r="AV922" s="1"/>
      <c r="AW922" s="1"/>
      <c r="AX922" s="1"/>
      <c r="AY922" s="1"/>
      <c r="AZ922" s="1"/>
      <c r="BA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Q922" s="1"/>
      <c r="BR922" s="1"/>
      <c r="BS922" s="1"/>
      <c r="BT922" s="1"/>
      <c r="BU922" s="1"/>
      <c r="BV922" s="1"/>
      <c r="BW922" s="1"/>
      <c r="BX922" s="1"/>
      <c r="BY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D922" s="1"/>
      <c r="GE922" s="1"/>
      <c r="GF922" s="1"/>
      <c r="GG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</row>
    <row r="923" spans="3:222" x14ac:dyDescent="0.3">
      <c r="C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O923" s="1"/>
      <c r="AP923" s="1"/>
      <c r="AQ923" s="1"/>
      <c r="AR923" s="1"/>
      <c r="AS923" s="1"/>
      <c r="AU923" s="1"/>
      <c r="AV923" s="1"/>
      <c r="AW923" s="1"/>
      <c r="AX923" s="1"/>
      <c r="AY923" s="1"/>
      <c r="AZ923" s="1"/>
      <c r="BA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Q923" s="1"/>
      <c r="BR923" s="1"/>
      <c r="BS923" s="1"/>
      <c r="BT923" s="1"/>
      <c r="BU923" s="1"/>
      <c r="BV923" s="1"/>
      <c r="BW923" s="1"/>
      <c r="BX923" s="1"/>
      <c r="BY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D923" s="1"/>
      <c r="GE923" s="1"/>
      <c r="GF923" s="1"/>
      <c r="GG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</row>
    <row r="924" spans="3:222" x14ac:dyDescent="0.3">
      <c r="C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O924" s="1"/>
      <c r="AP924" s="1"/>
      <c r="AQ924" s="1"/>
      <c r="AR924" s="1"/>
      <c r="AS924" s="1"/>
      <c r="AU924" s="1"/>
      <c r="AV924" s="1"/>
      <c r="AW924" s="1"/>
      <c r="AX924" s="1"/>
      <c r="AY924" s="1"/>
      <c r="AZ924" s="1"/>
      <c r="BA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Q924" s="1"/>
      <c r="BR924" s="1"/>
      <c r="BS924" s="1"/>
      <c r="BT924" s="1"/>
      <c r="BU924" s="1"/>
      <c r="BV924" s="1"/>
      <c r="BW924" s="1"/>
      <c r="BX924" s="1"/>
      <c r="BY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D924" s="1"/>
      <c r="GE924" s="1"/>
      <c r="GF924" s="1"/>
      <c r="GG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</row>
    <row r="925" spans="3:222" x14ac:dyDescent="0.3">
      <c r="C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O925" s="1"/>
      <c r="AP925" s="1"/>
      <c r="AQ925" s="1"/>
      <c r="AR925" s="1"/>
      <c r="AS925" s="1"/>
      <c r="AU925" s="1"/>
      <c r="AV925" s="1"/>
      <c r="AW925" s="1"/>
      <c r="AX925" s="1"/>
      <c r="AY925" s="1"/>
      <c r="AZ925" s="1"/>
      <c r="BA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Q925" s="1"/>
      <c r="BR925" s="1"/>
      <c r="BS925" s="1"/>
      <c r="BT925" s="1"/>
      <c r="BU925" s="1"/>
      <c r="BV925" s="1"/>
      <c r="BW925" s="1"/>
      <c r="BX925" s="1"/>
      <c r="BY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D925" s="1"/>
      <c r="GE925" s="1"/>
      <c r="GF925" s="1"/>
      <c r="GG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</row>
    <row r="926" spans="3:222" x14ac:dyDescent="0.3">
      <c r="C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O926" s="1"/>
      <c r="AP926" s="1"/>
      <c r="AQ926" s="1"/>
      <c r="AR926" s="1"/>
      <c r="AS926" s="1"/>
      <c r="AU926" s="1"/>
      <c r="AV926" s="1"/>
      <c r="AW926" s="1"/>
      <c r="AX926" s="1"/>
      <c r="AY926" s="1"/>
      <c r="AZ926" s="1"/>
      <c r="BA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Q926" s="1"/>
      <c r="BR926" s="1"/>
      <c r="BS926" s="1"/>
      <c r="BT926" s="1"/>
      <c r="BU926" s="1"/>
      <c r="BV926" s="1"/>
      <c r="BW926" s="1"/>
      <c r="BX926" s="1"/>
      <c r="BY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D926" s="1"/>
      <c r="GE926" s="1"/>
      <c r="GF926" s="1"/>
      <c r="GG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</row>
    <row r="927" spans="3:222" x14ac:dyDescent="0.3">
      <c r="C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O927" s="1"/>
      <c r="AP927" s="1"/>
      <c r="AQ927" s="1"/>
      <c r="AR927" s="1"/>
      <c r="AS927" s="1"/>
      <c r="AU927" s="1"/>
      <c r="AV927" s="1"/>
      <c r="AW927" s="1"/>
      <c r="AX927" s="1"/>
      <c r="AY927" s="1"/>
      <c r="AZ927" s="1"/>
      <c r="BA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Q927" s="1"/>
      <c r="BR927" s="1"/>
      <c r="BS927" s="1"/>
      <c r="BT927" s="1"/>
      <c r="BU927" s="1"/>
      <c r="BV927" s="1"/>
      <c r="BW927" s="1"/>
      <c r="BX927" s="1"/>
      <c r="BY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D927" s="1"/>
      <c r="GE927" s="1"/>
      <c r="GF927" s="1"/>
      <c r="GG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</row>
    <row r="928" spans="3:222" x14ac:dyDescent="0.3">
      <c r="C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O928" s="1"/>
      <c r="AP928" s="1"/>
      <c r="AQ928" s="1"/>
      <c r="AR928" s="1"/>
      <c r="AS928" s="1"/>
      <c r="AU928" s="1"/>
      <c r="AV928" s="1"/>
      <c r="AW928" s="1"/>
      <c r="AX928" s="1"/>
      <c r="AY928" s="1"/>
      <c r="AZ928" s="1"/>
      <c r="BA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Q928" s="1"/>
      <c r="BR928" s="1"/>
      <c r="BS928" s="1"/>
      <c r="BT928" s="1"/>
      <c r="BU928" s="1"/>
      <c r="BV928" s="1"/>
      <c r="BW928" s="1"/>
      <c r="BX928" s="1"/>
      <c r="BY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D928" s="1"/>
      <c r="GE928" s="1"/>
      <c r="GF928" s="1"/>
      <c r="GG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</row>
    <row r="929" spans="3:222" x14ac:dyDescent="0.3">
      <c r="C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O929" s="1"/>
      <c r="AP929" s="1"/>
      <c r="AQ929" s="1"/>
      <c r="AR929" s="1"/>
      <c r="AS929" s="1"/>
      <c r="AU929" s="1"/>
      <c r="AV929" s="1"/>
      <c r="AW929" s="1"/>
      <c r="AX929" s="1"/>
      <c r="AY929" s="1"/>
      <c r="AZ929" s="1"/>
      <c r="BA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Q929" s="1"/>
      <c r="BR929" s="1"/>
      <c r="BS929" s="1"/>
      <c r="BT929" s="1"/>
      <c r="BU929" s="1"/>
      <c r="BV929" s="1"/>
      <c r="BW929" s="1"/>
      <c r="BX929" s="1"/>
      <c r="BY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D929" s="1"/>
      <c r="GE929" s="1"/>
      <c r="GF929" s="1"/>
      <c r="GG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</row>
    <row r="930" spans="3:222" x14ac:dyDescent="0.3">
      <c r="C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O930" s="1"/>
      <c r="AP930" s="1"/>
      <c r="AQ930" s="1"/>
      <c r="AR930" s="1"/>
      <c r="AS930" s="1"/>
      <c r="AU930" s="1"/>
      <c r="AV930" s="1"/>
      <c r="AW930" s="1"/>
      <c r="AX930" s="1"/>
      <c r="AY930" s="1"/>
      <c r="AZ930" s="1"/>
      <c r="BA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Q930" s="1"/>
      <c r="BR930" s="1"/>
      <c r="BS930" s="1"/>
      <c r="BT930" s="1"/>
      <c r="BU930" s="1"/>
      <c r="BV930" s="1"/>
      <c r="BW930" s="1"/>
      <c r="BX930" s="1"/>
      <c r="BY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D930" s="1"/>
      <c r="GE930" s="1"/>
      <c r="GF930" s="1"/>
      <c r="GG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</row>
    <row r="931" spans="3:222" x14ac:dyDescent="0.3">
      <c r="C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O931" s="1"/>
      <c r="AP931" s="1"/>
      <c r="AQ931" s="1"/>
      <c r="AR931" s="1"/>
      <c r="AS931" s="1"/>
      <c r="AU931" s="1"/>
      <c r="AV931" s="1"/>
      <c r="AW931" s="1"/>
      <c r="AX931" s="1"/>
      <c r="AY931" s="1"/>
      <c r="AZ931" s="1"/>
      <c r="BA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Q931" s="1"/>
      <c r="BR931" s="1"/>
      <c r="BS931" s="1"/>
      <c r="BT931" s="1"/>
      <c r="BU931" s="1"/>
      <c r="BV931" s="1"/>
      <c r="BW931" s="1"/>
      <c r="BX931" s="1"/>
      <c r="BY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D931" s="1"/>
      <c r="GE931" s="1"/>
      <c r="GF931" s="1"/>
      <c r="GG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</row>
    <row r="932" spans="3:222" x14ac:dyDescent="0.3">
      <c r="C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O932" s="1"/>
      <c r="AP932" s="1"/>
      <c r="AQ932" s="1"/>
      <c r="AR932" s="1"/>
      <c r="AS932" s="1"/>
      <c r="AU932" s="1"/>
      <c r="AV932" s="1"/>
      <c r="AW932" s="1"/>
      <c r="AX932" s="1"/>
      <c r="AY932" s="1"/>
      <c r="AZ932" s="1"/>
      <c r="BA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Q932" s="1"/>
      <c r="BR932" s="1"/>
      <c r="BS932" s="1"/>
      <c r="BT932" s="1"/>
      <c r="BU932" s="1"/>
      <c r="BV932" s="1"/>
      <c r="BW932" s="1"/>
      <c r="BX932" s="1"/>
      <c r="BY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D932" s="1"/>
      <c r="GE932" s="1"/>
      <c r="GF932" s="1"/>
      <c r="GG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</row>
    <row r="933" spans="3:222" x14ac:dyDescent="0.3">
      <c r="C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O933" s="1"/>
      <c r="AP933" s="1"/>
      <c r="AQ933" s="1"/>
      <c r="AR933" s="1"/>
      <c r="AS933" s="1"/>
      <c r="AU933" s="1"/>
      <c r="AV933" s="1"/>
      <c r="AW933" s="1"/>
      <c r="AX933" s="1"/>
      <c r="AY933" s="1"/>
      <c r="AZ933" s="1"/>
      <c r="BA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Q933" s="1"/>
      <c r="BR933" s="1"/>
      <c r="BS933" s="1"/>
      <c r="BT933" s="1"/>
      <c r="BU933" s="1"/>
      <c r="BV933" s="1"/>
      <c r="BW933" s="1"/>
      <c r="BX933" s="1"/>
      <c r="BY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D933" s="1"/>
      <c r="GE933" s="1"/>
      <c r="GF933" s="1"/>
      <c r="GG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</row>
    <row r="934" spans="3:222" x14ac:dyDescent="0.3">
      <c r="C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O934" s="1"/>
      <c r="AP934" s="1"/>
      <c r="AQ934" s="1"/>
      <c r="AR934" s="1"/>
      <c r="AS934" s="1"/>
      <c r="AU934" s="1"/>
      <c r="AV934" s="1"/>
      <c r="AW934" s="1"/>
      <c r="AX934" s="1"/>
      <c r="AY934" s="1"/>
      <c r="AZ934" s="1"/>
      <c r="BA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Q934" s="1"/>
      <c r="BR934" s="1"/>
      <c r="BS934" s="1"/>
      <c r="BT934" s="1"/>
      <c r="BU934" s="1"/>
      <c r="BV934" s="1"/>
      <c r="BW934" s="1"/>
      <c r="BX934" s="1"/>
      <c r="BY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D934" s="1"/>
      <c r="GE934" s="1"/>
      <c r="GF934" s="1"/>
      <c r="GG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</row>
    <row r="935" spans="3:222" x14ac:dyDescent="0.3">
      <c r="C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O935" s="1"/>
      <c r="AP935" s="1"/>
      <c r="AQ935" s="1"/>
      <c r="AR935" s="1"/>
      <c r="AS935" s="1"/>
      <c r="AU935" s="1"/>
      <c r="AV935" s="1"/>
      <c r="AW935" s="1"/>
      <c r="AX935" s="1"/>
      <c r="AY935" s="1"/>
      <c r="AZ935" s="1"/>
      <c r="BA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Q935" s="1"/>
      <c r="BR935" s="1"/>
      <c r="BS935" s="1"/>
      <c r="BT935" s="1"/>
      <c r="BU935" s="1"/>
      <c r="BV935" s="1"/>
      <c r="BW935" s="1"/>
      <c r="BX935" s="1"/>
      <c r="BY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D935" s="1"/>
      <c r="GE935" s="1"/>
      <c r="GF935" s="1"/>
      <c r="GG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</row>
    <row r="936" spans="3:222" x14ac:dyDescent="0.3">
      <c r="C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O936" s="1"/>
      <c r="AP936" s="1"/>
      <c r="AQ936" s="1"/>
      <c r="AR936" s="1"/>
      <c r="AS936" s="1"/>
      <c r="AU936" s="1"/>
      <c r="AV936" s="1"/>
      <c r="AW936" s="1"/>
      <c r="AX936" s="1"/>
      <c r="AY936" s="1"/>
      <c r="AZ936" s="1"/>
      <c r="BA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Q936" s="1"/>
      <c r="BR936" s="1"/>
      <c r="BS936" s="1"/>
      <c r="BT936" s="1"/>
      <c r="BU936" s="1"/>
      <c r="BV936" s="1"/>
      <c r="BW936" s="1"/>
      <c r="BX936" s="1"/>
      <c r="BY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D936" s="1"/>
      <c r="GE936" s="1"/>
      <c r="GF936" s="1"/>
      <c r="GG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</row>
    <row r="937" spans="3:222" x14ac:dyDescent="0.3">
      <c r="C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O937" s="1"/>
      <c r="AP937" s="1"/>
      <c r="AQ937" s="1"/>
      <c r="AR937" s="1"/>
      <c r="AS937" s="1"/>
      <c r="AU937" s="1"/>
      <c r="AV937" s="1"/>
      <c r="AW937" s="1"/>
      <c r="AX937" s="1"/>
      <c r="AY937" s="1"/>
      <c r="AZ937" s="1"/>
      <c r="BA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Q937" s="1"/>
      <c r="BR937" s="1"/>
      <c r="BS937" s="1"/>
      <c r="BT937" s="1"/>
      <c r="BU937" s="1"/>
      <c r="BV937" s="1"/>
      <c r="BW937" s="1"/>
      <c r="BX937" s="1"/>
      <c r="BY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D937" s="1"/>
      <c r="GE937" s="1"/>
      <c r="GF937" s="1"/>
      <c r="GG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</row>
    <row r="938" spans="3:222" x14ac:dyDescent="0.3">
      <c r="C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O938" s="1"/>
      <c r="AP938" s="1"/>
      <c r="AQ938" s="1"/>
      <c r="AR938" s="1"/>
      <c r="AS938" s="1"/>
      <c r="AU938" s="1"/>
      <c r="AV938" s="1"/>
      <c r="AW938" s="1"/>
      <c r="AX938" s="1"/>
      <c r="AY938" s="1"/>
      <c r="AZ938" s="1"/>
      <c r="BA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Q938" s="1"/>
      <c r="BR938" s="1"/>
      <c r="BS938" s="1"/>
      <c r="BT938" s="1"/>
      <c r="BU938" s="1"/>
      <c r="BV938" s="1"/>
      <c r="BW938" s="1"/>
      <c r="BX938" s="1"/>
      <c r="BY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D938" s="1"/>
      <c r="GE938" s="1"/>
      <c r="GF938" s="1"/>
      <c r="GG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</row>
    <row r="939" spans="3:222" x14ac:dyDescent="0.3">
      <c r="C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O939" s="1"/>
      <c r="AP939" s="1"/>
      <c r="AQ939" s="1"/>
      <c r="AR939" s="1"/>
      <c r="AS939" s="1"/>
      <c r="AU939" s="1"/>
      <c r="AV939" s="1"/>
      <c r="AW939" s="1"/>
      <c r="AX939" s="1"/>
      <c r="AY939" s="1"/>
      <c r="AZ939" s="1"/>
      <c r="BA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Q939" s="1"/>
      <c r="BR939" s="1"/>
      <c r="BS939" s="1"/>
      <c r="BT939" s="1"/>
      <c r="BU939" s="1"/>
      <c r="BV939" s="1"/>
      <c r="BW939" s="1"/>
      <c r="BX939" s="1"/>
      <c r="BY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D939" s="1"/>
      <c r="GE939" s="1"/>
      <c r="GF939" s="1"/>
      <c r="GG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</row>
    <row r="940" spans="3:222" x14ac:dyDescent="0.3">
      <c r="C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O940" s="1"/>
      <c r="AP940" s="1"/>
      <c r="AQ940" s="1"/>
      <c r="AR940" s="1"/>
      <c r="AS940" s="1"/>
      <c r="AU940" s="1"/>
      <c r="AV940" s="1"/>
      <c r="AW940" s="1"/>
      <c r="AX940" s="1"/>
      <c r="AY940" s="1"/>
      <c r="AZ940" s="1"/>
      <c r="BA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Q940" s="1"/>
      <c r="BR940" s="1"/>
      <c r="BS940" s="1"/>
      <c r="BT940" s="1"/>
      <c r="BU940" s="1"/>
      <c r="BV940" s="1"/>
      <c r="BW940" s="1"/>
      <c r="BX940" s="1"/>
      <c r="BY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D940" s="1"/>
      <c r="GE940" s="1"/>
      <c r="GF940" s="1"/>
      <c r="GG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</row>
    <row r="941" spans="3:222" x14ac:dyDescent="0.3">
      <c r="C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O941" s="1"/>
      <c r="AP941" s="1"/>
      <c r="AQ941" s="1"/>
      <c r="AR941" s="1"/>
      <c r="AS941" s="1"/>
      <c r="AU941" s="1"/>
      <c r="AV941" s="1"/>
      <c r="AW941" s="1"/>
      <c r="AX941" s="1"/>
      <c r="AY941" s="1"/>
      <c r="AZ941" s="1"/>
      <c r="BA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Q941" s="1"/>
      <c r="BR941" s="1"/>
      <c r="BS941" s="1"/>
      <c r="BT941" s="1"/>
      <c r="BU941" s="1"/>
      <c r="BV941" s="1"/>
      <c r="BW941" s="1"/>
      <c r="BX941" s="1"/>
      <c r="BY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D941" s="1"/>
      <c r="GE941" s="1"/>
      <c r="GF941" s="1"/>
      <c r="GG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</row>
    <row r="942" spans="3:222" x14ac:dyDescent="0.3">
      <c r="C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O942" s="1"/>
      <c r="AP942" s="1"/>
      <c r="AQ942" s="1"/>
      <c r="AR942" s="1"/>
      <c r="AS942" s="1"/>
      <c r="AU942" s="1"/>
      <c r="AV942" s="1"/>
      <c r="AW942" s="1"/>
      <c r="AX942" s="1"/>
      <c r="AY942" s="1"/>
      <c r="AZ942" s="1"/>
      <c r="BA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Q942" s="1"/>
      <c r="BR942" s="1"/>
      <c r="BS942" s="1"/>
      <c r="BT942" s="1"/>
      <c r="BU942" s="1"/>
      <c r="BV942" s="1"/>
      <c r="BW942" s="1"/>
      <c r="BX942" s="1"/>
      <c r="BY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D942" s="1"/>
      <c r="GE942" s="1"/>
      <c r="GF942" s="1"/>
      <c r="GG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</row>
    <row r="943" spans="3:222" x14ac:dyDescent="0.3">
      <c r="C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O943" s="1"/>
      <c r="AP943" s="1"/>
      <c r="AQ943" s="1"/>
      <c r="AR943" s="1"/>
      <c r="AS943" s="1"/>
      <c r="AU943" s="1"/>
      <c r="AV943" s="1"/>
      <c r="AW943" s="1"/>
      <c r="AX943" s="1"/>
      <c r="AY943" s="1"/>
      <c r="AZ943" s="1"/>
      <c r="BA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Q943" s="1"/>
      <c r="BR943" s="1"/>
      <c r="BS943" s="1"/>
      <c r="BT943" s="1"/>
      <c r="BU943" s="1"/>
      <c r="BV943" s="1"/>
      <c r="BW943" s="1"/>
      <c r="BX943" s="1"/>
      <c r="BY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D943" s="1"/>
      <c r="GE943" s="1"/>
      <c r="GF943" s="1"/>
      <c r="GG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</row>
    <row r="944" spans="3:222" x14ac:dyDescent="0.3">
      <c r="C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O944" s="1"/>
      <c r="AP944" s="1"/>
      <c r="AQ944" s="1"/>
      <c r="AR944" s="1"/>
      <c r="AS944" s="1"/>
      <c r="AU944" s="1"/>
      <c r="AV944" s="1"/>
      <c r="AW944" s="1"/>
      <c r="AX944" s="1"/>
      <c r="AY944" s="1"/>
      <c r="AZ944" s="1"/>
      <c r="BA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Q944" s="1"/>
      <c r="BR944" s="1"/>
      <c r="BS944" s="1"/>
      <c r="BT944" s="1"/>
      <c r="BU944" s="1"/>
      <c r="BV944" s="1"/>
      <c r="BW944" s="1"/>
      <c r="BX944" s="1"/>
      <c r="BY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D944" s="1"/>
      <c r="GE944" s="1"/>
      <c r="GF944" s="1"/>
      <c r="GG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</row>
    <row r="945" spans="3:222" x14ac:dyDescent="0.3">
      <c r="C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O945" s="1"/>
      <c r="AP945" s="1"/>
      <c r="AQ945" s="1"/>
      <c r="AR945" s="1"/>
      <c r="AS945" s="1"/>
      <c r="AU945" s="1"/>
      <c r="AV945" s="1"/>
      <c r="AW945" s="1"/>
      <c r="AX945" s="1"/>
      <c r="AY945" s="1"/>
      <c r="AZ945" s="1"/>
      <c r="BA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Q945" s="1"/>
      <c r="BR945" s="1"/>
      <c r="BS945" s="1"/>
      <c r="BT945" s="1"/>
      <c r="BU945" s="1"/>
      <c r="BV945" s="1"/>
      <c r="BW945" s="1"/>
      <c r="BX945" s="1"/>
      <c r="BY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D945" s="1"/>
      <c r="GE945" s="1"/>
      <c r="GF945" s="1"/>
      <c r="GG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</row>
    <row r="946" spans="3:222" x14ac:dyDescent="0.3">
      <c r="C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O946" s="1"/>
      <c r="AP946" s="1"/>
      <c r="AQ946" s="1"/>
      <c r="AR946" s="1"/>
      <c r="AS946" s="1"/>
      <c r="AU946" s="1"/>
      <c r="AV946" s="1"/>
      <c r="AW946" s="1"/>
      <c r="AX946" s="1"/>
      <c r="AY946" s="1"/>
      <c r="AZ946" s="1"/>
      <c r="BA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Q946" s="1"/>
      <c r="BR946" s="1"/>
      <c r="BS946" s="1"/>
      <c r="BT946" s="1"/>
      <c r="BU946" s="1"/>
      <c r="BV946" s="1"/>
      <c r="BW946" s="1"/>
      <c r="BX946" s="1"/>
      <c r="BY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D946" s="1"/>
      <c r="GE946" s="1"/>
      <c r="GF946" s="1"/>
      <c r="GG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</row>
    <row r="947" spans="3:222" x14ac:dyDescent="0.3">
      <c r="C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O947" s="1"/>
      <c r="AP947" s="1"/>
      <c r="AQ947" s="1"/>
      <c r="AR947" s="1"/>
      <c r="AS947" s="1"/>
      <c r="AU947" s="1"/>
      <c r="AV947" s="1"/>
      <c r="AW947" s="1"/>
      <c r="AX947" s="1"/>
      <c r="AY947" s="1"/>
      <c r="AZ947" s="1"/>
      <c r="BA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Q947" s="1"/>
      <c r="BR947" s="1"/>
      <c r="BS947" s="1"/>
      <c r="BT947" s="1"/>
      <c r="BU947" s="1"/>
      <c r="BV947" s="1"/>
      <c r="BW947" s="1"/>
      <c r="BX947" s="1"/>
      <c r="BY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D947" s="1"/>
      <c r="GE947" s="1"/>
      <c r="GF947" s="1"/>
      <c r="GG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</row>
    <row r="948" spans="3:222" x14ac:dyDescent="0.3">
      <c r="C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O948" s="1"/>
      <c r="AP948" s="1"/>
      <c r="AQ948" s="1"/>
      <c r="AR948" s="1"/>
      <c r="AS948" s="1"/>
      <c r="AU948" s="1"/>
      <c r="AV948" s="1"/>
      <c r="AW948" s="1"/>
      <c r="AX948" s="1"/>
      <c r="AY948" s="1"/>
      <c r="AZ948" s="1"/>
      <c r="BA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Q948" s="1"/>
      <c r="BR948" s="1"/>
      <c r="BS948" s="1"/>
      <c r="BT948" s="1"/>
      <c r="BU948" s="1"/>
      <c r="BV948" s="1"/>
      <c r="BW948" s="1"/>
      <c r="BX948" s="1"/>
      <c r="BY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D948" s="1"/>
      <c r="GE948" s="1"/>
      <c r="GF948" s="1"/>
      <c r="GG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</row>
    <row r="949" spans="3:222" x14ac:dyDescent="0.3">
      <c r="C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O949" s="1"/>
      <c r="AP949" s="1"/>
      <c r="AQ949" s="1"/>
      <c r="AR949" s="1"/>
      <c r="AS949" s="1"/>
      <c r="AU949" s="1"/>
      <c r="AV949" s="1"/>
      <c r="AW949" s="1"/>
      <c r="AX949" s="1"/>
      <c r="AY949" s="1"/>
      <c r="AZ949" s="1"/>
      <c r="BA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Q949" s="1"/>
      <c r="BR949" s="1"/>
      <c r="BS949" s="1"/>
      <c r="BT949" s="1"/>
      <c r="BU949" s="1"/>
      <c r="BV949" s="1"/>
      <c r="BW949" s="1"/>
      <c r="BX949" s="1"/>
      <c r="BY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D949" s="1"/>
      <c r="GE949" s="1"/>
      <c r="GF949" s="1"/>
      <c r="GG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</row>
    <row r="950" spans="3:222" x14ac:dyDescent="0.3">
      <c r="C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O950" s="1"/>
      <c r="AP950" s="1"/>
      <c r="AQ950" s="1"/>
      <c r="AR950" s="1"/>
      <c r="AS950" s="1"/>
      <c r="AU950" s="1"/>
      <c r="AV950" s="1"/>
      <c r="AW950" s="1"/>
      <c r="AX950" s="1"/>
      <c r="AY950" s="1"/>
      <c r="AZ950" s="1"/>
      <c r="BA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Q950" s="1"/>
      <c r="BR950" s="1"/>
      <c r="BS950" s="1"/>
      <c r="BT950" s="1"/>
      <c r="BU950" s="1"/>
      <c r="BV950" s="1"/>
      <c r="BW950" s="1"/>
      <c r="BX950" s="1"/>
      <c r="BY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D950" s="1"/>
      <c r="GE950" s="1"/>
      <c r="GF950" s="1"/>
      <c r="GG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</row>
    <row r="951" spans="3:222" x14ac:dyDescent="0.3">
      <c r="C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O951" s="1"/>
      <c r="AP951" s="1"/>
      <c r="AQ951" s="1"/>
      <c r="AR951" s="1"/>
      <c r="AS951" s="1"/>
      <c r="AU951" s="1"/>
      <c r="AV951" s="1"/>
      <c r="AW951" s="1"/>
      <c r="AX951" s="1"/>
      <c r="AY951" s="1"/>
      <c r="AZ951" s="1"/>
      <c r="BA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Q951" s="1"/>
      <c r="BR951" s="1"/>
      <c r="BS951" s="1"/>
      <c r="BT951" s="1"/>
      <c r="BU951" s="1"/>
      <c r="BV951" s="1"/>
      <c r="BW951" s="1"/>
      <c r="BX951" s="1"/>
      <c r="BY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D951" s="1"/>
      <c r="GE951" s="1"/>
      <c r="GF951" s="1"/>
      <c r="GG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</row>
    <row r="952" spans="3:222" x14ac:dyDescent="0.3">
      <c r="C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O952" s="1"/>
      <c r="AP952" s="1"/>
      <c r="AQ952" s="1"/>
      <c r="AR952" s="1"/>
      <c r="AS952" s="1"/>
      <c r="AU952" s="1"/>
      <c r="AV952" s="1"/>
      <c r="AW952" s="1"/>
      <c r="AX952" s="1"/>
      <c r="AY952" s="1"/>
      <c r="AZ952" s="1"/>
      <c r="BA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Q952" s="1"/>
      <c r="BR952" s="1"/>
      <c r="BS952" s="1"/>
      <c r="BT952" s="1"/>
      <c r="BU952" s="1"/>
      <c r="BV952" s="1"/>
      <c r="BW952" s="1"/>
      <c r="BX952" s="1"/>
      <c r="BY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D952" s="1"/>
      <c r="GE952" s="1"/>
      <c r="GF952" s="1"/>
      <c r="GG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</row>
    <row r="953" spans="3:222" x14ac:dyDescent="0.3">
      <c r="C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O953" s="1"/>
      <c r="AP953" s="1"/>
      <c r="AQ953" s="1"/>
      <c r="AR953" s="1"/>
      <c r="AS953" s="1"/>
      <c r="AU953" s="1"/>
      <c r="AV953" s="1"/>
      <c r="AW953" s="1"/>
      <c r="AX953" s="1"/>
      <c r="AY953" s="1"/>
      <c r="AZ953" s="1"/>
      <c r="BA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Q953" s="1"/>
      <c r="BR953" s="1"/>
      <c r="BS953" s="1"/>
      <c r="BT953" s="1"/>
      <c r="BU953" s="1"/>
      <c r="BV953" s="1"/>
      <c r="BW953" s="1"/>
      <c r="BX953" s="1"/>
      <c r="BY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D953" s="1"/>
      <c r="GE953" s="1"/>
      <c r="GF953" s="1"/>
      <c r="GG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</row>
    <row r="954" spans="3:222" x14ac:dyDescent="0.3">
      <c r="C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O954" s="1"/>
      <c r="AP954" s="1"/>
      <c r="AQ954" s="1"/>
      <c r="AR954" s="1"/>
      <c r="AS954" s="1"/>
      <c r="AU954" s="1"/>
      <c r="AV954" s="1"/>
      <c r="AW954" s="1"/>
      <c r="AX954" s="1"/>
      <c r="AY954" s="1"/>
      <c r="AZ954" s="1"/>
      <c r="BA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Q954" s="1"/>
      <c r="BR954" s="1"/>
      <c r="BS954" s="1"/>
      <c r="BT954" s="1"/>
      <c r="BU954" s="1"/>
      <c r="BV954" s="1"/>
      <c r="BW954" s="1"/>
      <c r="BX954" s="1"/>
      <c r="BY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D954" s="1"/>
      <c r="GE954" s="1"/>
      <c r="GF954" s="1"/>
      <c r="GG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</row>
    <row r="955" spans="3:222" x14ac:dyDescent="0.3">
      <c r="C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O955" s="1"/>
      <c r="AP955" s="1"/>
      <c r="AQ955" s="1"/>
      <c r="AR955" s="1"/>
      <c r="AS955" s="1"/>
      <c r="AU955" s="1"/>
      <c r="AV955" s="1"/>
      <c r="AW955" s="1"/>
      <c r="AX955" s="1"/>
      <c r="AY955" s="1"/>
      <c r="AZ955" s="1"/>
      <c r="BA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Q955" s="1"/>
      <c r="BR955" s="1"/>
      <c r="BS955" s="1"/>
      <c r="BT955" s="1"/>
      <c r="BU955" s="1"/>
      <c r="BV955" s="1"/>
      <c r="BW955" s="1"/>
      <c r="BX955" s="1"/>
      <c r="BY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D955" s="1"/>
      <c r="GE955" s="1"/>
      <c r="GF955" s="1"/>
      <c r="GG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</row>
    <row r="956" spans="3:222" x14ac:dyDescent="0.3">
      <c r="C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O956" s="1"/>
      <c r="AP956" s="1"/>
      <c r="AQ956" s="1"/>
      <c r="AR956" s="1"/>
      <c r="AS956" s="1"/>
      <c r="AU956" s="1"/>
      <c r="AV956" s="1"/>
      <c r="AW956" s="1"/>
      <c r="AX956" s="1"/>
      <c r="AY956" s="1"/>
      <c r="AZ956" s="1"/>
      <c r="BA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Q956" s="1"/>
      <c r="BR956" s="1"/>
      <c r="BS956" s="1"/>
      <c r="BT956" s="1"/>
      <c r="BU956" s="1"/>
      <c r="BV956" s="1"/>
      <c r="BW956" s="1"/>
      <c r="BX956" s="1"/>
      <c r="BY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D956" s="1"/>
      <c r="GE956" s="1"/>
      <c r="GF956" s="1"/>
      <c r="GG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</row>
    <row r="957" spans="3:222" x14ac:dyDescent="0.3">
      <c r="C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O957" s="1"/>
      <c r="AP957" s="1"/>
      <c r="AQ957" s="1"/>
      <c r="AR957" s="1"/>
      <c r="AS957" s="1"/>
      <c r="AU957" s="1"/>
      <c r="AV957" s="1"/>
      <c r="AW957" s="1"/>
      <c r="AX957" s="1"/>
      <c r="AY957" s="1"/>
      <c r="AZ957" s="1"/>
      <c r="BA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Q957" s="1"/>
      <c r="BR957" s="1"/>
      <c r="BS957" s="1"/>
      <c r="BT957" s="1"/>
      <c r="BU957" s="1"/>
      <c r="BV957" s="1"/>
      <c r="BW957" s="1"/>
      <c r="BX957" s="1"/>
      <c r="BY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D957" s="1"/>
      <c r="GE957" s="1"/>
      <c r="GF957" s="1"/>
      <c r="GG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</row>
    <row r="958" spans="3:222" x14ac:dyDescent="0.3">
      <c r="C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O958" s="1"/>
      <c r="AP958" s="1"/>
      <c r="AQ958" s="1"/>
      <c r="AR958" s="1"/>
      <c r="AS958" s="1"/>
      <c r="AU958" s="1"/>
      <c r="AV958" s="1"/>
      <c r="AW958" s="1"/>
      <c r="AX958" s="1"/>
      <c r="AY958" s="1"/>
      <c r="AZ958" s="1"/>
      <c r="BA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Q958" s="1"/>
      <c r="BR958" s="1"/>
      <c r="BS958" s="1"/>
      <c r="BT958" s="1"/>
      <c r="BU958" s="1"/>
      <c r="BV958" s="1"/>
      <c r="BW958" s="1"/>
      <c r="BX958" s="1"/>
      <c r="BY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D958" s="1"/>
      <c r="GE958" s="1"/>
      <c r="GF958" s="1"/>
      <c r="GG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</row>
    <row r="959" spans="3:222" x14ac:dyDescent="0.3">
      <c r="C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O959" s="1"/>
      <c r="AP959" s="1"/>
      <c r="AQ959" s="1"/>
      <c r="AR959" s="1"/>
      <c r="AS959" s="1"/>
      <c r="AU959" s="1"/>
      <c r="AV959" s="1"/>
      <c r="AW959" s="1"/>
      <c r="AX959" s="1"/>
      <c r="AY959" s="1"/>
      <c r="AZ959" s="1"/>
      <c r="BA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Q959" s="1"/>
      <c r="BR959" s="1"/>
      <c r="BS959" s="1"/>
      <c r="BT959" s="1"/>
      <c r="BU959" s="1"/>
      <c r="BV959" s="1"/>
      <c r="BW959" s="1"/>
      <c r="BX959" s="1"/>
      <c r="BY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D959" s="1"/>
      <c r="GE959" s="1"/>
      <c r="GF959" s="1"/>
      <c r="GG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</row>
    <row r="960" spans="3:222" x14ac:dyDescent="0.3">
      <c r="C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O960" s="1"/>
      <c r="AP960" s="1"/>
      <c r="AQ960" s="1"/>
      <c r="AR960" s="1"/>
      <c r="AS960" s="1"/>
      <c r="AU960" s="1"/>
      <c r="AV960" s="1"/>
      <c r="AW960" s="1"/>
      <c r="AX960" s="1"/>
      <c r="AY960" s="1"/>
      <c r="AZ960" s="1"/>
      <c r="BA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Q960" s="1"/>
      <c r="BR960" s="1"/>
      <c r="BS960" s="1"/>
      <c r="BT960" s="1"/>
      <c r="BU960" s="1"/>
      <c r="BV960" s="1"/>
      <c r="BW960" s="1"/>
      <c r="BX960" s="1"/>
      <c r="BY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D960" s="1"/>
      <c r="GE960" s="1"/>
      <c r="GF960" s="1"/>
      <c r="GG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</row>
    <row r="961" spans="3:222" x14ac:dyDescent="0.3">
      <c r="C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O961" s="1"/>
      <c r="AP961" s="1"/>
      <c r="AQ961" s="1"/>
      <c r="AR961" s="1"/>
      <c r="AS961" s="1"/>
      <c r="AU961" s="1"/>
      <c r="AV961" s="1"/>
      <c r="AW961" s="1"/>
      <c r="AX961" s="1"/>
      <c r="AY961" s="1"/>
      <c r="AZ961" s="1"/>
      <c r="BA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Q961" s="1"/>
      <c r="BR961" s="1"/>
      <c r="BS961" s="1"/>
      <c r="BT961" s="1"/>
      <c r="BU961" s="1"/>
      <c r="BV961" s="1"/>
      <c r="BW961" s="1"/>
      <c r="BX961" s="1"/>
      <c r="BY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D961" s="1"/>
      <c r="GE961" s="1"/>
      <c r="GF961" s="1"/>
      <c r="GG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</row>
    <row r="962" spans="3:222" x14ac:dyDescent="0.3">
      <c r="C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O962" s="1"/>
      <c r="AP962" s="1"/>
      <c r="AQ962" s="1"/>
      <c r="AR962" s="1"/>
      <c r="AS962" s="1"/>
      <c r="AU962" s="1"/>
      <c r="AV962" s="1"/>
      <c r="AW962" s="1"/>
      <c r="AX962" s="1"/>
      <c r="AY962" s="1"/>
      <c r="AZ962" s="1"/>
      <c r="BA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Q962" s="1"/>
      <c r="BR962" s="1"/>
      <c r="BS962" s="1"/>
      <c r="BT962" s="1"/>
      <c r="BU962" s="1"/>
      <c r="BV962" s="1"/>
      <c r="BW962" s="1"/>
      <c r="BX962" s="1"/>
      <c r="BY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D962" s="1"/>
      <c r="GE962" s="1"/>
      <c r="GF962" s="1"/>
      <c r="GG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</row>
    <row r="963" spans="3:222" x14ac:dyDescent="0.3">
      <c r="C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O963" s="1"/>
      <c r="AP963" s="1"/>
      <c r="AQ963" s="1"/>
      <c r="AR963" s="1"/>
      <c r="AS963" s="1"/>
      <c r="AU963" s="1"/>
      <c r="AV963" s="1"/>
      <c r="AW963" s="1"/>
      <c r="AX963" s="1"/>
      <c r="AY963" s="1"/>
      <c r="AZ963" s="1"/>
      <c r="BA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Q963" s="1"/>
      <c r="BR963" s="1"/>
      <c r="BS963" s="1"/>
      <c r="BT963" s="1"/>
      <c r="BU963" s="1"/>
      <c r="BV963" s="1"/>
      <c r="BW963" s="1"/>
      <c r="BX963" s="1"/>
      <c r="BY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D963" s="1"/>
      <c r="GE963" s="1"/>
      <c r="GF963" s="1"/>
      <c r="GG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</row>
    <row r="964" spans="3:222" x14ac:dyDescent="0.3">
      <c r="C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O964" s="1"/>
      <c r="AP964" s="1"/>
      <c r="AQ964" s="1"/>
      <c r="AR964" s="1"/>
      <c r="AS964" s="1"/>
      <c r="AU964" s="1"/>
      <c r="AV964" s="1"/>
      <c r="AW964" s="1"/>
      <c r="AX964" s="1"/>
      <c r="AY964" s="1"/>
      <c r="AZ964" s="1"/>
      <c r="BA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Q964" s="1"/>
      <c r="BR964" s="1"/>
      <c r="BS964" s="1"/>
      <c r="BT964" s="1"/>
      <c r="BU964" s="1"/>
      <c r="BV964" s="1"/>
      <c r="BW964" s="1"/>
      <c r="BX964" s="1"/>
      <c r="BY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D964" s="1"/>
      <c r="GE964" s="1"/>
      <c r="GF964" s="1"/>
      <c r="GG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</row>
    <row r="965" spans="3:222" x14ac:dyDescent="0.3">
      <c r="C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O965" s="1"/>
      <c r="AP965" s="1"/>
      <c r="AQ965" s="1"/>
      <c r="AR965" s="1"/>
      <c r="AS965" s="1"/>
      <c r="AU965" s="1"/>
      <c r="AV965" s="1"/>
      <c r="AW965" s="1"/>
      <c r="AX965" s="1"/>
      <c r="AY965" s="1"/>
      <c r="AZ965" s="1"/>
      <c r="BA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Q965" s="1"/>
      <c r="BR965" s="1"/>
      <c r="BS965" s="1"/>
      <c r="BT965" s="1"/>
      <c r="BU965" s="1"/>
      <c r="BV965" s="1"/>
      <c r="BW965" s="1"/>
      <c r="BX965" s="1"/>
      <c r="BY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D965" s="1"/>
      <c r="GE965" s="1"/>
      <c r="GF965" s="1"/>
      <c r="GG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</row>
    <row r="966" spans="3:222" x14ac:dyDescent="0.3">
      <c r="C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O966" s="1"/>
      <c r="AP966" s="1"/>
      <c r="AQ966" s="1"/>
      <c r="AR966" s="1"/>
      <c r="AS966" s="1"/>
      <c r="AU966" s="1"/>
      <c r="AV966" s="1"/>
      <c r="AW966" s="1"/>
      <c r="AX966" s="1"/>
      <c r="AY966" s="1"/>
      <c r="AZ966" s="1"/>
      <c r="BA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Q966" s="1"/>
      <c r="BR966" s="1"/>
      <c r="BS966" s="1"/>
      <c r="BT966" s="1"/>
      <c r="BU966" s="1"/>
      <c r="BV966" s="1"/>
      <c r="BW966" s="1"/>
      <c r="BX966" s="1"/>
      <c r="BY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D966" s="1"/>
      <c r="GE966" s="1"/>
      <c r="GF966" s="1"/>
      <c r="GG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</row>
    <row r="967" spans="3:222" x14ac:dyDescent="0.3">
      <c r="C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O967" s="1"/>
      <c r="AP967" s="1"/>
      <c r="AQ967" s="1"/>
      <c r="AR967" s="1"/>
      <c r="AS967" s="1"/>
      <c r="AU967" s="1"/>
      <c r="AV967" s="1"/>
      <c r="AW967" s="1"/>
      <c r="AX967" s="1"/>
      <c r="AY967" s="1"/>
      <c r="AZ967" s="1"/>
      <c r="BA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Q967" s="1"/>
      <c r="BR967" s="1"/>
      <c r="BS967" s="1"/>
      <c r="BT967" s="1"/>
      <c r="BU967" s="1"/>
      <c r="BV967" s="1"/>
      <c r="BW967" s="1"/>
      <c r="BX967" s="1"/>
      <c r="BY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D967" s="1"/>
      <c r="GE967" s="1"/>
      <c r="GF967" s="1"/>
      <c r="GG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</row>
    <row r="968" spans="3:222" x14ac:dyDescent="0.3">
      <c r="C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O968" s="1"/>
      <c r="AP968" s="1"/>
      <c r="AQ968" s="1"/>
      <c r="AR968" s="1"/>
      <c r="AS968" s="1"/>
      <c r="AU968" s="1"/>
      <c r="AV968" s="1"/>
      <c r="AW968" s="1"/>
      <c r="AX968" s="1"/>
      <c r="AY968" s="1"/>
      <c r="AZ968" s="1"/>
      <c r="BA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Q968" s="1"/>
      <c r="BR968" s="1"/>
      <c r="BS968" s="1"/>
      <c r="BT968" s="1"/>
      <c r="BU968" s="1"/>
      <c r="BV968" s="1"/>
      <c r="BW968" s="1"/>
      <c r="BX968" s="1"/>
      <c r="BY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D968" s="1"/>
      <c r="GE968" s="1"/>
      <c r="GF968" s="1"/>
      <c r="GG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</row>
    <row r="969" spans="3:222" x14ac:dyDescent="0.3">
      <c r="C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O969" s="1"/>
      <c r="AP969" s="1"/>
      <c r="AQ969" s="1"/>
      <c r="AR969" s="1"/>
      <c r="AS969" s="1"/>
      <c r="AU969" s="1"/>
      <c r="AV969" s="1"/>
      <c r="AW969" s="1"/>
      <c r="AX969" s="1"/>
      <c r="AY969" s="1"/>
      <c r="AZ969" s="1"/>
      <c r="BA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Q969" s="1"/>
      <c r="BR969" s="1"/>
      <c r="BS969" s="1"/>
      <c r="BT969" s="1"/>
      <c r="BU969" s="1"/>
      <c r="BV969" s="1"/>
      <c r="BW969" s="1"/>
      <c r="BX969" s="1"/>
      <c r="BY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D969" s="1"/>
      <c r="GE969" s="1"/>
      <c r="GF969" s="1"/>
      <c r="GG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</row>
    <row r="970" spans="3:222" x14ac:dyDescent="0.3">
      <c r="C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O970" s="1"/>
      <c r="AP970" s="1"/>
      <c r="AQ970" s="1"/>
      <c r="AR970" s="1"/>
      <c r="AS970" s="1"/>
      <c r="AU970" s="1"/>
      <c r="AV970" s="1"/>
      <c r="AW970" s="1"/>
      <c r="AX970" s="1"/>
      <c r="AY970" s="1"/>
      <c r="AZ970" s="1"/>
      <c r="BA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Q970" s="1"/>
      <c r="BR970" s="1"/>
      <c r="BS970" s="1"/>
      <c r="BT970" s="1"/>
      <c r="BU970" s="1"/>
      <c r="BV970" s="1"/>
      <c r="BW970" s="1"/>
      <c r="BX970" s="1"/>
      <c r="BY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D970" s="1"/>
      <c r="GE970" s="1"/>
      <c r="GF970" s="1"/>
      <c r="GG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</row>
    <row r="971" spans="3:222" x14ac:dyDescent="0.3">
      <c r="C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O971" s="1"/>
      <c r="AP971" s="1"/>
      <c r="AQ971" s="1"/>
      <c r="AR971" s="1"/>
      <c r="AS971" s="1"/>
      <c r="AU971" s="1"/>
      <c r="AV971" s="1"/>
      <c r="AW971" s="1"/>
      <c r="AX971" s="1"/>
      <c r="AY971" s="1"/>
      <c r="AZ971" s="1"/>
      <c r="BA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Q971" s="1"/>
      <c r="BR971" s="1"/>
      <c r="BS971" s="1"/>
      <c r="BT971" s="1"/>
      <c r="BU971" s="1"/>
      <c r="BV971" s="1"/>
      <c r="BW971" s="1"/>
      <c r="BX971" s="1"/>
      <c r="BY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D971" s="1"/>
      <c r="GE971" s="1"/>
      <c r="GF971" s="1"/>
      <c r="GG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</row>
    <row r="972" spans="3:222" x14ac:dyDescent="0.3">
      <c r="C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O972" s="1"/>
      <c r="AP972" s="1"/>
      <c r="AQ972" s="1"/>
      <c r="AR972" s="1"/>
      <c r="AS972" s="1"/>
      <c r="AU972" s="1"/>
      <c r="AV972" s="1"/>
      <c r="AW972" s="1"/>
      <c r="AX972" s="1"/>
      <c r="AY972" s="1"/>
      <c r="AZ972" s="1"/>
      <c r="BA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Q972" s="1"/>
      <c r="BR972" s="1"/>
      <c r="BS972" s="1"/>
      <c r="BT972" s="1"/>
      <c r="BU972" s="1"/>
      <c r="BV972" s="1"/>
      <c r="BW972" s="1"/>
      <c r="BX972" s="1"/>
      <c r="BY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D972" s="1"/>
      <c r="GE972" s="1"/>
      <c r="GF972" s="1"/>
      <c r="GG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</row>
    <row r="973" spans="3:222" x14ac:dyDescent="0.3">
      <c r="C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O973" s="1"/>
      <c r="AP973" s="1"/>
      <c r="AQ973" s="1"/>
      <c r="AR973" s="1"/>
      <c r="AS973" s="1"/>
      <c r="AU973" s="1"/>
      <c r="AV973" s="1"/>
      <c r="AW973" s="1"/>
      <c r="AX973" s="1"/>
      <c r="AY973" s="1"/>
      <c r="AZ973" s="1"/>
      <c r="BA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Q973" s="1"/>
      <c r="BR973" s="1"/>
      <c r="BS973" s="1"/>
      <c r="BT973" s="1"/>
      <c r="BU973" s="1"/>
      <c r="BV973" s="1"/>
      <c r="BW973" s="1"/>
      <c r="BX973" s="1"/>
      <c r="BY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D973" s="1"/>
      <c r="GE973" s="1"/>
      <c r="GF973" s="1"/>
      <c r="GG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</row>
    <row r="974" spans="3:222" x14ac:dyDescent="0.3">
      <c r="C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O974" s="1"/>
      <c r="AP974" s="1"/>
      <c r="AQ974" s="1"/>
      <c r="AR974" s="1"/>
      <c r="AS974" s="1"/>
      <c r="AU974" s="1"/>
      <c r="AV974" s="1"/>
      <c r="AW974" s="1"/>
      <c r="AX974" s="1"/>
      <c r="AY974" s="1"/>
      <c r="AZ974" s="1"/>
      <c r="BA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Q974" s="1"/>
      <c r="BR974" s="1"/>
      <c r="BS974" s="1"/>
      <c r="BT974" s="1"/>
      <c r="BU974" s="1"/>
      <c r="BV974" s="1"/>
      <c r="BW974" s="1"/>
      <c r="BX974" s="1"/>
      <c r="BY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D974" s="1"/>
      <c r="GE974" s="1"/>
      <c r="GF974" s="1"/>
      <c r="GG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</row>
    <row r="975" spans="3:222" x14ac:dyDescent="0.3">
      <c r="C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O975" s="1"/>
      <c r="AP975" s="1"/>
      <c r="AQ975" s="1"/>
      <c r="AR975" s="1"/>
      <c r="AS975" s="1"/>
      <c r="AU975" s="1"/>
      <c r="AV975" s="1"/>
      <c r="AW975" s="1"/>
      <c r="AX975" s="1"/>
      <c r="AY975" s="1"/>
      <c r="AZ975" s="1"/>
      <c r="BA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Q975" s="1"/>
      <c r="BR975" s="1"/>
      <c r="BS975" s="1"/>
      <c r="BT975" s="1"/>
      <c r="BU975" s="1"/>
      <c r="BV975" s="1"/>
      <c r="BW975" s="1"/>
      <c r="BX975" s="1"/>
      <c r="BY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D975" s="1"/>
      <c r="GE975" s="1"/>
      <c r="GF975" s="1"/>
      <c r="GG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</row>
    <row r="976" spans="3:222" x14ac:dyDescent="0.3">
      <c r="C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O976" s="1"/>
      <c r="AP976" s="1"/>
      <c r="AQ976" s="1"/>
      <c r="AR976" s="1"/>
      <c r="AS976" s="1"/>
      <c r="AU976" s="1"/>
      <c r="AV976" s="1"/>
      <c r="AW976" s="1"/>
      <c r="AX976" s="1"/>
      <c r="AY976" s="1"/>
      <c r="AZ976" s="1"/>
      <c r="BA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Q976" s="1"/>
      <c r="BR976" s="1"/>
      <c r="BS976" s="1"/>
      <c r="BT976" s="1"/>
      <c r="BU976" s="1"/>
      <c r="BV976" s="1"/>
      <c r="BW976" s="1"/>
      <c r="BX976" s="1"/>
      <c r="BY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D976" s="1"/>
      <c r="GE976" s="1"/>
      <c r="GF976" s="1"/>
      <c r="GG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</row>
    <row r="977" spans="3:222" x14ac:dyDescent="0.3">
      <c r="C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O977" s="1"/>
      <c r="AP977" s="1"/>
      <c r="AQ977" s="1"/>
      <c r="AR977" s="1"/>
      <c r="AS977" s="1"/>
      <c r="AU977" s="1"/>
      <c r="AV977" s="1"/>
      <c r="AW977" s="1"/>
      <c r="AX977" s="1"/>
      <c r="AY977" s="1"/>
      <c r="AZ977" s="1"/>
      <c r="BA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Q977" s="1"/>
      <c r="BR977" s="1"/>
      <c r="BS977" s="1"/>
      <c r="BT977" s="1"/>
      <c r="BU977" s="1"/>
      <c r="BV977" s="1"/>
      <c r="BW977" s="1"/>
      <c r="BX977" s="1"/>
      <c r="BY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D977" s="1"/>
      <c r="GE977" s="1"/>
      <c r="GF977" s="1"/>
      <c r="GG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</row>
    <row r="978" spans="3:222" x14ac:dyDescent="0.3">
      <c r="C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O978" s="1"/>
      <c r="AP978" s="1"/>
      <c r="AQ978" s="1"/>
      <c r="AR978" s="1"/>
      <c r="AS978" s="1"/>
      <c r="AU978" s="1"/>
      <c r="AV978" s="1"/>
      <c r="AW978" s="1"/>
      <c r="AX978" s="1"/>
      <c r="AY978" s="1"/>
      <c r="AZ978" s="1"/>
      <c r="BA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Q978" s="1"/>
      <c r="BR978" s="1"/>
      <c r="BS978" s="1"/>
      <c r="BT978" s="1"/>
      <c r="BU978" s="1"/>
      <c r="BV978" s="1"/>
      <c r="BW978" s="1"/>
      <c r="BX978" s="1"/>
      <c r="BY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D978" s="1"/>
      <c r="GE978" s="1"/>
      <c r="GF978" s="1"/>
      <c r="GG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</row>
    <row r="979" spans="3:222" x14ac:dyDescent="0.3">
      <c r="C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O979" s="1"/>
      <c r="AP979" s="1"/>
      <c r="AQ979" s="1"/>
      <c r="AR979" s="1"/>
      <c r="AS979" s="1"/>
      <c r="AU979" s="1"/>
      <c r="AV979" s="1"/>
      <c r="AW979" s="1"/>
      <c r="AX979" s="1"/>
      <c r="AY979" s="1"/>
      <c r="AZ979" s="1"/>
      <c r="BA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Q979" s="1"/>
      <c r="BR979" s="1"/>
      <c r="BS979" s="1"/>
      <c r="BT979" s="1"/>
      <c r="BU979" s="1"/>
      <c r="BV979" s="1"/>
      <c r="BW979" s="1"/>
      <c r="BX979" s="1"/>
      <c r="BY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D979" s="1"/>
      <c r="GE979" s="1"/>
      <c r="GF979" s="1"/>
      <c r="GG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</row>
    <row r="980" spans="3:222" x14ac:dyDescent="0.3">
      <c r="C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O980" s="1"/>
      <c r="AP980" s="1"/>
      <c r="AQ980" s="1"/>
      <c r="AR980" s="1"/>
      <c r="AS980" s="1"/>
      <c r="AU980" s="1"/>
      <c r="AV980" s="1"/>
      <c r="AW980" s="1"/>
      <c r="AX980" s="1"/>
      <c r="AY980" s="1"/>
      <c r="AZ980" s="1"/>
      <c r="BA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Q980" s="1"/>
      <c r="BR980" s="1"/>
      <c r="BS980" s="1"/>
      <c r="BT980" s="1"/>
      <c r="BU980" s="1"/>
      <c r="BV980" s="1"/>
      <c r="BW980" s="1"/>
      <c r="BX980" s="1"/>
      <c r="BY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D980" s="1"/>
      <c r="GE980" s="1"/>
      <c r="GF980" s="1"/>
      <c r="GG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</row>
    <row r="981" spans="3:222" x14ac:dyDescent="0.3">
      <c r="C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O981" s="1"/>
      <c r="AP981" s="1"/>
      <c r="AQ981" s="1"/>
      <c r="AR981" s="1"/>
      <c r="AS981" s="1"/>
      <c r="AU981" s="1"/>
      <c r="AV981" s="1"/>
      <c r="AW981" s="1"/>
      <c r="AX981" s="1"/>
      <c r="AY981" s="1"/>
      <c r="AZ981" s="1"/>
      <c r="BA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Q981" s="1"/>
      <c r="BR981" s="1"/>
      <c r="BS981" s="1"/>
      <c r="BT981" s="1"/>
      <c r="BU981" s="1"/>
      <c r="BV981" s="1"/>
      <c r="BW981" s="1"/>
      <c r="BX981" s="1"/>
      <c r="BY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D981" s="1"/>
      <c r="GE981" s="1"/>
      <c r="GF981" s="1"/>
      <c r="GG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</row>
    <row r="982" spans="3:222" x14ac:dyDescent="0.3">
      <c r="C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O982" s="1"/>
      <c r="AP982" s="1"/>
      <c r="AQ982" s="1"/>
      <c r="AR982" s="1"/>
      <c r="AS982" s="1"/>
      <c r="AU982" s="1"/>
      <c r="AV982" s="1"/>
      <c r="AW982" s="1"/>
      <c r="AX982" s="1"/>
      <c r="AY982" s="1"/>
      <c r="AZ982" s="1"/>
      <c r="BA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Q982" s="1"/>
      <c r="BR982" s="1"/>
      <c r="BS982" s="1"/>
      <c r="BT982" s="1"/>
      <c r="BU982" s="1"/>
      <c r="BV982" s="1"/>
      <c r="BW982" s="1"/>
      <c r="BX982" s="1"/>
      <c r="BY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D982" s="1"/>
      <c r="GE982" s="1"/>
      <c r="GF982" s="1"/>
      <c r="GG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</row>
    <row r="983" spans="3:222" x14ac:dyDescent="0.3">
      <c r="C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O983" s="1"/>
      <c r="AP983" s="1"/>
      <c r="AQ983" s="1"/>
      <c r="AR983" s="1"/>
      <c r="AS983" s="1"/>
      <c r="AU983" s="1"/>
      <c r="AV983" s="1"/>
      <c r="AW983" s="1"/>
      <c r="AX983" s="1"/>
      <c r="AY983" s="1"/>
      <c r="AZ983" s="1"/>
      <c r="BA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Q983" s="1"/>
      <c r="BR983" s="1"/>
      <c r="BS983" s="1"/>
      <c r="BT983" s="1"/>
      <c r="BU983" s="1"/>
      <c r="BV983" s="1"/>
      <c r="BW983" s="1"/>
      <c r="BX983" s="1"/>
      <c r="BY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D983" s="1"/>
      <c r="GE983" s="1"/>
      <c r="GF983" s="1"/>
      <c r="GG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</row>
    <row r="984" spans="3:222" x14ac:dyDescent="0.3">
      <c r="C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O984" s="1"/>
      <c r="AP984" s="1"/>
      <c r="AQ984" s="1"/>
      <c r="AR984" s="1"/>
      <c r="AS984" s="1"/>
      <c r="AU984" s="1"/>
      <c r="AV984" s="1"/>
      <c r="AW984" s="1"/>
      <c r="AX984" s="1"/>
      <c r="AY984" s="1"/>
      <c r="AZ984" s="1"/>
      <c r="BA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Q984" s="1"/>
      <c r="BR984" s="1"/>
      <c r="BS984" s="1"/>
      <c r="BT984" s="1"/>
      <c r="BU984" s="1"/>
      <c r="BV984" s="1"/>
      <c r="BW984" s="1"/>
      <c r="BX984" s="1"/>
      <c r="BY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D984" s="1"/>
      <c r="GE984" s="1"/>
      <c r="GF984" s="1"/>
      <c r="GG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</row>
    <row r="985" spans="3:222" x14ac:dyDescent="0.3">
      <c r="C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O985" s="1"/>
      <c r="AP985" s="1"/>
      <c r="AQ985" s="1"/>
      <c r="AR985" s="1"/>
      <c r="AS985" s="1"/>
      <c r="AU985" s="1"/>
      <c r="AV985" s="1"/>
      <c r="AW985" s="1"/>
      <c r="AX985" s="1"/>
      <c r="AY985" s="1"/>
      <c r="AZ985" s="1"/>
      <c r="BA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Q985" s="1"/>
      <c r="BR985" s="1"/>
      <c r="BS985" s="1"/>
      <c r="BT985" s="1"/>
      <c r="BU985" s="1"/>
      <c r="BV985" s="1"/>
      <c r="BW985" s="1"/>
      <c r="BX985" s="1"/>
      <c r="BY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D985" s="1"/>
      <c r="GE985" s="1"/>
      <c r="GF985" s="1"/>
      <c r="GG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</row>
    <row r="986" spans="3:222" x14ac:dyDescent="0.3">
      <c r="C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O986" s="1"/>
      <c r="AP986" s="1"/>
      <c r="AQ986" s="1"/>
      <c r="AR986" s="1"/>
      <c r="AS986" s="1"/>
      <c r="AU986" s="1"/>
      <c r="AV986" s="1"/>
      <c r="AW986" s="1"/>
      <c r="AX986" s="1"/>
      <c r="AY986" s="1"/>
      <c r="AZ986" s="1"/>
      <c r="BA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Q986" s="1"/>
      <c r="BR986" s="1"/>
      <c r="BS986" s="1"/>
      <c r="BT986" s="1"/>
      <c r="BU986" s="1"/>
      <c r="BV986" s="1"/>
      <c r="BW986" s="1"/>
      <c r="BX986" s="1"/>
      <c r="BY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D986" s="1"/>
      <c r="GE986" s="1"/>
      <c r="GF986" s="1"/>
      <c r="GG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</row>
    <row r="987" spans="3:222" x14ac:dyDescent="0.3">
      <c r="C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O987" s="1"/>
      <c r="AP987" s="1"/>
      <c r="AQ987" s="1"/>
      <c r="AR987" s="1"/>
      <c r="AS987" s="1"/>
      <c r="AU987" s="1"/>
      <c r="AV987" s="1"/>
      <c r="AW987" s="1"/>
      <c r="AX987" s="1"/>
      <c r="AY987" s="1"/>
      <c r="AZ987" s="1"/>
      <c r="BA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Q987" s="1"/>
      <c r="BR987" s="1"/>
      <c r="BS987" s="1"/>
      <c r="BT987" s="1"/>
      <c r="BU987" s="1"/>
      <c r="BV987" s="1"/>
      <c r="BW987" s="1"/>
      <c r="BX987" s="1"/>
      <c r="BY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D987" s="1"/>
      <c r="GE987" s="1"/>
      <c r="GF987" s="1"/>
      <c r="GG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</row>
    <row r="988" spans="3:222" x14ac:dyDescent="0.3">
      <c r="C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O988" s="1"/>
      <c r="AP988" s="1"/>
      <c r="AQ988" s="1"/>
      <c r="AR988" s="1"/>
      <c r="AS988" s="1"/>
      <c r="AU988" s="1"/>
      <c r="AV988" s="1"/>
      <c r="AW988" s="1"/>
      <c r="AX988" s="1"/>
      <c r="AY988" s="1"/>
      <c r="AZ988" s="1"/>
      <c r="BA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Q988" s="1"/>
      <c r="BR988" s="1"/>
      <c r="BS988" s="1"/>
      <c r="BT988" s="1"/>
      <c r="BU988" s="1"/>
      <c r="BV988" s="1"/>
      <c r="BW988" s="1"/>
      <c r="BX988" s="1"/>
      <c r="BY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D988" s="1"/>
      <c r="GE988" s="1"/>
      <c r="GF988" s="1"/>
      <c r="GG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</row>
    <row r="989" spans="3:222" x14ac:dyDescent="0.3">
      <c r="C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O989" s="1"/>
      <c r="AP989" s="1"/>
      <c r="AQ989" s="1"/>
      <c r="AR989" s="1"/>
      <c r="AS989" s="1"/>
      <c r="AU989" s="1"/>
      <c r="AV989" s="1"/>
      <c r="AW989" s="1"/>
      <c r="AX989" s="1"/>
      <c r="AY989" s="1"/>
      <c r="AZ989" s="1"/>
      <c r="BA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Q989" s="1"/>
      <c r="BR989" s="1"/>
      <c r="BS989" s="1"/>
      <c r="BT989" s="1"/>
      <c r="BU989" s="1"/>
      <c r="BV989" s="1"/>
      <c r="BW989" s="1"/>
      <c r="BX989" s="1"/>
      <c r="BY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D989" s="1"/>
      <c r="GE989" s="1"/>
      <c r="GF989" s="1"/>
      <c r="GG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</row>
    <row r="990" spans="3:222" x14ac:dyDescent="0.3">
      <c r="C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O990" s="1"/>
      <c r="AP990" s="1"/>
      <c r="AQ990" s="1"/>
      <c r="AR990" s="1"/>
      <c r="AS990" s="1"/>
      <c r="AU990" s="1"/>
      <c r="AV990" s="1"/>
      <c r="AW990" s="1"/>
      <c r="AX990" s="1"/>
      <c r="AY990" s="1"/>
      <c r="AZ990" s="1"/>
      <c r="BA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Q990" s="1"/>
      <c r="BR990" s="1"/>
      <c r="BS990" s="1"/>
      <c r="BT990" s="1"/>
      <c r="BU990" s="1"/>
      <c r="BV990" s="1"/>
      <c r="BW990" s="1"/>
      <c r="BX990" s="1"/>
      <c r="BY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D990" s="1"/>
      <c r="GE990" s="1"/>
      <c r="GF990" s="1"/>
      <c r="GG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</row>
    <row r="991" spans="3:222" x14ac:dyDescent="0.3">
      <c r="C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O991" s="1"/>
      <c r="AP991" s="1"/>
      <c r="AQ991" s="1"/>
      <c r="AR991" s="1"/>
      <c r="AS991" s="1"/>
      <c r="AU991" s="1"/>
      <c r="AV991" s="1"/>
      <c r="AW991" s="1"/>
      <c r="AX991" s="1"/>
      <c r="AY991" s="1"/>
      <c r="AZ991" s="1"/>
      <c r="BA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Q991" s="1"/>
      <c r="BR991" s="1"/>
      <c r="BS991" s="1"/>
      <c r="BT991" s="1"/>
      <c r="BU991" s="1"/>
      <c r="BV991" s="1"/>
      <c r="BW991" s="1"/>
      <c r="BX991" s="1"/>
      <c r="BY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D991" s="1"/>
      <c r="GE991" s="1"/>
      <c r="GF991" s="1"/>
      <c r="GG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</row>
    <row r="992" spans="3:222" x14ac:dyDescent="0.3">
      <c r="C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O992" s="1"/>
      <c r="AP992" s="1"/>
      <c r="AQ992" s="1"/>
      <c r="AR992" s="1"/>
      <c r="AS992" s="1"/>
      <c r="AU992" s="1"/>
      <c r="AV992" s="1"/>
      <c r="AW992" s="1"/>
      <c r="AX992" s="1"/>
      <c r="AY992" s="1"/>
      <c r="AZ992" s="1"/>
      <c r="BA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Q992" s="1"/>
      <c r="BR992" s="1"/>
      <c r="BS992" s="1"/>
      <c r="BT992" s="1"/>
      <c r="BU992" s="1"/>
      <c r="BV992" s="1"/>
      <c r="BW992" s="1"/>
      <c r="BX992" s="1"/>
      <c r="BY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D992" s="1"/>
      <c r="GE992" s="1"/>
      <c r="GF992" s="1"/>
      <c r="GG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</row>
    <row r="993" spans="3:222" x14ac:dyDescent="0.3">
      <c r="C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O993" s="1"/>
      <c r="AP993" s="1"/>
      <c r="AQ993" s="1"/>
      <c r="AR993" s="1"/>
      <c r="AS993" s="1"/>
      <c r="AU993" s="1"/>
      <c r="AV993" s="1"/>
      <c r="AW993" s="1"/>
      <c r="AX993" s="1"/>
      <c r="AY993" s="1"/>
      <c r="AZ993" s="1"/>
      <c r="BA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Q993" s="1"/>
      <c r="BR993" s="1"/>
      <c r="BS993" s="1"/>
      <c r="BT993" s="1"/>
      <c r="BU993" s="1"/>
      <c r="BV993" s="1"/>
      <c r="BW993" s="1"/>
      <c r="BX993" s="1"/>
      <c r="BY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D993" s="1"/>
      <c r="GE993" s="1"/>
      <c r="GF993" s="1"/>
      <c r="GG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</row>
    <row r="994" spans="3:222" x14ac:dyDescent="0.3">
      <c r="C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O994" s="1"/>
      <c r="AP994" s="1"/>
      <c r="AQ994" s="1"/>
      <c r="AR994" s="1"/>
      <c r="AS994" s="1"/>
      <c r="AU994" s="1"/>
      <c r="AV994" s="1"/>
      <c r="AW994" s="1"/>
      <c r="AX994" s="1"/>
      <c r="AY994" s="1"/>
      <c r="AZ994" s="1"/>
      <c r="BA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Q994" s="1"/>
      <c r="BR994" s="1"/>
      <c r="BS994" s="1"/>
      <c r="BT994" s="1"/>
      <c r="BU994" s="1"/>
      <c r="BV994" s="1"/>
      <c r="BW994" s="1"/>
      <c r="BX994" s="1"/>
      <c r="BY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D994" s="1"/>
      <c r="GE994" s="1"/>
      <c r="GF994" s="1"/>
      <c r="GG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</row>
    <row r="995" spans="3:222" x14ac:dyDescent="0.3">
      <c r="C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O995" s="1"/>
      <c r="AP995" s="1"/>
      <c r="AQ995" s="1"/>
      <c r="AR995" s="1"/>
      <c r="AS995" s="1"/>
      <c r="AU995" s="1"/>
      <c r="AV995" s="1"/>
      <c r="AW995" s="1"/>
      <c r="AX995" s="1"/>
      <c r="AY995" s="1"/>
      <c r="AZ995" s="1"/>
      <c r="BA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Q995" s="1"/>
      <c r="BR995" s="1"/>
      <c r="BS995" s="1"/>
      <c r="BT995" s="1"/>
      <c r="BU995" s="1"/>
      <c r="BV995" s="1"/>
      <c r="BW995" s="1"/>
      <c r="BX995" s="1"/>
      <c r="BY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D995" s="1"/>
      <c r="GE995" s="1"/>
      <c r="GF995" s="1"/>
      <c r="GG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</row>
    <row r="996" spans="3:222" x14ac:dyDescent="0.3">
      <c r="C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O996" s="1"/>
      <c r="AP996" s="1"/>
      <c r="AQ996" s="1"/>
      <c r="AR996" s="1"/>
      <c r="AS996" s="1"/>
      <c r="AU996" s="1"/>
      <c r="AV996" s="1"/>
      <c r="AW996" s="1"/>
      <c r="AX996" s="1"/>
      <c r="AY996" s="1"/>
      <c r="AZ996" s="1"/>
      <c r="BA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Q996" s="1"/>
      <c r="BR996" s="1"/>
      <c r="BS996" s="1"/>
      <c r="BT996" s="1"/>
      <c r="BU996" s="1"/>
      <c r="BV996" s="1"/>
      <c r="BW996" s="1"/>
      <c r="BX996" s="1"/>
      <c r="BY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D996" s="1"/>
      <c r="GE996" s="1"/>
      <c r="GF996" s="1"/>
      <c r="GG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</row>
    <row r="997" spans="3:222" x14ac:dyDescent="0.3">
      <c r="C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O997" s="1"/>
      <c r="AP997" s="1"/>
      <c r="AQ997" s="1"/>
      <c r="AR997" s="1"/>
      <c r="AS997" s="1"/>
      <c r="AU997" s="1"/>
      <c r="AV997" s="1"/>
      <c r="AW997" s="1"/>
      <c r="AX997" s="1"/>
      <c r="AY997" s="1"/>
      <c r="AZ997" s="1"/>
      <c r="BA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Q997" s="1"/>
      <c r="BR997" s="1"/>
      <c r="BS997" s="1"/>
      <c r="BT997" s="1"/>
      <c r="BU997" s="1"/>
      <c r="BV997" s="1"/>
      <c r="BW997" s="1"/>
      <c r="BX997" s="1"/>
      <c r="BY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D997" s="1"/>
      <c r="GE997" s="1"/>
      <c r="GF997" s="1"/>
      <c r="GG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</row>
    <row r="998" spans="3:222" x14ac:dyDescent="0.3">
      <c r="C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O998" s="1"/>
      <c r="AP998" s="1"/>
      <c r="AQ998" s="1"/>
      <c r="AR998" s="1"/>
      <c r="AS998" s="1"/>
      <c r="AU998" s="1"/>
      <c r="AV998" s="1"/>
      <c r="AW998" s="1"/>
      <c r="AX998" s="1"/>
      <c r="AY998" s="1"/>
      <c r="AZ998" s="1"/>
      <c r="BA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Q998" s="1"/>
      <c r="BR998" s="1"/>
      <c r="BS998" s="1"/>
      <c r="BT998" s="1"/>
      <c r="BU998" s="1"/>
      <c r="BV998" s="1"/>
      <c r="BW998" s="1"/>
      <c r="BX998" s="1"/>
      <c r="BY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D998" s="1"/>
      <c r="GE998" s="1"/>
      <c r="GF998" s="1"/>
      <c r="GG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</row>
    <row r="999" spans="3:222" x14ac:dyDescent="0.3">
      <c r="C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O999" s="1"/>
      <c r="AP999" s="1"/>
      <c r="AQ999" s="1"/>
      <c r="AR999" s="1"/>
      <c r="AS999" s="1"/>
      <c r="AU999" s="1"/>
      <c r="AV999" s="1"/>
      <c r="AW999" s="1"/>
      <c r="AX999" s="1"/>
      <c r="AY999" s="1"/>
      <c r="AZ999" s="1"/>
      <c r="BA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Q999" s="1"/>
      <c r="BR999" s="1"/>
      <c r="BS999" s="1"/>
      <c r="BT999" s="1"/>
      <c r="BU999" s="1"/>
      <c r="BV999" s="1"/>
      <c r="BW999" s="1"/>
      <c r="BX999" s="1"/>
      <c r="BY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D999" s="1"/>
      <c r="GE999" s="1"/>
      <c r="GF999" s="1"/>
      <c r="GG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</row>
    <row r="1000" spans="3:222" x14ac:dyDescent="0.3">
      <c r="C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O1000" s="1"/>
      <c r="AP1000" s="1"/>
      <c r="AQ1000" s="1"/>
      <c r="AR1000" s="1"/>
      <c r="AS1000" s="1"/>
      <c r="AU1000" s="1"/>
      <c r="AV1000" s="1"/>
      <c r="AW1000" s="1"/>
      <c r="AX1000" s="1"/>
      <c r="AY1000" s="1"/>
      <c r="AZ1000" s="1"/>
      <c r="BA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Q1000" s="1"/>
      <c r="BR1000" s="1"/>
      <c r="BS1000" s="1"/>
      <c r="BT1000" s="1"/>
      <c r="BU1000" s="1"/>
      <c r="BV1000" s="1"/>
      <c r="BW1000" s="1"/>
      <c r="BX1000" s="1"/>
      <c r="BY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D1000" s="1"/>
      <c r="GE1000" s="1"/>
      <c r="GF1000" s="1"/>
      <c r="GG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</row>
    <row r="1001" spans="3:222" x14ac:dyDescent="0.3">
      <c r="C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O1001" s="1"/>
      <c r="AP1001" s="1"/>
      <c r="AQ1001" s="1"/>
      <c r="AR1001" s="1"/>
      <c r="AS1001" s="1"/>
      <c r="AU1001" s="1"/>
      <c r="AV1001" s="1"/>
      <c r="AW1001" s="1"/>
      <c r="AX1001" s="1"/>
      <c r="AY1001" s="1"/>
      <c r="AZ1001" s="1"/>
      <c r="BA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Q1001" s="1"/>
      <c r="BR1001" s="1"/>
      <c r="BS1001" s="1"/>
      <c r="BT1001" s="1"/>
      <c r="BU1001" s="1"/>
      <c r="BV1001" s="1"/>
      <c r="BW1001" s="1"/>
      <c r="BX1001" s="1"/>
      <c r="BY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D1001" s="1"/>
      <c r="GE1001" s="1"/>
      <c r="GF1001" s="1"/>
      <c r="GG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</row>
    <row r="1002" spans="3:222" x14ac:dyDescent="0.3">
      <c r="C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O1002" s="1"/>
      <c r="AP1002" s="1"/>
      <c r="AQ1002" s="1"/>
      <c r="AR1002" s="1"/>
      <c r="AS1002" s="1"/>
      <c r="AU1002" s="1"/>
      <c r="AV1002" s="1"/>
      <c r="AW1002" s="1"/>
      <c r="AX1002" s="1"/>
      <c r="AY1002" s="1"/>
      <c r="AZ1002" s="1"/>
      <c r="BA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Q1002" s="1"/>
      <c r="BR1002" s="1"/>
      <c r="BS1002" s="1"/>
      <c r="BT1002" s="1"/>
      <c r="BU1002" s="1"/>
      <c r="BV1002" s="1"/>
      <c r="BW1002" s="1"/>
      <c r="BX1002" s="1"/>
      <c r="BY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D1002" s="1"/>
      <c r="GE1002" s="1"/>
      <c r="GF1002" s="1"/>
      <c r="GG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</row>
    <row r="1003" spans="3:222" x14ac:dyDescent="0.3">
      <c r="C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O1003" s="1"/>
      <c r="AP1003" s="1"/>
      <c r="AQ1003" s="1"/>
      <c r="AR1003" s="1"/>
      <c r="AS1003" s="1"/>
      <c r="AU1003" s="1"/>
      <c r="AV1003" s="1"/>
      <c r="AW1003" s="1"/>
      <c r="AX1003" s="1"/>
      <c r="AY1003" s="1"/>
      <c r="AZ1003" s="1"/>
      <c r="BA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Q1003" s="1"/>
      <c r="BR1003" s="1"/>
      <c r="BS1003" s="1"/>
      <c r="BT1003" s="1"/>
      <c r="BU1003" s="1"/>
      <c r="BV1003" s="1"/>
      <c r="BW1003" s="1"/>
      <c r="BX1003" s="1"/>
      <c r="BY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D1003" s="1"/>
      <c r="GE1003" s="1"/>
      <c r="GF1003" s="1"/>
      <c r="GG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</row>
    <row r="1004" spans="3:222" x14ac:dyDescent="0.3">
      <c r="C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O1004" s="1"/>
      <c r="AP1004" s="1"/>
      <c r="AQ1004" s="1"/>
      <c r="AR1004" s="1"/>
      <c r="AS1004" s="1"/>
      <c r="AU1004" s="1"/>
      <c r="AV1004" s="1"/>
      <c r="AW1004" s="1"/>
      <c r="AX1004" s="1"/>
      <c r="AY1004" s="1"/>
      <c r="AZ1004" s="1"/>
      <c r="BA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Q1004" s="1"/>
      <c r="BR1004" s="1"/>
      <c r="BS1004" s="1"/>
      <c r="BT1004" s="1"/>
      <c r="BU1004" s="1"/>
      <c r="BV1004" s="1"/>
      <c r="BW1004" s="1"/>
      <c r="BX1004" s="1"/>
      <c r="BY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D1004" s="1"/>
      <c r="GE1004" s="1"/>
      <c r="GF1004" s="1"/>
      <c r="GG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</row>
    <row r="1005" spans="3:222" x14ac:dyDescent="0.3">
      <c r="C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O1005" s="1"/>
      <c r="AP1005" s="1"/>
      <c r="AQ1005" s="1"/>
      <c r="AR1005" s="1"/>
      <c r="AS1005" s="1"/>
      <c r="AU1005" s="1"/>
      <c r="AV1005" s="1"/>
      <c r="AW1005" s="1"/>
      <c r="AX1005" s="1"/>
      <c r="AY1005" s="1"/>
      <c r="AZ1005" s="1"/>
      <c r="BA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Q1005" s="1"/>
      <c r="BR1005" s="1"/>
      <c r="BS1005" s="1"/>
      <c r="BT1005" s="1"/>
      <c r="BU1005" s="1"/>
      <c r="BV1005" s="1"/>
      <c r="BW1005" s="1"/>
      <c r="BX1005" s="1"/>
      <c r="BY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D1005" s="1"/>
      <c r="GE1005" s="1"/>
      <c r="GF1005" s="1"/>
      <c r="GG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</row>
    <row r="1006" spans="3:222" x14ac:dyDescent="0.3">
      <c r="C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O1006" s="1"/>
      <c r="AP1006" s="1"/>
      <c r="AQ1006" s="1"/>
      <c r="AR1006" s="1"/>
      <c r="AS1006" s="1"/>
      <c r="AU1006" s="1"/>
      <c r="AV1006" s="1"/>
      <c r="AW1006" s="1"/>
      <c r="AX1006" s="1"/>
      <c r="AY1006" s="1"/>
      <c r="AZ1006" s="1"/>
      <c r="BA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Q1006" s="1"/>
      <c r="BR1006" s="1"/>
      <c r="BS1006" s="1"/>
      <c r="BT1006" s="1"/>
      <c r="BU1006" s="1"/>
      <c r="BV1006" s="1"/>
      <c r="BW1006" s="1"/>
      <c r="BX1006" s="1"/>
      <c r="BY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D1006" s="1"/>
      <c r="GE1006" s="1"/>
      <c r="GF1006" s="1"/>
      <c r="GG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</row>
    <row r="1007" spans="3:222" x14ac:dyDescent="0.3">
      <c r="C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O1007" s="1"/>
      <c r="AP1007" s="1"/>
      <c r="AQ1007" s="1"/>
      <c r="AR1007" s="1"/>
      <c r="AS1007" s="1"/>
      <c r="AU1007" s="1"/>
      <c r="AV1007" s="1"/>
      <c r="AW1007" s="1"/>
      <c r="AX1007" s="1"/>
      <c r="AY1007" s="1"/>
      <c r="AZ1007" s="1"/>
      <c r="BA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Q1007" s="1"/>
      <c r="BR1007" s="1"/>
      <c r="BS1007" s="1"/>
      <c r="BT1007" s="1"/>
      <c r="BU1007" s="1"/>
      <c r="BV1007" s="1"/>
      <c r="BW1007" s="1"/>
      <c r="BX1007" s="1"/>
      <c r="BY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D1007" s="1"/>
      <c r="GE1007" s="1"/>
      <c r="GF1007" s="1"/>
      <c r="GG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</row>
    <row r="1008" spans="3:222" x14ac:dyDescent="0.3">
      <c r="C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O1008" s="1"/>
      <c r="AP1008" s="1"/>
      <c r="AQ1008" s="1"/>
      <c r="AR1008" s="1"/>
      <c r="AS1008" s="1"/>
      <c r="AU1008" s="1"/>
      <c r="AV1008" s="1"/>
      <c r="AW1008" s="1"/>
      <c r="AX1008" s="1"/>
      <c r="AY1008" s="1"/>
      <c r="AZ1008" s="1"/>
      <c r="BA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Q1008" s="1"/>
      <c r="BR1008" s="1"/>
      <c r="BS1008" s="1"/>
      <c r="BT1008" s="1"/>
      <c r="BU1008" s="1"/>
      <c r="BV1008" s="1"/>
      <c r="BW1008" s="1"/>
      <c r="BX1008" s="1"/>
      <c r="BY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D1008" s="1"/>
      <c r="GE1008" s="1"/>
      <c r="GF1008" s="1"/>
      <c r="GG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</row>
    <row r="1009" spans="3:222" x14ac:dyDescent="0.3">
      <c r="C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O1009" s="1"/>
      <c r="AP1009" s="1"/>
      <c r="AQ1009" s="1"/>
      <c r="AR1009" s="1"/>
      <c r="AS1009" s="1"/>
      <c r="AU1009" s="1"/>
      <c r="AV1009" s="1"/>
      <c r="AW1009" s="1"/>
      <c r="AX1009" s="1"/>
      <c r="AY1009" s="1"/>
      <c r="AZ1009" s="1"/>
      <c r="BA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Q1009" s="1"/>
      <c r="BR1009" s="1"/>
      <c r="BS1009" s="1"/>
      <c r="BT1009" s="1"/>
      <c r="BU1009" s="1"/>
      <c r="BV1009" s="1"/>
      <c r="BW1009" s="1"/>
      <c r="BX1009" s="1"/>
      <c r="BY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D1009" s="1"/>
      <c r="GE1009" s="1"/>
      <c r="GF1009" s="1"/>
      <c r="GG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</row>
    <row r="1010" spans="3:222" x14ac:dyDescent="0.3">
      <c r="C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O1010" s="1"/>
      <c r="AP1010" s="1"/>
      <c r="AQ1010" s="1"/>
      <c r="AR1010" s="1"/>
      <c r="AS1010" s="1"/>
      <c r="AU1010" s="1"/>
      <c r="AV1010" s="1"/>
      <c r="AW1010" s="1"/>
      <c r="AX1010" s="1"/>
      <c r="AY1010" s="1"/>
      <c r="AZ1010" s="1"/>
      <c r="BA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Q1010" s="1"/>
      <c r="BR1010" s="1"/>
      <c r="BS1010" s="1"/>
      <c r="BT1010" s="1"/>
      <c r="BU1010" s="1"/>
      <c r="BV1010" s="1"/>
      <c r="BW1010" s="1"/>
      <c r="BX1010" s="1"/>
      <c r="BY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D1010" s="1"/>
      <c r="GE1010" s="1"/>
      <c r="GF1010" s="1"/>
      <c r="GG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</row>
    <row r="1011" spans="3:222" x14ac:dyDescent="0.3">
      <c r="C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O1011" s="1"/>
      <c r="AP1011" s="1"/>
      <c r="AQ1011" s="1"/>
      <c r="AR1011" s="1"/>
      <c r="AS1011" s="1"/>
      <c r="AU1011" s="1"/>
      <c r="AV1011" s="1"/>
      <c r="AW1011" s="1"/>
      <c r="AX1011" s="1"/>
      <c r="AY1011" s="1"/>
      <c r="AZ1011" s="1"/>
      <c r="BA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Q1011" s="1"/>
      <c r="BR1011" s="1"/>
      <c r="BS1011" s="1"/>
      <c r="BT1011" s="1"/>
      <c r="BU1011" s="1"/>
      <c r="BV1011" s="1"/>
      <c r="BW1011" s="1"/>
      <c r="BX1011" s="1"/>
      <c r="BY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D1011" s="1"/>
      <c r="GE1011" s="1"/>
      <c r="GF1011" s="1"/>
      <c r="GG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</row>
    <row r="1012" spans="3:222" x14ac:dyDescent="0.3">
      <c r="C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O1012" s="1"/>
      <c r="AP1012" s="1"/>
      <c r="AQ1012" s="1"/>
      <c r="AR1012" s="1"/>
      <c r="AS1012" s="1"/>
      <c r="AU1012" s="1"/>
      <c r="AV1012" s="1"/>
      <c r="AW1012" s="1"/>
      <c r="AX1012" s="1"/>
      <c r="AY1012" s="1"/>
      <c r="AZ1012" s="1"/>
      <c r="BA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Q1012" s="1"/>
      <c r="BR1012" s="1"/>
      <c r="BS1012" s="1"/>
      <c r="BT1012" s="1"/>
      <c r="BU1012" s="1"/>
      <c r="BV1012" s="1"/>
      <c r="BW1012" s="1"/>
      <c r="BX1012" s="1"/>
      <c r="BY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D1012" s="1"/>
      <c r="GE1012" s="1"/>
      <c r="GF1012" s="1"/>
      <c r="GG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</row>
    <row r="1013" spans="3:222" x14ac:dyDescent="0.3">
      <c r="C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O1013" s="1"/>
      <c r="AP1013" s="1"/>
      <c r="AQ1013" s="1"/>
      <c r="AR1013" s="1"/>
      <c r="AS1013" s="1"/>
      <c r="AU1013" s="1"/>
      <c r="AV1013" s="1"/>
      <c r="AW1013" s="1"/>
      <c r="AX1013" s="1"/>
      <c r="AY1013" s="1"/>
      <c r="AZ1013" s="1"/>
      <c r="BA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Q1013" s="1"/>
      <c r="BR1013" s="1"/>
      <c r="BS1013" s="1"/>
      <c r="BT1013" s="1"/>
      <c r="BU1013" s="1"/>
      <c r="BV1013" s="1"/>
      <c r="BW1013" s="1"/>
      <c r="BX1013" s="1"/>
      <c r="BY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D1013" s="1"/>
      <c r="GE1013" s="1"/>
      <c r="GF1013" s="1"/>
      <c r="GG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</row>
    <row r="1014" spans="3:222" x14ac:dyDescent="0.3">
      <c r="C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O1014" s="1"/>
      <c r="AP1014" s="1"/>
      <c r="AQ1014" s="1"/>
      <c r="AR1014" s="1"/>
      <c r="AS1014" s="1"/>
      <c r="AU1014" s="1"/>
      <c r="AV1014" s="1"/>
      <c r="AW1014" s="1"/>
      <c r="AX1014" s="1"/>
      <c r="AY1014" s="1"/>
      <c r="AZ1014" s="1"/>
      <c r="BA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Q1014" s="1"/>
      <c r="BR1014" s="1"/>
      <c r="BS1014" s="1"/>
      <c r="BT1014" s="1"/>
      <c r="BU1014" s="1"/>
      <c r="BV1014" s="1"/>
      <c r="BW1014" s="1"/>
      <c r="BX1014" s="1"/>
      <c r="BY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D1014" s="1"/>
      <c r="GE1014" s="1"/>
      <c r="GF1014" s="1"/>
      <c r="GG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</row>
    <row r="1015" spans="3:222" x14ac:dyDescent="0.3">
      <c r="C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O1015" s="1"/>
      <c r="AP1015" s="1"/>
      <c r="AQ1015" s="1"/>
      <c r="AR1015" s="1"/>
      <c r="AS1015" s="1"/>
      <c r="AU1015" s="1"/>
      <c r="AV1015" s="1"/>
      <c r="AW1015" s="1"/>
      <c r="AX1015" s="1"/>
      <c r="AY1015" s="1"/>
      <c r="AZ1015" s="1"/>
      <c r="BA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Q1015" s="1"/>
      <c r="BR1015" s="1"/>
      <c r="BS1015" s="1"/>
      <c r="BT1015" s="1"/>
      <c r="BU1015" s="1"/>
      <c r="BV1015" s="1"/>
      <c r="BW1015" s="1"/>
      <c r="BX1015" s="1"/>
      <c r="BY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D1015" s="1"/>
      <c r="GE1015" s="1"/>
      <c r="GF1015" s="1"/>
      <c r="GG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</row>
    <row r="1016" spans="3:222" x14ac:dyDescent="0.3">
      <c r="C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O1016" s="1"/>
      <c r="AP1016" s="1"/>
      <c r="AQ1016" s="1"/>
      <c r="AR1016" s="1"/>
      <c r="AS1016" s="1"/>
      <c r="AU1016" s="1"/>
      <c r="AV1016" s="1"/>
      <c r="AW1016" s="1"/>
      <c r="AX1016" s="1"/>
      <c r="AY1016" s="1"/>
      <c r="AZ1016" s="1"/>
      <c r="BA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Q1016" s="1"/>
      <c r="BR1016" s="1"/>
      <c r="BS1016" s="1"/>
      <c r="BT1016" s="1"/>
      <c r="BU1016" s="1"/>
      <c r="BV1016" s="1"/>
      <c r="BW1016" s="1"/>
      <c r="BX1016" s="1"/>
      <c r="BY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D1016" s="1"/>
      <c r="GE1016" s="1"/>
      <c r="GF1016" s="1"/>
      <c r="GG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</row>
    <row r="1017" spans="3:222" x14ac:dyDescent="0.3">
      <c r="C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O1017" s="1"/>
      <c r="AP1017" s="1"/>
      <c r="AQ1017" s="1"/>
      <c r="AR1017" s="1"/>
      <c r="AS1017" s="1"/>
      <c r="AU1017" s="1"/>
      <c r="AV1017" s="1"/>
      <c r="AW1017" s="1"/>
      <c r="AX1017" s="1"/>
      <c r="AY1017" s="1"/>
      <c r="AZ1017" s="1"/>
      <c r="BA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Q1017" s="1"/>
      <c r="BR1017" s="1"/>
      <c r="BS1017" s="1"/>
      <c r="BT1017" s="1"/>
      <c r="BU1017" s="1"/>
      <c r="BV1017" s="1"/>
      <c r="BW1017" s="1"/>
      <c r="BX1017" s="1"/>
      <c r="BY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D1017" s="1"/>
      <c r="GE1017" s="1"/>
      <c r="GF1017" s="1"/>
      <c r="GG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</row>
    <row r="1018" spans="3:222" x14ac:dyDescent="0.3">
      <c r="C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O1018" s="1"/>
      <c r="AP1018" s="1"/>
      <c r="AQ1018" s="1"/>
      <c r="AR1018" s="1"/>
      <c r="AS1018" s="1"/>
      <c r="AU1018" s="1"/>
      <c r="AV1018" s="1"/>
      <c r="AW1018" s="1"/>
      <c r="AX1018" s="1"/>
      <c r="AY1018" s="1"/>
      <c r="AZ1018" s="1"/>
      <c r="BA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Q1018" s="1"/>
      <c r="BR1018" s="1"/>
      <c r="BS1018" s="1"/>
      <c r="BT1018" s="1"/>
      <c r="BU1018" s="1"/>
      <c r="BV1018" s="1"/>
      <c r="BW1018" s="1"/>
      <c r="BX1018" s="1"/>
      <c r="BY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D1018" s="1"/>
      <c r="GE1018" s="1"/>
      <c r="GF1018" s="1"/>
      <c r="GG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</row>
    <row r="1019" spans="3:222" x14ac:dyDescent="0.3">
      <c r="C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O1019" s="1"/>
      <c r="AP1019" s="1"/>
      <c r="AQ1019" s="1"/>
      <c r="AR1019" s="1"/>
      <c r="AS1019" s="1"/>
      <c r="AU1019" s="1"/>
      <c r="AV1019" s="1"/>
      <c r="AW1019" s="1"/>
      <c r="AX1019" s="1"/>
      <c r="AY1019" s="1"/>
      <c r="AZ1019" s="1"/>
      <c r="BA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Q1019" s="1"/>
      <c r="BR1019" s="1"/>
      <c r="BS1019" s="1"/>
      <c r="BT1019" s="1"/>
      <c r="BU1019" s="1"/>
      <c r="BV1019" s="1"/>
      <c r="BW1019" s="1"/>
      <c r="BX1019" s="1"/>
      <c r="BY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D1019" s="1"/>
      <c r="GE1019" s="1"/>
      <c r="GF1019" s="1"/>
      <c r="GG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</row>
    <row r="1020" spans="3:222" x14ac:dyDescent="0.3">
      <c r="C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O1020" s="1"/>
      <c r="AP1020" s="1"/>
      <c r="AQ1020" s="1"/>
      <c r="AR1020" s="1"/>
      <c r="AS1020" s="1"/>
      <c r="AU1020" s="1"/>
      <c r="AV1020" s="1"/>
      <c r="AW1020" s="1"/>
      <c r="AX1020" s="1"/>
      <c r="AY1020" s="1"/>
      <c r="AZ1020" s="1"/>
      <c r="BA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Q1020" s="1"/>
      <c r="BR1020" s="1"/>
      <c r="BS1020" s="1"/>
      <c r="BT1020" s="1"/>
      <c r="BU1020" s="1"/>
      <c r="BV1020" s="1"/>
      <c r="BW1020" s="1"/>
      <c r="BX1020" s="1"/>
      <c r="BY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D1020" s="1"/>
      <c r="GE1020" s="1"/>
      <c r="GF1020" s="1"/>
      <c r="GG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</row>
    <row r="1021" spans="3:222" x14ac:dyDescent="0.3">
      <c r="C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O1021" s="1"/>
      <c r="AP1021" s="1"/>
      <c r="AQ1021" s="1"/>
      <c r="AR1021" s="1"/>
      <c r="AS1021" s="1"/>
      <c r="AU1021" s="1"/>
      <c r="AV1021" s="1"/>
      <c r="AW1021" s="1"/>
      <c r="AX1021" s="1"/>
      <c r="AY1021" s="1"/>
      <c r="AZ1021" s="1"/>
      <c r="BA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Q1021" s="1"/>
      <c r="BR1021" s="1"/>
      <c r="BS1021" s="1"/>
      <c r="BT1021" s="1"/>
      <c r="BU1021" s="1"/>
      <c r="BV1021" s="1"/>
      <c r="BW1021" s="1"/>
      <c r="BX1021" s="1"/>
      <c r="BY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D1021" s="1"/>
      <c r="GE1021" s="1"/>
      <c r="GF1021" s="1"/>
      <c r="GG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</row>
    <row r="1022" spans="3:222" x14ac:dyDescent="0.3">
      <c r="C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O1022" s="1"/>
      <c r="AP1022" s="1"/>
      <c r="AQ1022" s="1"/>
      <c r="AR1022" s="1"/>
      <c r="AS1022" s="1"/>
      <c r="AU1022" s="1"/>
      <c r="AV1022" s="1"/>
      <c r="AW1022" s="1"/>
      <c r="AX1022" s="1"/>
      <c r="AY1022" s="1"/>
      <c r="AZ1022" s="1"/>
      <c r="BA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Q1022" s="1"/>
      <c r="BR1022" s="1"/>
      <c r="BS1022" s="1"/>
      <c r="BT1022" s="1"/>
      <c r="BU1022" s="1"/>
      <c r="BV1022" s="1"/>
      <c r="BW1022" s="1"/>
      <c r="BX1022" s="1"/>
      <c r="BY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D1022" s="1"/>
      <c r="GE1022" s="1"/>
      <c r="GF1022" s="1"/>
      <c r="GG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</row>
    <row r="1023" spans="3:222" x14ac:dyDescent="0.3">
      <c r="C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O1023" s="1"/>
      <c r="AP1023" s="1"/>
      <c r="AQ1023" s="1"/>
      <c r="AR1023" s="1"/>
      <c r="AS1023" s="1"/>
      <c r="AU1023" s="1"/>
      <c r="AV1023" s="1"/>
      <c r="AW1023" s="1"/>
      <c r="AX1023" s="1"/>
      <c r="AY1023" s="1"/>
      <c r="AZ1023" s="1"/>
      <c r="BA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Q1023" s="1"/>
      <c r="BR1023" s="1"/>
      <c r="BS1023" s="1"/>
      <c r="BT1023" s="1"/>
      <c r="BU1023" s="1"/>
      <c r="BV1023" s="1"/>
      <c r="BW1023" s="1"/>
      <c r="BX1023" s="1"/>
      <c r="BY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D1023" s="1"/>
      <c r="GE1023" s="1"/>
      <c r="GF1023" s="1"/>
      <c r="GG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</row>
    <row r="1024" spans="3:222" x14ac:dyDescent="0.3">
      <c r="C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O1024" s="1"/>
      <c r="AP1024" s="1"/>
      <c r="AQ1024" s="1"/>
      <c r="AR1024" s="1"/>
      <c r="AS1024" s="1"/>
      <c r="AU1024" s="1"/>
      <c r="AV1024" s="1"/>
      <c r="AW1024" s="1"/>
      <c r="AX1024" s="1"/>
      <c r="AY1024" s="1"/>
      <c r="AZ1024" s="1"/>
      <c r="BA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Q1024" s="1"/>
      <c r="BR1024" s="1"/>
      <c r="BS1024" s="1"/>
      <c r="BT1024" s="1"/>
      <c r="BU1024" s="1"/>
      <c r="BV1024" s="1"/>
      <c r="BW1024" s="1"/>
      <c r="BX1024" s="1"/>
      <c r="BY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D1024" s="1"/>
      <c r="GE1024" s="1"/>
      <c r="GF1024" s="1"/>
      <c r="GG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</row>
    <row r="1025" spans="3:222" x14ac:dyDescent="0.3">
      <c r="C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O1025" s="1"/>
      <c r="AP1025" s="1"/>
      <c r="AQ1025" s="1"/>
      <c r="AR1025" s="1"/>
      <c r="AS1025" s="1"/>
      <c r="AU1025" s="1"/>
      <c r="AV1025" s="1"/>
      <c r="AW1025" s="1"/>
      <c r="AX1025" s="1"/>
      <c r="AY1025" s="1"/>
      <c r="AZ1025" s="1"/>
      <c r="BA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Q1025" s="1"/>
      <c r="BR1025" s="1"/>
      <c r="BS1025" s="1"/>
      <c r="BT1025" s="1"/>
      <c r="BU1025" s="1"/>
      <c r="BV1025" s="1"/>
      <c r="BW1025" s="1"/>
      <c r="BX1025" s="1"/>
      <c r="BY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D1025" s="1"/>
      <c r="GE1025" s="1"/>
      <c r="GF1025" s="1"/>
      <c r="GG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</row>
    <row r="1026" spans="3:222" x14ac:dyDescent="0.3">
      <c r="C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O1026" s="1"/>
      <c r="AP1026" s="1"/>
      <c r="AQ1026" s="1"/>
      <c r="AR1026" s="1"/>
      <c r="AS1026" s="1"/>
      <c r="AU1026" s="1"/>
      <c r="AV1026" s="1"/>
      <c r="AW1026" s="1"/>
      <c r="AX1026" s="1"/>
      <c r="AY1026" s="1"/>
      <c r="AZ1026" s="1"/>
      <c r="BA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Q1026" s="1"/>
      <c r="BR1026" s="1"/>
      <c r="BS1026" s="1"/>
      <c r="BT1026" s="1"/>
      <c r="BU1026" s="1"/>
      <c r="BV1026" s="1"/>
      <c r="BW1026" s="1"/>
      <c r="BX1026" s="1"/>
      <c r="BY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D1026" s="1"/>
      <c r="GE1026" s="1"/>
      <c r="GF1026" s="1"/>
      <c r="GG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</row>
    <row r="1027" spans="3:222" x14ac:dyDescent="0.3">
      <c r="C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O1027" s="1"/>
      <c r="AP1027" s="1"/>
      <c r="AQ1027" s="1"/>
      <c r="AR1027" s="1"/>
      <c r="AS1027" s="1"/>
      <c r="AU1027" s="1"/>
      <c r="AV1027" s="1"/>
      <c r="AW1027" s="1"/>
      <c r="AX1027" s="1"/>
      <c r="AY1027" s="1"/>
      <c r="AZ1027" s="1"/>
      <c r="BA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Q1027" s="1"/>
      <c r="BR1027" s="1"/>
      <c r="BS1027" s="1"/>
      <c r="BT1027" s="1"/>
      <c r="BU1027" s="1"/>
      <c r="BV1027" s="1"/>
      <c r="BW1027" s="1"/>
      <c r="BX1027" s="1"/>
      <c r="BY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D1027" s="1"/>
      <c r="GE1027" s="1"/>
      <c r="GF1027" s="1"/>
      <c r="GG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</row>
    <row r="1028" spans="3:222" x14ac:dyDescent="0.3">
      <c r="C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O1028" s="1"/>
      <c r="AP1028" s="1"/>
      <c r="AQ1028" s="1"/>
      <c r="AR1028" s="1"/>
      <c r="AS1028" s="1"/>
      <c r="AU1028" s="1"/>
      <c r="AV1028" s="1"/>
      <c r="AW1028" s="1"/>
      <c r="AX1028" s="1"/>
      <c r="AY1028" s="1"/>
      <c r="AZ1028" s="1"/>
      <c r="BA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Q1028" s="1"/>
      <c r="BR1028" s="1"/>
      <c r="BS1028" s="1"/>
      <c r="BT1028" s="1"/>
      <c r="BU1028" s="1"/>
      <c r="BV1028" s="1"/>
      <c r="BW1028" s="1"/>
      <c r="BX1028" s="1"/>
      <c r="BY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D1028" s="1"/>
      <c r="GE1028" s="1"/>
      <c r="GF1028" s="1"/>
      <c r="GG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</row>
    <row r="1029" spans="3:222" x14ac:dyDescent="0.3">
      <c r="C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O1029" s="1"/>
      <c r="AP1029" s="1"/>
      <c r="AQ1029" s="1"/>
      <c r="AR1029" s="1"/>
      <c r="AS1029" s="1"/>
      <c r="AU1029" s="1"/>
      <c r="AV1029" s="1"/>
      <c r="AW1029" s="1"/>
      <c r="AX1029" s="1"/>
      <c r="AY1029" s="1"/>
      <c r="AZ1029" s="1"/>
      <c r="BA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Q1029" s="1"/>
      <c r="BR1029" s="1"/>
      <c r="BS1029" s="1"/>
      <c r="BT1029" s="1"/>
      <c r="BU1029" s="1"/>
      <c r="BV1029" s="1"/>
      <c r="BW1029" s="1"/>
      <c r="BX1029" s="1"/>
      <c r="BY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D1029" s="1"/>
      <c r="GE1029" s="1"/>
      <c r="GF1029" s="1"/>
      <c r="GG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</row>
    <row r="1030" spans="3:222" x14ac:dyDescent="0.3">
      <c r="C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O1030" s="1"/>
      <c r="AP1030" s="1"/>
      <c r="AQ1030" s="1"/>
      <c r="AR1030" s="1"/>
      <c r="AS1030" s="1"/>
      <c r="AU1030" s="1"/>
      <c r="AV1030" s="1"/>
      <c r="AW1030" s="1"/>
      <c r="AX1030" s="1"/>
      <c r="AY1030" s="1"/>
      <c r="AZ1030" s="1"/>
      <c r="BA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Q1030" s="1"/>
      <c r="BR1030" s="1"/>
      <c r="BS1030" s="1"/>
      <c r="BT1030" s="1"/>
      <c r="BU1030" s="1"/>
      <c r="BV1030" s="1"/>
      <c r="BW1030" s="1"/>
      <c r="BX1030" s="1"/>
      <c r="BY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D1030" s="1"/>
      <c r="GE1030" s="1"/>
      <c r="GF1030" s="1"/>
      <c r="GG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</row>
    <row r="1031" spans="3:222" x14ac:dyDescent="0.3">
      <c r="C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O1031" s="1"/>
      <c r="AP1031" s="1"/>
      <c r="AQ1031" s="1"/>
      <c r="AR1031" s="1"/>
      <c r="AS1031" s="1"/>
      <c r="AU1031" s="1"/>
      <c r="AV1031" s="1"/>
      <c r="AW1031" s="1"/>
      <c r="AX1031" s="1"/>
      <c r="AY1031" s="1"/>
      <c r="AZ1031" s="1"/>
      <c r="BA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Q1031" s="1"/>
      <c r="BR1031" s="1"/>
      <c r="BS1031" s="1"/>
      <c r="BT1031" s="1"/>
      <c r="BU1031" s="1"/>
      <c r="BV1031" s="1"/>
      <c r="BW1031" s="1"/>
      <c r="BX1031" s="1"/>
      <c r="BY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D1031" s="1"/>
      <c r="GE1031" s="1"/>
      <c r="GF1031" s="1"/>
      <c r="GG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</row>
    <row r="1032" spans="3:222" x14ac:dyDescent="0.3">
      <c r="C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O1032" s="1"/>
      <c r="AP1032" s="1"/>
      <c r="AQ1032" s="1"/>
      <c r="AR1032" s="1"/>
      <c r="AS1032" s="1"/>
      <c r="AU1032" s="1"/>
      <c r="AV1032" s="1"/>
      <c r="AW1032" s="1"/>
      <c r="AX1032" s="1"/>
      <c r="AY1032" s="1"/>
      <c r="AZ1032" s="1"/>
      <c r="BA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Q1032" s="1"/>
      <c r="BR1032" s="1"/>
      <c r="BS1032" s="1"/>
      <c r="BT1032" s="1"/>
      <c r="BU1032" s="1"/>
      <c r="BV1032" s="1"/>
      <c r="BW1032" s="1"/>
      <c r="BX1032" s="1"/>
      <c r="BY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D1032" s="1"/>
      <c r="GE1032" s="1"/>
      <c r="GF1032" s="1"/>
      <c r="GG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</row>
    <row r="1033" spans="3:222" x14ac:dyDescent="0.3">
      <c r="C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O1033" s="1"/>
      <c r="AP1033" s="1"/>
      <c r="AQ1033" s="1"/>
      <c r="AR1033" s="1"/>
      <c r="AS1033" s="1"/>
      <c r="AU1033" s="1"/>
      <c r="AV1033" s="1"/>
      <c r="AW1033" s="1"/>
      <c r="AX1033" s="1"/>
      <c r="AY1033" s="1"/>
      <c r="AZ1033" s="1"/>
      <c r="BA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Q1033" s="1"/>
      <c r="BR1033" s="1"/>
      <c r="BS1033" s="1"/>
      <c r="BT1033" s="1"/>
      <c r="BU1033" s="1"/>
      <c r="BV1033" s="1"/>
      <c r="BW1033" s="1"/>
      <c r="BX1033" s="1"/>
      <c r="BY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D1033" s="1"/>
      <c r="GE1033" s="1"/>
      <c r="GF1033" s="1"/>
      <c r="GG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</row>
    <row r="1034" spans="3:222" x14ac:dyDescent="0.3">
      <c r="C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O1034" s="1"/>
      <c r="AP1034" s="1"/>
      <c r="AQ1034" s="1"/>
      <c r="AR1034" s="1"/>
      <c r="AS1034" s="1"/>
      <c r="AU1034" s="1"/>
      <c r="AV1034" s="1"/>
      <c r="AW1034" s="1"/>
      <c r="AX1034" s="1"/>
      <c r="AY1034" s="1"/>
      <c r="AZ1034" s="1"/>
      <c r="BA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Q1034" s="1"/>
      <c r="BR1034" s="1"/>
      <c r="BS1034" s="1"/>
      <c r="BT1034" s="1"/>
      <c r="BU1034" s="1"/>
      <c r="BV1034" s="1"/>
      <c r="BW1034" s="1"/>
      <c r="BX1034" s="1"/>
      <c r="BY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D1034" s="1"/>
      <c r="GE1034" s="1"/>
      <c r="GF1034" s="1"/>
      <c r="GG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</row>
    <row r="1035" spans="3:222" x14ac:dyDescent="0.3">
      <c r="C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O1035" s="1"/>
      <c r="AP1035" s="1"/>
      <c r="AQ1035" s="1"/>
      <c r="AR1035" s="1"/>
      <c r="AS1035" s="1"/>
      <c r="AU1035" s="1"/>
      <c r="AV1035" s="1"/>
      <c r="AW1035" s="1"/>
      <c r="AX1035" s="1"/>
      <c r="AY1035" s="1"/>
      <c r="AZ1035" s="1"/>
      <c r="BA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Q1035" s="1"/>
      <c r="BR1035" s="1"/>
      <c r="BS1035" s="1"/>
      <c r="BT1035" s="1"/>
      <c r="BU1035" s="1"/>
      <c r="BV1035" s="1"/>
      <c r="BW1035" s="1"/>
      <c r="BX1035" s="1"/>
      <c r="BY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D1035" s="1"/>
      <c r="GE1035" s="1"/>
      <c r="GF1035" s="1"/>
      <c r="GG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</row>
    <row r="1036" spans="3:222" x14ac:dyDescent="0.3">
      <c r="C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O1036" s="1"/>
      <c r="AP1036" s="1"/>
      <c r="AQ1036" s="1"/>
      <c r="AR1036" s="1"/>
      <c r="AS1036" s="1"/>
      <c r="AU1036" s="1"/>
      <c r="AV1036" s="1"/>
      <c r="AW1036" s="1"/>
      <c r="AX1036" s="1"/>
      <c r="AY1036" s="1"/>
      <c r="AZ1036" s="1"/>
      <c r="BA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Q1036" s="1"/>
      <c r="BR1036" s="1"/>
      <c r="BS1036" s="1"/>
      <c r="BT1036" s="1"/>
      <c r="BU1036" s="1"/>
      <c r="BV1036" s="1"/>
      <c r="BW1036" s="1"/>
      <c r="BX1036" s="1"/>
      <c r="BY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D1036" s="1"/>
      <c r="GE1036" s="1"/>
      <c r="GF1036" s="1"/>
      <c r="GG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</row>
    <row r="1037" spans="3:222" x14ac:dyDescent="0.3">
      <c r="C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O1037" s="1"/>
      <c r="AP1037" s="1"/>
      <c r="AQ1037" s="1"/>
      <c r="AR1037" s="1"/>
      <c r="AS1037" s="1"/>
      <c r="AU1037" s="1"/>
      <c r="AV1037" s="1"/>
      <c r="AW1037" s="1"/>
      <c r="AX1037" s="1"/>
      <c r="AY1037" s="1"/>
      <c r="AZ1037" s="1"/>
      <c r="BA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Q1037" s="1"/>
      <c r="BR1037" s="1"/>
      <c r="BS1037" s="1"/>
      <c r="BT1037" s="1"/>
      <c r="BU1037" s="1"/>
      <c r="BV1037" s="1"/>
      <c r="BW1037" s="1"/>
      <c r="BX1037" s="1"/>
      <c r="BY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D1037" s="1"/>
      <c r="GE1037" s="1"/>
      <c r="GF1037" s="1"/>
      <c r="GG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</row>
    <row r="1038" spans="3:222" x14ac:dyDescent="0.3">
      <c r="C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O1038" s="1"/>
      <c r="AP1038" s="1"/>
      <c r="AQ1038" s="1"/>
      <c r="AR1038" s="1"/>
      <c r="AS1038" s="1"/>
      <c r="AU1038" s="1"/>
      <c r="AV1038" s="1"/>
      <c r="AW1038" s="1"/>
      <c r="AX1038" s="1"/>
      <c r="AY1038" s="1"/>
      <c r="AZ1038" s="1"/>
      <c r="BA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Q1038" s="1"/>
      <c r="BR1038" s="1"/>
      <c r="BS1038" s="1"/>
      <c r="BT1038" s="1"/>
      <c r="BU1038" s="1"/>
      <c r="BV1038" s="1"/>
      <c r="BW1038" s="1"/>
      <c r="BX1038" s="1"/>
      <c r="BY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D1038" s="1"/>
      <c r="GE1038" s="1"/>
      <c r="GF1038" s="1"/>
      <c r="GG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</row>
    <row r="1039" spans="3:222" x14ac:dyDescent="0.3">
      <c r="C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O1039" s="1"/>
      <c r="AP1039" s="1"/>
      <c r="AQ1039" s="1"/>
      <c r="AR1039" s="1"/>
      <c r="AS1039" s="1"/>
      <c r="AU1039" s="1"/>
      <c r="AV1039" s="1"/>
      <c r="AW1039" s="1"/>
      <c r="AX1039" s="1"/>
      <c r="AY1039" s="1"/>
      <c r="AZ1039" s="1"/>
      <c r="BA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Q1039" s="1"/>
      <c r="BR1039" s="1"/>
      <c r="BS1039" s="1"/>
      <c r="BT1039" s="1"/>
      <c r="BU1039" s="1"/>
      <c r="BV1039" s="1"/>
      <c r="BW1039" s="1"/>
      <c r="BX1039" s="1"/>
      <c r="BY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D1039" s="1"/>
      <c r="GE1039" s="1"/>
      <c r="GF1039" s="1"/>
      <c r="GG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</row>
    <row r="1040" spans="3:222" x14ac:dyDescent="0.3">
      <c r="C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O1040" s="1"/>
      <c r="AP1040" s="1"/>
      <c r="AQ1040" s="1"/>
      <c r="AR1040" s="1"/>
      <c r="AS1040" s="1"/>
      <c r="AU1040" s="1"/>
      <c r="AV1040" s="1"/>
      <c r="AW1040" s="1"/>
      <c r="AX1040" s="1"/>
      <c r="AY1040" s="1"/>
      <c r="AZ1040" s="1"/>
      <c r="BA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Q1040" s="1"/>
      <c r="BR1040" s="1"/>
      <c r="BS1040" s="1"/>
      <c r="BT1040" s="1"/>
      <c r="BU1040" s="1"/>
      <c r="BV1040" s="1"/>
      <c r="BW1040" s="1"/>
      <c r="BX1040" s="1"/>
      <c r="BY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D1040" s="1"/>
      <c r="GE1040" s="1"/>
      <c r="GF1040" s="1"/>
      <c r="GG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</row>
    <row r="1041" spans="3:222" x14ac:dyDescent="0.3">
      <c r="C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O1041" s="1"/>
      <c r="AP1041" s="1"/>
      <c r="AQ1041" s="1"/>
      <c r="AR1041" s="1"/>
      <c r="AS1041" s="1"/>
      <c r="AU1041" s="1"/>
      <c r="AV1041" s="1"/>
      <c r="AW1041" s="1"/>
      <c r="AX1041" s="1"/>
      <c r="AY1041" s="1"/>
      <c r="AZ1041" s="1"/>
      <c r="BA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Q1041" s="1"/>
      <c r="BR1041" s="1"/>
      <c r="BS1041" s="1"/>
      <c r="BT1041" s="1"/>
      <c r="BU1041" s="1"/>
      <c r="BV1041" s="1"/>
      <c r="BW1041" s="1"/>
      <c r="BX1041" s="1"/>
      <c r="BY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D1041" s="1"/>
      <c r="GE1041" s="1"/>
      <c r="GF1041" s="1"/>
      <c r="GG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</row>
    <row r="1042" spans="3:222" x14ac:dyDescent="0.3">
      <c r="C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O1042" s="1"/>
      <c r="AP1042" s="1"/>
      <c r="AQ1042" s="1"/>
      <c r="AR1042" s="1"/>
      <c r="AS1042" s="1"/>
      <c r="AU1042" s="1"/>
      <c r="AV1042" s="1"/>
      <c r="AW1042" s="1"/>
      <c r="AX1042" s="1"/>
      <c r="AY1042" s="1"/>
      <c r="AZ1042" s="1"/>
      <c r="BA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Q1042" s="1"/>
      <c r="BR1042" s="1"/>
      <c r="BS1042" s="1"/>
      <c r="BT1042" s="1"/>
      <c r="BU1042" s="1"/>
      <c r="BV1042" s="1"/>
      <c r="BW1042" s="1"/>
      <c r="BX1042" s="1"/>
      <c r="BY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D1042" s="1"/>
      <c r="GE1042" s="1"/>
      <c r="GF1042" s="1"/>
      <c r="GG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</row>
    <row r="1043" spans="3:222" x14ac:dyDescent="0.3">
      <c r="C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O1043" s="1"/>
      <c r="AP1043" s="1"/>
      <c r="AQ1043" s="1"/>
      <c r="AR1043" s="1"/>
      <c r="AS1043" s="1"/>
      <c r="AU1043" s="1"/>
      <c r="AV1043" s="1"/>
      <c r="AW1043" s="1"/>
      <c r="AX1043" s="1"/>
      <c r="AY1043" s="1"/>
      <c r="AZ1043" s="1"/>
      <c r="BA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Q1043" s="1"/>
      <c r="BR1043" s="1"/>
      <c r="BS1043" s="1"/>
      <c r="BT1043" s="1"/>
      <c r="BU1043" s="1"/>
      <c r="BV1043" s="1"/>
      <c r="BW1043" s="1"/>
      <c r="BX1043" s="1"/>
      <c r="BY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D1043" s="1"/>
      <c r="GE1043" s="1"/>
      <c r="GF1043" s="1"/>
      <c r="GG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</row>
    <row r="1044" spans="3:222" x14ac:dyDescent="0.3">
      <c r="C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O1044" s="1"/>
      <c r="AP1044" s="1"/>
      <c r="AQ1044" s="1"/>
      <c r="AR1044" s="1"/>
      <c r="AS1044" s="1"/>
      <c r="AU1044" s="1"/>
      <c r="AV1044" s="1"/>
      <c r="AW1044" s="1"/>
      <c r="AX1044" s="1"/>
      <c r="AY1044" s="1"/>
      <c r="AZ1044" s="1"/>
      <c r="BA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Q1044" s="1"/>
      <c r="BR1044" s="1"/>
      <c r="BS1044" s="1"/>
      <c r="BT1044" s="1"/>
      <c r="BU1044" s="1"/>
      <c r="BV1044" s="1"/>
      <c r="BW1044" s="1"/>
      <c r="BX1044" s="1"/>
      <c r="BY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D1044" s="1"/>
      <c r="GE1044" s="1"/>
      <c r="GF1044" s="1"/>
      <c r="GG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</row>
    <row r="1045" spans="3:222" x14ac:dyDescent="0.3">
      <c r="C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O1045" s="1"/>
      <c r="AP1045" s="1"/>
      <c r="AQ1045" s="1"/>
      <c r="AR1045" s="1"/>
      <c r="AS1045" s="1"/>
      <c r="AU1045" s="1"/>
      <c r="AV1045" s="1"/>
      <c r="AW1045" s="1"/>
      <c r="AX1045" s="1"/>
      <c r="AY1045" s="1"/>
      <c r="AZ1045" s="1"/>
      <c r="BA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Q1045" s="1"/>
      <c r="BR1045" s="1"/>
      <c r="BS1045" s="1"/>
      <c r="BT1045" s="1"/>
      <c r="BU1045" s="1"/>
      <c r="BV1045" s="1"/>
      <c r="BW1045" s="1"/>
      <c r="BX1045" s="1"/>
      <c r="BY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D1045" s="1"/>
      <c r="GE1045" s="1"/>
      <c r="GF1045" s="1"/>
      <c r="GG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</row>
    <row r="1046" spans="3:222" x14ac:dyDescent="0.3">
      <c r="C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O1046" s="1"/>
      <c r="AP1046" s="1"/>
      <c r="AQ1046" s="1"/>
      <c r="AR1046" s="1"/>
      <c r="AS1046" s="1"/>
      <c r="AU1046" s="1"/>
      <c r="AV1046" s="1"/>
      <c r="AW1046" s="1"/>
      <c r="AX1046" s="1"/>
      <c r="AY1046" s="1"/>
      <c r="AZ1046" s="1"/>
      <c r="BA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Q1046" s="1"/>
      <c r="BR1046" s="1"/>
      <c r="BS1046" s="1"/>
      <c r="BT1046" s="1"/>
      <c r="BU1046" s="1"/>
      <c r="BV1046" s="1"/>
      <c r="BW1046" s="1"/>
      <c r="BX1046" s="1"/>
      <c r="BY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D1046" s="1"/>
      <c r="GE1046" s="1"/>
      <c r="GF1046" s="1"/>
      <c r="GG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</row>
    <row r="1047" spans="3:222" x14ac:dyDescent="0.3">
      <c r="C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O1047" s="1"/>
      <c r="AP1047" s="1"/>
      <c r="AQ1047" s="1"/>
      <c r="AR1047" s="1"/>
      <c r="AS1047" s="1"/>
      <c r="AU1047" s="1"/>
      <c r="AV1047" s="1"/>
      <c r="AW1047" s="1"/>
      <c r="AX1047" s="1"/>
      <c r="AY1047" s="1"/>
      <c r="AZ1047" s="1"/>
      <c r="BA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Q1047" s="1"/>
      <c r="BR1047" s="1"/>
      <c r="BS1047" s="1"/>
      <c r="BT1047" s="1"/>
      <c r="BU1047" s="1"/>
      <c r="BV1047" s="1"/>
      <c r="BW1047" s="1"/>
      <c r="BX1047" s="1"/>
      <c r="BY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D1047" s="1"/>
      <c r="GE1047" s="1"/>
      <c r="GF1047" s="1"/>
      <c r="GG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</row>
    <row r="1048" spans="3:222" x14ac:dyDescent="0.3">
      <c r="C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O1048" s="1"/>
      <c r="AP1048" s="1"/>
      <c r="AQ1048" s="1"/>
      <c r="AR1048" s="1"/>
      <c r="AS1048" s="1"/>
      <c r="AU1048" s="1"/>
      <c r="AV1048" s="1"/>
      <c r="AW1048" s="1"/>
      <c r="AX1048" s="1"/>
      <c r="AY1048" s="1"/>
      <c r="AZ1048" s="1"/>
      <c r="BA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Q1048" s="1"/>
      <c r="BR1048" s="1"/>
      <c r="BS1048" s="1"/>
      <c r="BT1048" s="1"/>
      <c r="BU1048" s="1"/>
      <c r="BV1048" s="1"/>
      <c r="BW1048" s="1"/>
      <c r="BX1048" s="1"/>
      <c r="BY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D1048" s="1"/>
      <c r="GE1048" s="1"/>
      <c r="GF1048" s="1"/>
      <c r="GG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</row>
    <row r="1049" spans="3:222" x14ac:dyDescent="0.3">
      <c r="C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O1049" s="1"/>
      <c r="AP1049" s="1"/>
      <c r="AQ1049" s="1"/>
      <c r="AR1049" s="1"/>
      <c r="AS1049" s="1"/>
      <c r="AU1049" s="1"/>
      <c r="AV1049" s="1"/>
      <c r="AW1049" s="1"/>
      <c r="AX1049" s="1"/>
      <c r="AY1049" s="1"/>
      <c r="AZ1049" s="1"/>
      <c r="BA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Q1049" s="1"/>
      <c r="BR1049" s="1"/>
      <c r="BS1049" s="1"/>
      <c r="BT1049" s="1"/>
      <c r="BU1049" s="1"/>
      <c r="BV1049" s="1"/>
      <c r="BW1049" s="1"/>
      <c r="BX1049" s="1"/>
      <c r="BY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D1049" s="1"/>
      <c r="GE1049" s="1"/>
      <c r="GF1049" s="1"/>
      <c r="GG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</row>
    <row r="1050" spans="3:222" x14ac:dyDescent="0.3">
      <c r="C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O1050" s="1"/>
      <c r="AP1050" s="1"/>
      <c r="AQ1050" s="1"/>
      <c r="AR1050" s="1"/>
      <c r="AS1050" s="1"/>
      <c r="AU1050" s="1"/>
      <c r="AV1050" s="1"/>
      <c r="AW1050" s="1"/>
      <c r="AX1050" s="1"/>
      <c r="AY1050" s="1"/>
      <c r="AZ1050" s="1"/>
      <c r="BA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Q1050" s="1"/>
      <c r="BR1050" s="1"/>
      <c r="BS1050" s="1"/>
      <c r="BT1050" s="1"/>
      <c r="BU1050" s="1"/>
      <c r="BV1050" s="1"/>
      <c r="BW1050" s="1"/>
      <c r="BX1050" s="1"/>
      <c r="BY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D1050" s="1"/>
      <c r="GE1050" s="1"/>
      <c r="GF1050" s="1"/>
      <c r="GG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</row>
    <row r="1051" spans="3:222" x14ac:dyDescent="0.3">
      <c r="C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O1051" s="1"/>
      <c r="AP1051" s="1"/>
      <c r="AQ1051" s="1"/>
      <c r="AR1051" s="1"/>
      <c r="AS1051" s="1"/>
      <c r="AU1051" s="1"/>
      <c r="AV1051" s="1"/>
      <c r="AW1051" s="1"/>
      <c r="AX1051" s="1"/>
      <c r="AY1051" s="1"/>
      <c r="AZ1051" s="1"/>
      <c r="BA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Q1051" s="1"/>
      <c r="BR1051" s="1"/>
      <c r="BS1051" s="1"/>
      <c r="BT1051" s="1"/>
      <c r="BU1051" s="1"/>
      <c r="BV1051" s="1"/>
      <c r="BW1051" s="1"/>
      <c r="BX1051" s="1"/>
      <c r="BY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D1051" s="1"/>
      <c r="GE1051" s="1"/>
      <c r="GF1051" s="1"/>
      <c r="GG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</row>
    <row r="1052" spans="3:222" x14ac:dyDescent="0.3">
      <c r="C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O1052" s="1"/>
      <c r="AP1052" s="1"/>
      <c r="AQ1052" s="1"/>
      <c r="AR1052" s="1"/>
      <c r="AS1052" s="1"/>
      <c r="AU1052" s="1"/>
      <c r="AV1052" s="1"/>
      <c r="AW1052" s="1"/>
      <c r="AX1052" s="1"/>
      <c r="AY1052" s="1"/>
      <c r="AZ1052" s="1"/>
      <c r="BA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Q1052" s="1"/>
      <c r="BR1052" s="1"/>
      <c r="BS1052" s="1"/>
      <c r="BT1052" s="1"/>
      <c r="BU1052" s="1"/>
      <c r="BV1052" s="1"/>
      <c r="BW1052" s="1"/>
      <c r="BX1052" s="1"/>
      <c r="BY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D1052" s="1"/>
      <c r="GE1052" s="1"/>
      <c r="GF1052" s="1"/>
      <c r="GG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</row>
    <row r="1053" spans="3:222" x14ac:dyDescent="0.3">
      <c r="C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O1053" s="1"/>
      <c r="AP1053" s="1"/>
      <c r="AQ1053" s="1"/>
      <c r="AR1053" s="1"/>
      <c r="AS1053" s="1"/>
      <c r="AU1053" s="1"/>
      <c r="AV1053" s="1"/>
      <c r="AW1053" s="1"/>
      <c r="AX1053" s="1"/>
      <c r="AY1053" s="1"/>
      <c r="AZ1053" s="1"/>
      <c r="BA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Q1053" s="1"/>
      <c r="BR1053" s="1"/>
      <c r="BS1053" s="1"/>
      <c r="BT1053" s="1"/>
      <c r="BU1053" s="1"/>
      <c r="BV1053" s="1"/>
      <c r="BW1053" s="1"/>
      <c r="BX1053" s="1"/>
      <c r="BY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D1053" s="1"/>
      <c r="GE1053" s="1"/>
      <c r="GF1053" s="1"/>
      <c r="GG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</row>
    <row r="1054" spans="3:222" x14ac:dyDescent="0.3">
      <c r="C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O1054" s="1"/>
      <c r="AP1054" s="1"/>
      <c r="AQ1054" s="1"/>
      <c r="AR1054" s="1"/>
      <c r="AS1054" s="1"/>
      <c r="AU1054" s="1"/>
      <c r="AV1054" s="1"/>
      <c r="AW1054" s="1"/>
      <c r="AX1054" s="1"/>
      <c r="AY1054" s="1"/>
      <c r="AZ1054" s="1"/>
      <c r="BA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Q1054" s="1"/>
      <c r="BR1054" s="1"/>
      <c r="BS1054" s="1"/>
      <c r="BT1054" s="1"/>
      <c r="BU1054" s="1"/>
      <c r="BV1054" s="1"/>
      <c r="BW1054" s="1"/>
      <c r="BX1054" s="1"/>
      <c r="BY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D1054" s="1"/>
      <c r="GE1054" s="1"/>
      <c r="GF1054" s="1"/>
      <c r="GG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</row>
    <row r="1055" spans="3:222" x14ac:dyDescent="0.3">
      <c r="C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O1055" s="1"/>
      <c r="AP1055" s="1"/>
      <c r="AQ1055" s="1"/>
      <c r="AR1055" s="1"/>
      <c r="AS1055" s="1"/>
      <c r="AU1055" s="1"/>
      <c r="AV1055" s="1"/>
      <c r="AW1055" s="1"/>
      <c r="AX1055" s="1"/>
      <c r="AY1055" s="1"/>
      <c r="AZ1055" s="1"/>
      <c r="BA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Q1055" s="1"/>
      <c r="BR1055" s="1"/>
      <c r="BS1055" s="1"/>
      <c r="BT1055" s="1"/>
      <c r="BU1055" s="1"/>
      <c r="BV1055" s="1"/>
      <c r="BW1055" s="1"/>
      <c r="BX1055" s="1"/>
      <c r="BY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D1055" s="1"/>
      <c r="GE1055" s="1"/>
      <c r="GF1055" s="1"/>
      <c r="GG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</row>
    <row r="1056" spans="3:222" x14ac:dyDescent="0.3">
      <c r="C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O1056" s="1"/>
      <c r="AP1056" s="1"/>
      <c r="AQ1056" s="1"/>
      <c r="AR1056" s="1"/>
      <c r="AS1056" s="1"/>
      <c r="AU1056" s="1"/>
      <c r="AV1056" s="1"/>
      <c r="AW1056" s="1"/>
      <c r="AX1056" s="1"/>
      <c r="AY1056" s="1"/>
      <c r="AZ1056" s="1"/>
      <c r="BA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Q1056" s="1"/>
      <c r="BR1056" s="1"/>
      <c r="BS1056" s="1"/>
      <c r="BT1056" s="1"/>
      <c r="BU1056" s="1"/>
      <c r="BV1056" s="1"/>
      <c r="BW1056" s="1"/>
      <c r="BX1056" s="1"/>
      <c r="BY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D1056" s="1"/>
      <c r="GE1056" s="1"/>
      <c r="GF1056" s="1"/>
      <c r="GG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</row>
    <row r="1057" spans="3:222" x14ac:dyDescent="0.3">
      <c r="C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O1057" s="1"/>
      <c r="AP1057" s="1"/>
      <c r="AQ1057" s="1"/>
      <c r="AR1057" s="1"/>
      <c r="AS1057" s="1"/>
      <c r="AU1057" s="1"/>
      <c r="AV1057" s="1"/>
      <c r="AW1057" s="1"/>
      <c r="AX1057" s="1"/>
      <c r="AY1057" s="1"/>
      <c r="AZ1057" s="1"/>
      <c r="BA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Q1057" s="1"/>
      <c r="BR1057" s="1"/>
      <c r="BS1057" s="1"/>
      <c r="BT1057" s="1"/>
      <c r="BU1057" s="1"/>
      <c r="BV1057" s="1"/>
      <c r="BW1057" s="1"/>
      <c r="BX1057" s="1"/>
      <c r="BY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D1057" s="1"/>
      <c r="GE1057" s="1"/>
      <c r="GF1057" s="1"/>
      <c r="GG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</row>
    <row r="1058" spans="3:222" x14ac:dyDescent="0.3">
      <c r="C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O1058" s="1"/>
      <c r="AP1058" s="1"/>
      <c r="AQ1058" s="1"/>
      <c r="AR1058" s="1"/>
      <c r="AS1058" s="1"/>
      <c r="AU1058" s="1"/>
      <c r="AV1058" s="1"/>
      <c r="AW1058" s="1"/>
      <c r="AX1058" s="1"/>
      <c r="AY1058" s="1"/>
      <c r="AZ1058" s="1"/>
      <c r="BA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Q1058" s="1"/>
      <c r="BR1058" s="1"/>
      <c r="BS1058" s="1"/>
      <c r="BT1058" s="1"/>
      <c r="BU1058" s="1"/>
      <c r="BV1058" s="1"/>
      <c r="BW1058" s="1"/>
      <c r="BX1058" s="1"/>
      <c r="BY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D1058" s="1"/>
      <c r="GE1058" s="1"/>
      <c r="GF1058" s="1"/>
      <c r="GG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</row>
    <row r="1059" spans="3:222" x14ac:dyDescent="0.3">
      <c r="C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O1059" s="1"/>
      <c r="AP1059" s="1"/>
      <c r="AQ1059" s="1"/>
      <c r="AR1059" s="1"/>
      <c r="AS1059" s="1"/>
      <c r="AU1059" s="1"/>
      <c r="AV1059" s="1"/>
      <c r="AW1059" s="1"/>
      <c r="AX1059" s="1"/>
      <c r="AY1059" s="1"/>
      <c r="AZ1059" s="1"/>
      <c r="BA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Q1059" s="1"/>
      <c r="BR1059" s="1"/>
      <c r="BS1059" s="1"/>
      <c r="BT1059" s="1"/>
      <c r="BU1059" s="1"/>
      <c r="BV1059" s="1"/>
      <c r="BW1059" s="1"/>
      <c r="BX1059" s="1"/>
      <c r="BY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D1059" s="1"/>
      <c r="GE1059" s="1"/>
      <c r="GF1059" s="1"/>
      <c r="GG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</row>
    <row r="1060" spans="3:222" x14ac:dyDescent="0.3">
      <c r="C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O1060" s="1"/>
      <c r="AP1060" s="1"/>
      <c r="AQ1060" s="1"/>
      <c r="AR1060" s="1"/>
      <c r="AS1060" s="1"/>
      <c r="AU1060" s="1"/>
      <c r="AV1060" s="1"/>
      <c r="AW1060" s="1"/>
      <c r="AX1060" s="1"/>
      <c r="AY1060" s="1"/>
      <c r="AZ1060" s="1"/>
      <c r="BA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Q1060" s="1"/>
      <c r="BR1060" s="1"/>
      <c r="BS1060" s="1"/>
      <c r="BT1060" s="1"/>
      <c r="BU1060" s="1"/>
      <c r="BV1060" s="1"/>
      <c r="BW1060" s="1"/>
      <c r="BX1060" s="1"/>
      <c r="BY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D1060" s="1"/>
      <c r="GE1060" s="1"/>
      <c r="GF1060" s="1"/>
      <c r="GG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</row>
    <row r="1061" spans="3:222" x14ac:dyDescent="0.3">
      <c r="C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O1061" s="1"/>
      <c r="AP1061" s="1"/>
      <c r="AQ1061" s="1"/>
      <c r="AR1061" s="1"/>
      <c r="AS1061" s="1"/>
      <c r="AU1061" s="1"/>
      <c r="AV1061" s="1"/>
      <c r="AW1061" s="1"/>
      <c r="AX1061" s="1"/>
      <c r="AY1061" s="1"/>
      <c r="AZ1061" s="1"/>
      <c r="BA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Q1061" s="1"/>
      <c r="BR1061" s="1"/>
      <c r="BS1061" s="1"/>
      <c r="BT1061" s="1"/>
      <c r="BU1061" s="1"/>
      <c r="BV1061" s="1"/>
      <c r="BW1061" s="1"/>
      <c r="BX1061" s="1"/>
      <c r="BY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D1061" s="1"/>
      <c r="GE1061" s="1"/>
      <c r="GF1061" s="1"/>
      <c r="GG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</row>
    <row r="1062" spans="3:222" x14ac:dyDescent="0.3">
      <c r="C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O1062" s="1"/>
      <c r="AP1062" s="1"/>
      <c r="AQ1062" s="1"/>
      <c r="AR1062" s="1"/>
      <c r="AS1062" s="1"/>
      <c r="AU1062" s="1"/>
      <c r="AV1062" s="1"/>
      <c r="AW1062" s="1"/>
      <c r="AX1062" s="1"/>
      <c r="AY1062" s="1"/>
      <c r="AZ1062" s="1"/>
      <c r="BA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Q1062" s="1"/>
      <c r="BR1062" s="1"/>
      <c r="BS1062" s="1"/>
      <c r="BT1062" s="1"/>
      <c r="BU1062" s="1"/>
      <c r="BV1062" s="1"/>
      <c r="BW1062" s="1"/>
      <c r="BX1062" s="1"/>
      <c r="BY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D1062" s="1"/>
      <c r="GE1062" s="1"/>
      <c r="GF1062" s="1"/>
      <c r="GG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</row>
    <row r="1063" spans="3:222" x14ac:dyDescent="0.3">
      <c r="C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O1063" s="1"/>
      <c r="AP1063" s="1"/>
      <c r="AQ1063" s="1"/>
      <c r="AR1063" s="1"/>
      <c r="AS1063" s="1"/>
      <c r="AU1063" s="1"/>
      <c r="AV1063" s="1"/>
      <c r="AW1063" s="1"/>
      <c r="AX1063" s="1"/>
      <c r="AY1063" s="1"/>
      <c r="AZ1063" s="1"/>
      <c r="BA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Q1063" s="1"/>
      <c r="BR1063" s="1"/>
      <c r="BS1063" s="1"/>
      <c r="BT1063" s="1"/>
      <c r="BU1063" s="1"/>
      <c r="BV1063" s="1"/>
      <c r="BW1063" s="1"/>
      <c r="BX1063" s="1"/>
      <c r="BY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D1063" s="1"/>
      <c r="GE1063" s="1"/>
      <c r="GF1063" s="1"/>
      <c r="GG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</row>
    <row r="1064" spans="3:222" x14ac:dyDescent="0.3">
      <c r="C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O1064" s="1"/>
      <c r="AP1064" s="1"/>
      <c r="AQ1064" s="1"/>
      <c r="AR1064" s="1"/>
      <c r="AS1064" s="1"/>
      <c r="AU1064" s="1"/>
      <c r="AV1064" s="1"/>
      <c r="AW1064" s="1"/>
      <c r="AX1064" s="1"/>
      <c r="AY1064" s="1"/>
      <c r="AZ1064" s="1"/>
      <c r="BA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Q1064" s="1"/>
      <c r="BR1064" s="1"/>
      <c r="BS1064" s="1"/>
      <c r="BT1064" s="1"/>
      <c r="BU1064" s="1"/>
      <c r="BV1064" s="1"/>
      <c r="BW1064" s="1"/>
      <c r="BX1064" s="1"/>
      <c r="BY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D1064" s="1"/>
      <c r="GE1064" s="1"/>
      <c r="GF1064" s="1"/>
      <c r="GG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</row>
    <row r="1065" spans="3:222" x14ac:dyDescent="0.3">
      <c r="C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O1065" s="1"/>
      <c r="AP1065" s="1"/>
      <c r="AQ1065" s="1"/>
      <c r="AR1065" s="1"/>
      <c r="AS1065" s="1"/>
      <c r="AU1065" s="1"/>
      <c r="AV1065" s="1"/>
      <c r="AW1065" s="1"/>
      <c r="AX1065" s="1"/>
      <c r="AY1065" s="1"/>
      <c r="AZ1065" s="1"/>
      <c r="BA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Q1065" s="1"/>
      <c r="BR1065" s="1"/>
      <c r="BS1065" s="1"/>
      <c r="BT1065" s="1"/>
      <c r="BU1065" s="1"/>
      <c r="BV1065" s="1"/>
      <c r="BW1065" s="1"/>
      <c r="BX1065" s="1"/>
      <c r="BY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D1065" s="1"/>
      <c r="GE1065" s="1"/>
      <c r="GF1065" s="1"/>
      <c r="GG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</row>
    <row r="1066" spans="3:222" x14ac:dyDescent="0.3">
      <c r="C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O1066" s="1"/>
      <c r="AP1066" s="1"/>
      <c r="AQ1066" s="1"/>
      <c r="AR1066" s="1"/>
      <c r="AS1066" s="1"/>
      <c r="AU1066" s="1"/>
      <c r="AV1066" s="1"/>
      <c r="AW1066" s="1"/>
      <c r="AX1066" s="1"/>
      <c r="AY1066" s="1"/>
      <c r="AZ1066" s="1"/>
      <c r="BA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Q1066" s="1"/>
      <c r="BR1066" s="1"/>
      <c r="BS1066" s="1"/>
      <c r="BT1066" s="1"/>
      <c r="BU1066" s="1"/>
      <c r="BV1066" s="1"/>
      <c r="BW1066" s="1"/>
      <c r="BX1066" s="1"/>
      <c r="BY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D1066" s="1"/>
      <c r="GE1066" s="1"/>
      <c r="GF1066" s="1"/>
      <c r="GG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</row>
    <row r="1067" spans="3:222" x14ac:dyDescent="0.3">
      <c r="C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O1067" s="1"/>
      <c r="AP1067" s="1"/>
      <c r="AQ1067" s="1"/>
      <c r="AR1067" s="1"/>
      <c r="AS1067" s="1"/>
      <c r="AU1067" s="1"/>
      <c r="AV1067" s="1"/>
      <c r="AW1067" s="1"/>
      <c r="AX1067" s="1"/>
      <c r="AY1067" s="1"/>
      <c r="AZ1067" s="1"/>
      <c r="BA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Q1067" s="1"/>
      <c r="BR1067" s="1"/>
      <c r="BS1067" s="1"/>
      <c r="BT1067" s="1"/>
      <c r="BU1067" s="1"/>
      <c r="BV1067" s="1"/>
      <c r="BW1067" s="1"/>
      <c r="BX1067" s="1"/>
      <c r="BY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D1067" s="1"/>
      <c r="GE1067" s="1"/>
      <c r="GF1067" s="1"/>
      <c r="GG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</row>
    <row r="1068" spans="3:222" x14ac:dyDescent="0.3">
      <c r="C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O1068" s="1"/>
      <c r="AP1068" s="1"/>
      <c r="AQ1068" s="1"/>
      <c r="AR1068" s="1"/>
      <c r="AS1068" s="1"/>
      <c r="AU1068" s="1"/>
      <c r="AV1068" s="1"/>
      <c r="AW1068" s="1"/>
      <c r="AX1068" s="1"/>
      <c r="AY1068" s="1"/>
      <c r="AZ1068" s="1"/>
      <c r="BA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Q1068" s="1"/>
      <c r="BR1068" s="1"/>
      <c r="BS1068" s="1"/>
      <c r="BT1068" s="1"/>
      <c r="BU1068" s="1"/>
      <c r="BV1068" s="1"/>
      <c r="BW1068" s="1"/>
      <c r="BX1068" s="1"/>
      <c r="BY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D1068" s="1"/>
      <c r="GE1068" s="1"/>
      <c r="GF1068" s="1"/>
      <c r="GG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</row>
    <row r="1069" spans="3:222" x14ac:dyDescent="0.3">
      <c r="C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O1069" s="1"/>
      <c r="AP1069" s="1"/>
      <c r="AQ1069" s="1"/>
      <c r="AR1069" s="1"/>
      <c r="AS1069" s="1"/>
      <c r="AU1069" s="1"/>
      <c r="AV1069" s="1"/>
      <c r="AW1069" s="1"/>
      <c r="AX1069" s="1"/>
      <c r="AY1069" s="1"/>
      <c r="AZ1069" s="1"/>
      <c r="BA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Q1069" s="1"/>
      <c r="BR1069" s="1"/>
      <c r="BS1069" s="1"/>
      <c r="BT1069" s="1"/>
      <c r="BU1069" s="1"/>
      <c r="BV1069" s="1"/>
      <c r="BW1069" s="1"/>
      <c r="BX1069" s="1"/>
      <c r="BY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D1069" s="1"/>
      <c r="GE1069" s="1"/>
      <c r="GF1069" s="1"/>
      <c r="GG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</row>
    <row r="1070" spans="3:222" x14ac:dyDescent="0.3">
      <c r="C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O1070" s="1"/>
      <c r="AP1070" s="1"/>
      <c r="AQ1070" s="1"/>
      <c r="AR1070" s="1"/>
      <c r="AS1070" s="1"/>
      <c r="AU1070" s="1"/>
      <c r="AV1070" s="1"/>
      <c r="AW1070" s="1"/>
      <c r="AX1070" s="1"/>
      <c r="AY1070" s="1"/>
      <c r="AZ1070" s="1"/>
      <c r="BA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Q1070" s="1"/>
      <c r="BR1070" s="1"/>
      <c r="BS1070" s="1"/>
      <c r="BT1070" s="1"/>
      <c r="BU1070" s="1"/>
      <c r="BV1070" s="1"/>
      <c r="BW1070" s="1"/>
      <c r="BX1070" s="1"/>
      <c r="BY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D1070" s="1"/>
      <c r="GE1070" s="1"/>
      <c r="GF1070" s="1"/>
      <c r="GG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</row>
    <row r="1071" spans="3:222" x14ac:dyDescent="0.3">
      <c r="C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O1071" s="1"/>
      <c r="AP1071" s="1"/>
      <c r="AQ1071" s="1"/>
      <c r="AR1071" s="1"/>
      <c r="AS1071" s="1"/>
      <c r="AU1071" s="1"/>
      <c r="AV1071" s="1"/>
      <c r="AW1071" s="1"/>
      <c r="AX1071" s="1"/>
      <c r="AY1071" s="1"/>
      <c r="AZ1071" s="1"/>
      <c r="BA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Q1071" s="1"/>
      <c r="BR1071" s="1"/>
      <c r="BS1071" s="1"/>
      <c r="BT1071" s="1"/>
      <c r="BU1071" s="1"/>
      <c r="BV1071" s="1"/>
      <c r="BW1071" s="1"/>
      <c r="BX1071" s="1"/>
      <c r="BY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D1071" s="1"/>
      <c r="GE1071" s="1"/>
      <c r="GF1071" s="1"/>
      <c r="GG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</row>
    <row r="1072" spans="3:222" x14ac:dyDescent="0.3">
      <c r="C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O1072" s="1"/>
      <c r="AP1072" s="1"/>
      <c r="AQ1072" s="1"/>
      <c r="AR1072" s="1"/>
      <c r="AS1072" s="1"/>
      <c r="AU1072" s="1"/>
      <c r="AV1072" s="1"/>
      <c r="AW1072" s="1"/>
      <c r="AX1072" s="1"/>
      <c r="AY1072" s="1"/>
      <c r="AZ1072" s="1"/>
      <c r="BA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Q1072" s="1"/>
      <c r="BR1072" s="1"/>
      <c r="BS1072" s="1"/>
      <c r="BT1072" s="1"/>
      <c r="BU1072" s="1"/>
      <c r="BV1072" s="1"/>
      <c r="BW1072" s="1"/>
      <c r="BX1072" s="1"/>
      <c r="BY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D1072" s="1"/>
      <c r="GE1072" s="1"/>
      <c r="GF1072" s="1"/>
      <c r="GG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</row>
    <row r="1073" spans="3:222" x14ac:dyDescent="0.3">
      <c r="C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O1073" s="1"/>
      <c r="AP1073" s="1"/>
      <c r="AQ1073" s="1"/>
      <c r="AR1073" s="1"/>
      <c r="AS1073" s="1"/>
      <c r="AU1073" s="1"/>
      <c r="AV1073" s="1"/>
      <c r="AW1073" s="1"/>
      <c r="AX1073" s="1"/>
      <c r="AY1073" s="1"/>
      <c r="AZ1073" s="1"/>
      <c r="BA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Q1073" s="1"/>
      <c r="BR1073" s="1"/>
      <c r="BS1073" s="1"/>
      <c r="BT1073" s="1"/>
      <c r="BU1073" s="1"/>
      <c r="BV1073" s="1"/>
      <c r="BW1073" s="1"/>
      <c r="BX1073" s="1"/>
      <c r="BY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D1073" s="1"/>
      <c r="GE1073" s="1"/>
      <c r="GF1073" s="1"/>
      <c r="GG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</row>
    <row r="1074" spans="3:222" x14ac:dyDescent="0.3">
      <c r="C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O1074" s="1"/>
      <c r="AP1074" s="1"/>
      <c r="AQ1074" s="1"/>
      <c r="AR1074" s="1"/>
      <c r="AS1074" s="1"/>
      <c r="AU1074" s="1"/>
      <c r="AV1074" s="1"/>
      <c r="AW1074" s="1"/>
      <c r="AX1074" s="1"/>
      <c r="AY1074" s="1"/>
      <c r="AZ1074" s="1"/>
      <c r="BA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Q1074" s="1"/>
      <c r="BR1074" s="1"/>
      <c r="BS1074" s="1"/>
      <c r="BT1074" s="1"/>
      <c r="BU1074" s="1"/>
      <c r="BV1074" s="1"/>
      <c r="BW1074" s="1"/>
      <c r="BX1074" s="1"/>
      <c r="BY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D1074" s="1"/>
      <c r="GE1074" s="1"/>
      <c r="GF1074" s="1"/>
      <c r="GG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</row>
    <row r="1075" spans="3:222" x14ac:dyDescent="0.3">
      <c r="C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O1075" s="1"/>
      <c r="AP1075" s="1"/>
      <c r="AQ1075" s="1"/>
      <c r="AR1075" s="1"/>
      <c r="AS1075" s="1"/>
      <c r="AU1075" s="1"/>
      <c r="AV1075" s="1"/>
      <c r="AW1075" s="1"/>
      <c r="AX1075" s="1"/>
      <c r="AY1075" s="1"/>
      <c r="AZ1075" s="1"/>
      <c r="BA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Q1075" s="1"/>
      <c r="BR1075" s="1"/>
      <c r="BS1075" s="1"/>
      <c r="BT1075" s="1"/>
      <c r="BU1075" s="1"/>
      <c r="BV1075" s="1"/>
      <c r="BW1075" s="1"/>
      <c r="BX1075" s="1"/>
      <c r="BY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D1075" s="1"/>
      <c r="GE1075" s="1"/>
      <c r="GF1075" s="1"/>
      <c r="GG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</row>
    <row r="1076" spans="3:222" x14ac:dyDescent="0.3">
      <c r="C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O1076" s="1"/>
      <c r="AP1076" s="1"/>
      <c r="AQ1076" s="1"/>
      <c r="AR1076" s="1"/>
      <c r="AS1076" s="1"/>
      <c r="AU1076" s="1"/>
      <c r="AV1076" s="1"/>
      <c r="AW1076" s="1"/>
      <c r="AX1076" s="1"/>
      <c r="AY1076" s="1"/>
      <c r="AZ1076" s="1"/>
      <c r="BA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Q1076" s="1"/>
      <c r="BR1076" s="1"/>
      <c r="BS1076" s="1"/>
      <c r="BT1076" s="1"/>
      <c r="BU1076" s="1"/>
      <c r="BV1076" s="1"/>
      <c r="BW1076" s="1"/>
      <c r="BX1076" s="1"/>
      <c r="BY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D1076" s="1"/>
      <c r="GE1076" s="1"/>
      <c r="GF1076" s="1"/>
      <c r="GG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</row>
    <row r="1077" spans="3:222" x14ac:dyDescent="0.3">
      <c r="C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O1077" s="1"/>
      <c r="AP1077" s="1"/>
      <c r="AQ1077" s="1"/>
      <c r="AR1077" s="1"/>
      <c r="AS1077" s="1"/>
      <c r="AU1077" s="1"/>
      <c r="AV1077" s="1"/>
      <c r="AW1077" s="1"/>
      <c r="AX1077" s="1"/>
      <c r="AY1077" s="1"/>
      <c r="AZ1077" s="1"/>
      <c r="BA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Q1077" s="1"/>
      <c r="BR1077" s="1"/>
      <c r="BS1077" s="1"/>
      <c r="BT1077" s="1"/>
      <c r="BU1077" s="1"/>
      <c r="BV1077" s="1"/>
      <c r="BW1077" s="1"/>
      <c r="BX1077" s="1"/>
      <c r="BY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D1077" s="1"/>
      <c r="GE1077" s="1"/>
      <c r="GF1077" s="1"/>
      <c r="GG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</row>
    <row r="1078" spans="3:222" x14ac:dyDescent="0.3">
      <c r="C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O1078" s="1"/>
      <c r="AP1078" s="1"/>
      <c r="AQ1078" s="1"/>
      <c r="AR1078" s="1"/>
      <c r="AS1078" s="1"/>
      <c r="AU1078" s="1"/>
      <c r="AV1078" s="1"/>
      <c r="AW1078" s="1"/>
      <c r="AX1078" s="1"/>
      <c r="AY1078" s="1"/>
      <c r="AZ1078" s="1"/>
      <c r="BA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Q1078" s="1"/>
      <c r="BR1078" s="1"/>
      <c r="BS1078" s="1"/>
      <c r="BT1078" s="1"/>
      <c r="BU1078" s="1"/>
      <c r="BV1078" s="1"/>
      <c r="BW1078" s="1"/>
      <c r="BX1078" s="1"/>
      <c r="BY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D1078" s="1"/>
      <c r="GE1078" s="1"/>
      <c r="GF1078" s="1"/>
      <c r="GG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</row>
    <row r="1079" spans="3:222" x14ac:dyDescent="0.3">
      <c r="C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O1079" s="1"/>
      <c r="AP1079" s="1"/>
      <c r="AQ1079" s="1"/>
      <c r="AR1079" s="1"/>
      <c r="AS1079" s="1"/>
      <c r="AU1079" s="1"/>
      <c r="AV1079" s="1"/>
      <c r="AW1079" s="1"/>
      <c r="AX1079" s="1"/>
      <c r="AY1079" s="1"/>
      <c r="AZ1079" s="1"/>
      <c r="BA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Q1079" s="1"/>
      <c r="BR1079" s="1"/>
      <c r="BS1079" s="1"/>
      <c r="BT1079" s="1"/>
      <c r="BU1079" s="1"/>
      <c r="BV1079" s="1"/>
      <c r="BW1079" s="1"/>
      <c r="BX1079" s="1"/>
      <c r="BY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D1079" s="1"/>
      <c r="GE1079" s="1"/>
      <c r="GF1079" s="1"/>
      <c r="GG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</row>
    <row r="1080" spans="3:222" x14ac:dyDescent="0.3">
      <c r="C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O1080" s="1"/>
      <c r="AP1080" s="1"/>
      <c r="AQ1080" s="1"/>
      <c r="AR1080" s="1"/>
      <c r="AS1080" s="1"/>
      <c r="AU1080" s="1"/>
      <c r="AV1080" s="1"/>
      <c r="AW1080" s="1"/>
      <c r="AX1080" s="1"/>
      <c r="AY1080" s="1"/>
      <c r="AZ1080" s="1"/>
      <c r="BA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Q1080" s="1"/>
      <c r="BR1080" s="1"/>
      <c r="BS1080" s="1"/>
      <c r="BT1080" s="1"/>
      <c r="BU1080" s="1"/>
      <c r="BV1080" s="1"/>
      <c r="BW1080" s="1"/>
      <c r="BX1080" s="1"/>
      <c r="BY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D1080" s="1"/>
      <c r="GE1080" s="1"/>
      <c r="GF1080" s="1"/>
      <c r="GG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</row>
    <row r="1081" spans="3:222" x14ac:dyDescent="0.3">
      <c r="C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O1081" s="1"/>
      <c r="AP1081" s="1"/>
      <c r="AQ1081" s="1"/>
      <c r="AR1081" s="1"/>
      <c r="AS1081" s="1"/>
      <c r="AU1081" s="1"/>
      <c r="AV1081" s="1"/>
      <c r="AW1081" s="1"/>
      <c r="AX1081" s="1"/>
      <c r="AY1081" s="1"/>
      <c r="AZ1081" s="1"/>
      <c r="BA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Q1081" s="1"/>
      <c r="BR1081" s="1"/>
      <c r="BS1081" s="1"/>
      <c r="BT1081" s="1"/>
      <c r="BU1081" s="1"/>
      <c r="BV1081" s="1"/>
      <c r="BW1081" s="1"/>
      <c r="BX1081" s="1"/>
      <c r="BY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D1081" s="1"/>
      <c r="GE1081" s="1"/>
      <c r="GF1081" s="1"/>
      <c r="GG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</row>
    <row r="1082" spans="3:222" x14ac:dyDescent="0.3">
      <c r="C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O1082" s="1"/>
      <c r="AP1082" s="1"/>
      <c r="AQ1082" s="1"/>
      <c r="AR1082" s="1"/>
      <c r="AS1082" s="1"/>
      <c r="AU1082" s="1"/>
      <c r="AV1082" s="1"/>
      <c r="AW1082" s="1"/>
      <c r="AX1082" s="1"/>
      <c r="AY1082" s="1"/>
      <c r="AZ1082" s="1"/>
      <c r="BA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Q1082" s="1"/>
      <c r="BR1082" s="1"/>
      <c r="BS1082" s="1"/>
      <c r="BT1082" s="1"/>
      <c r="BU1082" s="1"/>
      <c r="BV1082" s="1"/>
      <c r="BW1082" s="1"/>
      <c r="BX1082" s="1"/>
      <c r="BY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D1082" s="1"/>
      <c r="GE1082" s="1"/>
      <c r="GF1082" s="1"/>
      <c r="GG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</row>
    <row r="1083" spans="3:222" x14ac:dyDescent="0.3">
      <c r="C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O1083" s="1"/>
      <c r="AP1083" s="1"/>
      <c r="AQ1083" s="1"/>
      <c r="AR1083" s="1"/>
      <c r="AS1083" s="1"/>
      <c r="AU1083" s="1"/>
      <c r="AV1083" s="1"/>
      <c r="AW1083" s="1"/>
      <c r="AX1083" s="1"/>
      <c r="AY1083" s="1"/>
      <c r="AZ1083" s="1"/>
      <c r="BA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Q1083" s="1"/>
      <c r="BR1083" s="1"/>
      <c r="BS1083" s="1"/>
      <c r="BT1083" s="1"/>
      <c r="BU1083" s="1"/>
      <c r="BV1083" s="1"/>
      <c r="BW1083" s="1"/>
      <c r="BX1083" s="1"/>
      <c r="BY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D1083" s="1"/>
      <c r="GE1083" s="1"/>
      <c r="GF1083" s="1"/>
      <c r="GG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</row>
    <row r="1084" spans="3:222" x14ac:dyDescent="0.3">
      <c r="C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O1084" s="1"/>
      <c r="AP1084" s="1"/>
      <c r="AQ1084" s="1"/>
      <c r="AR1084" s="1"/>
      <c r="AS1084" s="1"/>
      <c r="AU1084" s="1"/>
      <c r="AV1084" s="1"/>
      <c r="AW1084" s="1"/>
      <c r="AX1084" s="1"/>
      <c r="AY1084" s="1"/>
      <c r="AZ1084" s="1"/>
      <c r="BA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Q1084" s="1"/>
      <c r="BR1084" s="1"/>
      <c r="BS1084" s="1"/>
      <c r="BT1084" s="1"/>
      <c r="BU1084" s="1"/>
      <c r="BV1084" s="1"/>
      <c r="BW1084" s="1"/>
      <c r="BX1084" s="1"/>
      <c r="BY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D1084" s="1"/>
      <c r="GE1084" s="1"/>
      <c r="GF1084" s="1"/>
      <c r="GG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</row>
    <row r="1085" spans="3:222" x14ac:dyDescent="0.3">
      <c r="C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O1085" s="1"/>
      <c r="AP1085" s="1"/>
      <c r="AQ1085" s="1"/>
      <c r="AR1085" s="1"/>
      <c r="AS1085" s="1"/>
      <c r="AU1085" s="1"/>
      <c r="AV1085" s="1"/>
      <c r="AW1085" s="1"/>
      <c r="AX1085" s="1"/>
      <c r="AY1085" s="1"/>
      <c r="AZ1085" s="1"/>
      <c r="BA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Q1085" s="1"/>
      <c r="BR1085" s="1"/>
      <c r="BS1085" s="1"/>
      <c r="BT1085" s="1"/>
      <c r="BU1085" s="1"/>
      <c r="BV1085" s="1"/>
      <c r="BW1085" s="1"/>
      <c r="BX1085" s="1"/>
      <c r="BY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D1085" s="1"/>
      <c r="GE1085" s="1"/>
      <c r="GF1085" s="1"/>
      <c r="GG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</row>
    <row r="1086" spans="3:222" x14ac:dyDescent="0.3">
      <c r="C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O1086" s="1"/>
      <c r="AP1086" s="1"/>
      <c r="AQ1086" s="1"/>
      <c r="AR1086" s="1"/>
      <c r="AS1086" s="1"/>
      <c r="AU1086" s="1"/>
      <c r="AV1086" s="1"/>
      <c r="AW1086" s="1"/>
      <c r="AX1086" s="1"/>
      <c r="AY1086" s="1"/>
      <c r="AZ1086" s="1"/>
      <c r="BA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Q1086" s="1"/>
      <c r="BR1086" s="1"/>
      <c r="BS1086" s="1"/>
      <c r="BT1086" s="1"/>
      <c r="BU1086" s="1"/>
      <c r="BV1086" s="1"/>
      <c r="BW1086" s="1"/>
      <c r="BX1086" s="1"/>
      <c r="BY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D1086" s="1"/>
      <c r="GE1086" s="1"/>
      <c r="GF1086" s="1"/>
      <c r="GG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</row>
    <row r="1087" spans="3:222" x14ac:dyDescent="0.3">
      <c r="C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O1087" s="1"/>
      <c r="AP1087" s="1"/>
      <c r="AQ1087" s="1"/>
      <c r="AR1087" s="1"/>
      <c r="AS1087" s="1"/>
      <c r="AU1087" s="1"/>
      <c r="AV1087" s="1"/>
      <c r="AW1087" s="1"/>
      <c r="AX1087" s="1"/>
      <c r="AY1087" s="1"/>
      <c r="AZ1087" s="1"/>
      <c r="BA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Q1087" s="1"/>
      <c r="BR1087" s="1"/>
      <c r="BS1087" s="1"/>
      <c r="BT1087" s="1"/>
      <c r="BU1087" s="1"/>
      <c r="BV1087" s="1"/>
      <c r="BW1087" s="1"/>
      <c r="BX1087" s="1"/>
      <c r="BY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D1087" s="1"/>
      <c r="GE1087" s="1"/>
      <c r="GF1087" s="1"/>
      <c r="GG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</row>
    <row r="1088" spans="3:222" x14ac:dyDescent="0.3">
      <c r="C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O1088" s="1"/>
      <c r="AP1088" s="1"/>
      <c r="AQ1088" s="1"/>
      <c r="AR1088" s="1"/>
      <c r="AS1088" s="1"/>
      <c r="AU1088" s="1"/>
      <c r="AV1088" s="1"/>
      <c r="AW1088" s="1"/>
      <c r="AX1088" s="1"/>
      <c r="AY1088" s="1"/>
      <c r="AZ1088" s="1"/>
      <c r="BA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Q1088" s="1"/>
      <c r="BR1088" s="1"/>
      <c r="BS1088" s="1"/>
      <c r="BT1088" s="1"/>
      <c r="BU1088" s="1"/>
      <c r="BV1088" s="1"/>
      <c r="BW1088" s="1"/>
      <c r="BX1088" s="1"/>
      <c r="BY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D1088" s="1"/>
      <c r="GE1088" s="1"/>
      <c r="GF1088" s="1"/>
      <c r="GG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</row>
    <row r="1089" spans="3:222" x14ac:dyDescent="0.3">
      <c r="C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O1089" s="1"/>
      <c r="AP1089" s="1"/>
      <c r="AQ1089" s="1"/>
      <c r="AR1089" s="1"/>
      <c r="AS1089" s="1"/>
      <c r="AU1089" s="1"/>
      <c r="AV1089" s="1"/>
      <c r="AW1089" s="1"/>
      <c r="AX1089" s="1"/>
      <c r="AY1089" s="1"/>
      <c r="AZ1089" s="1"/>
      <c r="BA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Q1089" s="1"/>
      <c r="BR1089" s="1"/>
      <c r="BS1089" s="1"/>
      <c r="BT1089" s="1"/>
      <c r="BU1089" s="1"/>
      <c r="BV1089" s="1"/>
      <c r="BW1089" s="1"/>
      <c r="BX1089" s="1"/>
      <c r="BY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D1089" s="1"/>
      <c r="GE1089" s="1"/>
      <c r="GF1089" s="1"/>
      <c r="GG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</row>
    <row r="1090" spans="3:222" x14ac:dyDescent="0.3">
      <c r="C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O1090" s="1"/>
      <c r="AP1090" s="1"/>
      <c r="AQ1090" s="1"/>
      <c r="AR1090" s="1"/>
      <c r="AS1090" s="1"/>
      <c r="AU1090" s="1"/>
      <c r="AV1090" s="1"/>
      <c r="AW1090" s="1"/>
      <c r="AX1090" s="1"/>
      <c r="AY1090" s="1"/>
      <c r="AZ1090" s="1"/>
      <c r="BA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Q1090" s="1"/>
      <c r="BR1090" s="1"/>
      <c r="BS1090" s="1"/>
      <c r="BT1090" s="1"/>
      <c r="BU1090" s="1"/>
      <c r="BV1090" s="1"/>
      <c r="BW1090" s="1"/>
      <c r="BX1090" s="1"/>
      <c r="BY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D1090" s="1"/>
      <c r="GE1090" s="1"/>
      <c r="GF1090" s="1"/>
      <c r="GG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</row>
    <row r="1091" spans="3:222" x14ac:dyDescent="0.3">
      <c r="C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O1091" s="1"/>
      <c r="AP1091" s="1"/>
      <c r="AQ1091" s="1"/>
      <c r="AR1091" s="1"/>
      <c r="AS1091" s="1"/>
      <c r="AU1091" s="1"/>
      <c r="AV1091" s="1"/>
      <c r="AW1091" s="1"/>
      <c r="AX1091" s="1"/>
      <c r="AY1091" s="1"/>
      <c r="AZ1091" s="1"/>
      <c r="BA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Q1091" s="1"/>
      <c r="BR1091" s="1"/>
      <c r="BS1091" s="1"/>
      <c r="BT1091" s="1"/>
      <c r="BU1091" s="1"/>
      <c r="BV1091" s="1"/>
      <c r="BW1091" s="1"/>
      <c r="BX1091" s="1"/>
      <c r="BY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D1091" s="1"/>
      <c r="GE1091" s="1"/>
      <c r="GF1091" s="1"/>
      <c r="GG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</row>
    <row r="1092" spans="3:222" x14ac:dyDescent="0.3">
      <c r="C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O1092" s="1"/>
      <c r="AP1092" s="1"/>
      <c r="AQ1092" s="1"/>
      <c r="AR1092" s="1"/>
      <c r="AS1092" s="1"/>
      <c r="AU1092" s="1"/>
      <c r="AV1092" s="1"/>
      <c r="AW1092" s="1"/>
      <c r="AX1092" s="1"/>
      <c r="AY1092" s="1"/>
      <c r="AZ1092" s="1"/>
      <c r="BA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Q1092" s="1"/>
      <c r="BR1092" s="1"/>
      <c r="BS1092" s="1"/>
      <c r="BT1092" s="1"/>
      <c r="BU1092" s="1"/>
      <c r="BV1092" s="1"/>
      <c r="BW1092" s="1"/>
      <c r="BX1092" s="1"/>
      <c r="BY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D1092" s="1"/>
      <c r="GE1092" s="1"/>
      <c r="GF1092" s="1"/>
      <c r="GG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</row>
    <row r="1093" spans="3:222" x14ac:dyDescent="0.3">
      <c r="C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O1093" s="1"/>
      <c r="AP1093" s="1"/>
      <c r="AQ1093" s="1"/>
      <c r="AR1093" s="1"/>
      <c r="AS1093" s="1"/>
      <c r="AU1093" s="1"/>
      <c r="AV1093" s="1"/>
      <c r="AW1093" s="1"/>
      <c r="AX1093" s="1"/>
      <c r="AY1093" s="1"/>
      <c r="AZ1093" s="1"/>
      <c r="BA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Q1093" s="1"/>
      <c r="BR1093" s="1"/>
      <c r="BS1093" s="1"/>
      <c r="BT1093" s="1"/>
      <c r="BU1093" s="1"/>
      <c r="BV1093" s="1"/>
      <c r="BW1093" s="1"/>
      <c r="BX1093" s="1"/>
      <c r="BY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D1093" s="1"/>
      <c r="GE1093" s="1"/>
      <c r="GF1093" s="1"/>
      <c r="GG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</row>
    <row r="1094" spans="3:222" x14ac:dyDescent="0.3">
      <c r="C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O1094" s="1"/>
      <c r="AP1094" s="1"/>
      <c r="AQ1094" s="1"/>
      <c r="AR1094" s="1"/>
      <c r="AS1094" s="1"/>
      <c r="AU1094" s="1"/>
      <c r="AV1094" s="1"/>
      <c r="AW1094" s="1"/>
      <c r="AX1094" s="1"/>
      <c r="AY1094" s="1"/>
      <c r="AZ1094" s="1"/>
      <c r="BA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Q1094" s="1"/>
      <c r="BR1094" s="1"/>
      <c r="BS1094" s="1"/>
      <c r="BT1094" s="1"/>
      <c r="BU1094" s="1"/>
      <c r="BV1094" s="1"/>
      <c r="BW1094" s="1"/>
      <c r="BX1094" s="1"/>
      <c r="BY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D1094" s="1"/>
      <c r="GE1094" s="1"/>
      <c r="GF1094" s="1"/>
      <c r="GG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</row>
    <row r="1095" spans="3:222" x14ac:dyDescent="0.3">
      <c r="C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O1095" s="1"/>
      <c r="AP1095" s="1"/>
      <c r="AQ1095" s="1"/>
      <c r="AR1095" s="1"/>
      <c r="AS1095" s="1"/>
      <c r="AU1095" s="1"/>
      <c r="AV1095" s="1"/>
      <c r="AW1095" s="1"/>
      <c r="AX1095" s="1"/>
      <c r="AY1095" s="1"/>
      <c r="AZ1095" s="1"/>
      <c r="BA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Q1095" s="1"/>
      <c r="BR1095" s="1"/>
      <c r="BS1095" s="1"/>
      <c r="BT1095" s="1"/>
      <c r="BU1095" s="1"/>
      <c r="BV1095" s="1"/>
      <c r="BW1095" s="1"/>
      <c r="BX1095" s="1"/>
      <c r="BY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D1095" s="1"/>
      <c r="GE1095" s="1"/>
      <c r="GF1095" s="1"/>
      <c r="GG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</row>
    <row r="1096" spans="3:222" x14ac:dyDescent="0.3">
      <c r="C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O1096" s="1"/>
      <c r="AP1096" s="1"/>
      <c r="AQ1096" s="1"/>
      <c r="AR1096" s="1"/>
      <c r="AS1096" s="1"/>
      <c r="AU1096" s="1"/>
      <c r="AV1096" s="1"/>
      <c r="AW1096" s="1"/>
      <c r="AX1096" s="1"/>
      <c r="AY1096" s="1"/>
      <c r="AZ1096" s="1"/>
      <c r="BA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Q1096" s="1"/>
      <c r="BR1096" s="1"/>
      <c r="BS1096" s="1"/>
      <c r="BT1096" s="1"/>
      <c r="BU1096" s="1"/>
      <c r="BV1096" s="1"/>
      <c r="BW1096" s="1"/>
      <c r="BX1096" s="1"/>
      <c r="BY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D1096" s="1"/>
      <c r="GE1096" s="1"/>
      <c r="GF1096" s="1"/>
      <c r="GG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</row>
    <row r="1097" spans="3:222" x14ac:dyDescent="0.3">
      <c r="C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O1097" s="1"/>
      <c r="AP1097" s="1"/>
      <c r="AQ1097" s="1"/>
      <c r="AR1097" s="1"/>
      <c r="AS1097" s="1"/>
      <c r="AU1097" s="1"/>
      <c r="AV1097" s="1"/>
      <c r="AW1097" s="1"/>
      <c r="AX1097" s="1"/>
      <c r="AY1097" s="1"/>
      <c r="AZ1097" s="1"/>
      <c r="BA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Q1097" s="1"/>
      <c r="BR1097" s="1"/>
      <c r="BS1097" s="1"/>
      <c r="BT1097" s="1"/>
      <c r="BU1097" s="1"/>
      <c r="BV1097" s="1"/>
      <c r="BW1097" s="1"/>
      <c r="BX1097" s="1"/>
      <c r="BY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D1097" s="1"/>
      <c r="GE1097" s="1"/>
      <c r="GF1097" s="1"/>
      <c r="GG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</row>
    <row r="1098" spans="3:222" x14ac:dyDescent="0.3">
      <c r="C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O1098" s="1"/>
      <c r="AP1098" s="1"/>
      <c r="AQ1098" s="1"/>
      <c r="AR1098" s="1"/>
      <c r="AS1098" s="1"/>
      <c r="AU1098" s="1"/>
      <c r="AV1098" s="1"/>
      <c r="AW1098" s="1"/>
      <c r="AX1098" s="1"/>
      <c r="AY1098" s="1"/>
      <c r="AZ1098" s="1"/>
      <c r="BA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Q1098" s="1"/>
      <c r="BR1098" s="1"/>
      <c r="BS1098" s="1"/>
      <c r="BT1098" s="1"/>
      <c r="BU1098" s="1"/>
      <c r="BV1098" s="1"/>
      <c r="BW1098" s="1"/>
      <c r="BX1098" s="1"/>
      <c r="BY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D1098" s="1"/>
      <c r="GE1098" s="1"/>
      <c r="GF1098" s="1"/>
      <c r="GG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</row>
    <row r="1099" spans="3:222" x14ac:dyDescent="0.3">
      <c r="C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O1099" s="1"/>
      <c r="AP1099" s="1"/>
      <c r="AQ1099" s="1"/>
      <c r="AR1099" s="1"/>
      <c r="AS1099" s="1"/>
      <c r="AU1099" s="1"/>
      <c r="AV1099" s="1"/>
      <c r="AW1099" s="1"/>
      <c r="AX1099" s="1"/>
      <c r="AY1099" s="1"/>
      <c r="AZ1099" s="1"/>
      <c r="BA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Q1099" s="1"/>
      <c r="BR1099" s="1"/>
      <c r="BS1099" s="1"/>
      <c r="BT1099" s="1"/>
      <c r="BU1099" s="1"/>
      <c r="BV1099" s="1"/>
      <c r="BW1099" s="1"/>
      <c r="BX1099" s="1"/>
      <c r="BY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D1099" s="1"/>
      <c r="GE1099" s="1"/>
      <c r="GF1099" s="1"/>
      <c r="GG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</row>
    <row r="1100" spans="3:222" x14ac:dyDescent="0.3">
      <c r="C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O1100" s="1"/>
      <c r="AP1100" s="1"/>
      <c r="AQ1100" s="1"/>
      <c r="AR1100" s="1"/>
      <c r="AS1100" s="1"/>
      <c r="AU1100" s="1"/>
      <c r="AV1100" s="1"/>
      <c r="AW1100" s="1"/>
      <c r="AX1100" s="1"/>
      <c r="AY1100" s="1"/>
      <c r="AZ1100" s="1"/>
      <c r="BA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Q1100" s="1"/>
      <c r="BR1100" s="1"/>
      <c r="BS1100" s="1"/>
      <c r="BT1100" s="1"/>
      <c r="BU1100" s="1"/>
      <c r="BV1100" s="1"/>
      <c r="BW1100" s="1"/>
      <c r="BX1100" s="1"/>
      <c r="BY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D1100" s="1"/>
      <c r="GE1100" s="1"/>
      <c r="GF1100" s="1"/>
      <c r="GG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</row>
    <row r="1101" spans="3:222" x14ac:dyDescent="0.3">
      <c r="C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O1101" s="1"/>
      <c r="AP1101" s="1"/>
      <c r="AQ1101" s="1"/>
      <c r="AR1101" s="1"/>
      <c r="AS1101" s="1"/>
      <c r="AU1101" s="1"/>
      <c r="AV1101" s="1"/>
      <c r="AW1101" s="1"/>
      <c r="AX1101" s="1"/>
      <c r="AY1101" s="1"/>
      <c r="AZ1101" s="1"/>
      <c r="BA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Q1101" s="1"/>
      <c r="BR1101" s="1"/>
      <c r="BS1101" s="1"/>
      <c r="BT1101" s="1"/>
      <c r="BU1101" s="1"/>
      <c r="BV1101" s="1"/>
      <c r="BW1101" s="1"/>
      <c r="BX1101" s="1"/>
      <c r="BY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D1101" s="1"/>
      <c r="GE1101" s="1"/>
      <c r="GF1101" s="1"/>
      <c r="GG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</row>
    <row r="1102" spans="3:222" x14ac:dyDescent="0.3">
      <c r="C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O1102" s="1"/>
      <c r="AP1102" s="1"/>
      <c r="AQ1102" s="1"/>
      <c r="AR1102" s="1"/>
      <c r="AS1102" s="1"/>
      <c r="AU1102" s="1"/>
      <c r="AV1102" s="1"/>
      <c r="AW1102" s="1"/>
      <c r="AX1102" s="1"/>
      <c r="AY1102" s="1"/>
      <c r="AZ1102" s="1"/>
      <c r="BA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Q1102" s="1"/>
      <c r="BR1102" s="1"/>
      <c r="BS1102" s="1"/>
      <c r="BT1102" s="1"/>
      <c r="BU1102" s="1"/>
      <c r="BV1102" s="1"/>
      <c r="BW1102" s="1"/>
      <c r="BX1102" s="1"/>
      <c r="BY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D1102" s="1"/>
      <c r="GE1102" s="1"/>
      <c r="GF1102" s="1"/>
      <c r="GG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</row>
    <row r="1103" spans="3:222" x14ac:dyDescent="0.3">
      <c r="C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O1103" s="1"/>
      <c r="AP1103" s="1"/>
      <c r="AQ1103" s="1"/>
      <c r="AR1103" s="1"/>
      <c r="AS1103" s="1"/>
      <c r="AU1103" s="1"/>
      <c r="AV1103" s="1"/>
      <c r="AW1103" s="1"/>
      <c r="AX1103" s="1"/>
      <c r="AY1103" s="1"/>
      <c r="AZ1103" s="1"/>
      <c r="BA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Q1103" s="1"/>
      <c r="BR1103" s="1"/>
      <c r="BS1103" s="1"/>
      <c r="BT1103" s="1"/>
      <c r="BU1103" s="1"/>
      <c r="BV1103" s="1"/>
      <c r="BW1103" s="1"/>
      <c r="BX1103" s="1"/>
      <c r="BY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D1103" s="1"/>
      <c r="GE1103" s="1"/>
      <c r="GF1103" s="1"/>
      <c r="GG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</row>
    <row r="1104" spans="3:222" x14ac:dyDescent="0.3">
      <c r="C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O1104" s="1"/>
      <c r="AP1104" s="1"/>
      <c r="AQ1104" s="1"/>
      <c r="AR1104" s="1"/>
      <c r="AS1104" s="1"/>
      <c r="AU1104" s="1"/>
      <c r="AV1104" s="1"/>
      <c r="AW1104" s="1"/>
      <c r="AX1104" s="1"/>
      <c r="AY1104" s="1"/>
      <c r="AZ1104" s="1"/>
      <c r="BA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Q1104" s="1"/>
      <c r="BR1104" s="1"/>
      <c r="BS1104" s="1"/>
      <c r="BT1104" s="1"/>
      <c r="BU1104" s="1"/>
      <c r="BV1104" s="1"/>
      <c r="BW1104" s="1"/>
      <c r="BX1104" s="1"/>
      <c r="BY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D1104" s="1"/>
      <c r="GE1104" s="1"/>
      <c r="GF1104" s="1"/>
      <c r="GG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</row>
    <row r="1105" spans="3:222" x14ac:dyDescent="0.3">
      <c r="C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O1105" s="1"/>
      <c r="AP1105" s="1"/>
      <c r="AQ1105" s="1"/>
      <c r="AR1105" s="1"/>
      <c r="AS1105" s="1"/>
      <c r="AU1105" s="1"/>
      <c r="AV1105" s="1"/>
      <c r="AW1105" s="1"/>
      <c r="AX1105" s="1"/>
      <c r="AY1105" s="1"/>
      <c r="AZ1105" s="1"/>
      <c r="BA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Q1105" s="1"/>
      <c r="BR1105" s="1"/>
      <c r="BS1105" s="1"/>
      <c r="BT1105" s="1"/>
      <c r="BU1105" s="1"/>
      <c r="BV1105" s="1"/>
      <c r="BW1105" s="1"/>
      <c r="BX1105" s="1"/>
      <c r="BY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D1105" s="1"/>
      <c r="GE1105" s="1"/>
      <c r="GF1105" s="1"/>
      <c r="GG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</row>
    <row r="1106" spans="3:222" x14ac:dyDescent="0.3">
      <c r="C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O1106" s="1"/>
      <c r="AP1106" s="1"/>
      <c r="AQ1106" s="1"/>
      <c r="AR1106" s="1"/>
      <c r="AS1106" s="1"/>
      <c r="AU1106" s="1"/>
      <c r="AV1106" s="1"/>
      <c r="AW1106" s="1"/>
      <c r="AX1106" s="1"/>
      <c r="AY1106" s="1"/>
      <c r="AZ1106" s="1"/>
      <c r="BA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Q1106" s="1"/>
      <c r="BR1106" s="1"/>
      <c r="BS1106" s="1"/>
      <c r="BT1106" s="1"/>
      <c r="BU1106" s="1"/>
      <c r="BV1106" s="1"/>
      <c r="BW1106" s="1"/>
      <c r="BX1106" s="1"/>
      <c r="BY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D1106" s="1"/>
      <c r="GE1106" s="1"/>
      <c r="GF1106" s="1"/>
      <c r="GG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</row>
    <row r="1107" spans="3:222" x14ac:dyDescent="0.3">
      <c r="C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O1107" s="1"/>
      <c r="AP1107" s="1"/>
      <c r="AQ1107" s="1"/>
      <c r="AR1107" s="1"/>
      <c r="AS1107" s="1"/>
      <c r="AU1107" s="1"/>
      <c r="AV1107" s="1"/>
      <c r="AW1107" s="1"/>
      <c r="AX1107" s="1"/>
      <c r="AY1107" s="1"/>
      <c r="AZ1107" s="1"/>
      <c r="BA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Q1107" s="1"/>
      <c r="BR1107" s="1"/>
      <c r="BS1107" s="1"/>
      <c r="BT1107" s="1"/>
      <c r="BU1107" s="1"/>
      <c r="BV1107" s="1"/>
      <c r="BW1107" s="1"/>
      <c r="BX1107" s="1"/>
      <c r="BY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D1107" s="1"/>
      <c r="GE1107" s="1"/>
      <c r="GF1107" s="1"/>
      <c r="GG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</row>
    <row r="1108" spans="3:222" x14ac:dyDescent="0.3">
      <c r="C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O1108" s="1"/>
      <c r="AP1108" s="1"/>
      <c r="AQ1108" s="1"/>
      <c r="AR1108" s="1"/>
      <c r="AS1108" s="1"/>
      <c r="AU1108" s="1"/>
      <c r="AV1108" s="1"/>
      <c r="AW1108" s="1"/>
      <c r="AX1108" s="1"/>
      <c r="AY1108" s="1"/>
      <c r="AZ1108" s="1"/>
      <c r="BA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Q1108" s="1"/>
      <c r="BR1108" s="1"/>
      <c r="BS1108" s="1"/>
      <c r="BT1108" s="1"/>
      <c r="BU1108" s="1"/>
      <c r="BV1108" s="1"/>
      <c r="BW1108" s="1"/>
      <c r="BX1108" s="1"/>
      <c r="BY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D1108" s="1"/>
      <c r="GE1108" s="1"/>
      <c r="GF1108" s="1"/>
      <c r="GG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</row>
    <row r="1109" spans="3:222" x14ac:dyDescent="0.3">
      <c r="C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O1109" s="1"/>
      <c r="AP1109" s="1"/>
      <c r="AQ1109" s="1"/>
      <c r="AR1109" s="1"/>
      <c r="AS1109" s="1"/>
      <c r="AU1109" s="1"/>
      <c r="AV1109" s="1"/>
      <c r="AW1109" s="1"/>
      <c r="AX1109" s="1"/>
      <c r="AY1109" s="1"/>
      <c r="AZ1109" s="1"/>
      <c r="BA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Q1109" s="1"/>
      <c r="BR1109" s="1"/>
      <c r="BS1109" s="1"/>
      <c r="BT1109" s="1"/>
      <c r="BU1109" s="1"/>
      <c r="BV1109" s="1"/>
      <c r="BW1109" s="1"/>
      <c r="BX1109" s="1"/>
      <c r="BY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D1109" s="1"/>
      <c r="GE1109" s="1"/>
      <c r="GF1109" s="1"/>
      <c r="GG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</row>
    <row r="1110" spans="3:222" x14ac:dyDescent="0.3">
      <c r="C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O1110" s="1"/>
      <c r="AP1110" s="1"/>
      <c r="AQ1110" s="1"/>
      <c r="AR1110" s="1"/>
      <c r="AS1110" s="1"/>
      <c r="AU1110" s="1"/>
      <c r="AV1110" s="1"/>
      <c r="AW1110" s="1"/>
      <c r="AX1110" s="1"/>
      <c r="AY1110" s="1"/>
      <c r="AZ1110" s="1"/>
      <c r="BA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Q1110" s="1"/>
      <c r="BR1110" s="1"/>
      <c r="BS1110" s="1"/>
      <c r="BT1110" s="1"/>
      <c r="BU1110" s="1"/>
      <c r="BV1110" s="1"/>
      <c r="BW1110" s="1"/>
      <c r="BX1110" s="1"/>
      <c r="BY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D1110" s="1"/>
      <c r="GE1110" s="1"/>
      <c r="GF1110" s="1"/>
      <c r="GG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</row>
    <row r="1111" spans="3:222" x14ac:dyDescent="0.3">
      <c r="C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O1111" s="1"/>
      <c r="AP1111" s="1"/>
      <c r="AQ1111" s="1"/>
      <c r="AR1111" s="1"/>
      <c r="AS1111" s="1"/>
      <c r="AU1111" s="1"/>
      <c r="AV1111" s="1"/>
      <c r="AW1111" s="1"/>
      <c r="AX1111" s="1"/>
      <c r="AY1111" s="1"/>
      <c r="AZ1111" s="1"/>
      <c r="BA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Q1111" s="1"/>
      <c r="BR1111" s="1"/>
      <c r="BS1111" s="1"/>
      <c r="BT1111" s="1"/>
      <c r="BU1111" s="1"/>
      <c r="BV1111" s="1"/>
      <c r="BW1111" s="1"/>
      <c r="BX1111" s="1"/>
      <c r="BY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D1111" s="1"/>
      <c r="GE1111" s="1"/>
      <c r="GF1111" s="1"/>
      <c r="GG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</row>
    <row r="1112" spans="3:222" x14ac:dyDescent="0.3">
      <c r="C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O1112" s="1"/>
      <c r="AP1112" s="1"/>
      <c r="AQ1112" s="1"/>
      <c r="AR1112" s="1"/>
      <c r="AS1112" s="1"/>
      <c r="AU1112" s="1"/>
      <c r="AV1112" s="1"/>
      <c r="AW1112" s="1"/>
      <c r="AX1112" s="1"/>
      <c r="AY1112" s="1"/>
      <c r="AZ1112" s="1"/>
      <c r="BA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Q1112" s="1"/>
      <c r="BR1112" s="1"/>
      <c r="BS1112" s="1"/>
      <c r="BT1112" s="1"/>
      <c r="BU1112" s="1"/>
      <c r="BV1112" s="1"/>
      <c r="BW1112" s="1"/>
      <c r="BX1112" s="1"/>
      <c r="BY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D1112" s="1"/>
      <c r="GE1112" s="1"/>
      <c r="GF1112" s="1"/>
      <c r="GG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</row>
    <row r="1113" spans="3:222" x14ac:dyDescent="0.3">
      <c r="C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O1113" s="1"/>
      <c r="AP1113" s="1"/>
      <c r="AQ1113" s="1"/>
      <c r="AR1113" s="1"/>
      <c r="AS1113" s="1"/>
      <c r="AU1113" s="1"/>
      <c r="AV1113" s="1"/>
      <c r="AW1113" s="1"/>
      <c r="AX1113" s="1"/>
      <c r="AY1113" s="1"/>
      <c r="AZ1113" s="1"/>
      <c r="BA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Q1113" s="1"/>
      <c r="BR1113" s="1"/>
      <c r="BS1113" s="1"/>
      <c r="BT1113" s="1"/>
      <c r="BU1113" s="1"/>
      <c r="BV1113" s="1"/>
      <c r="BW1113" s="1"/>
      <c r="BX1113" s="1"/>
      <c r="BY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D1113" s="1"/>
      <c r="GE1113" s="1"/>
      <c r="GF1113" s="1"/>
      <c r="GG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</row>
    <row r="1114" spans="3:222" x14ac:dyDescent="0.3">
      <c r="C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O1114" s="1"/>
      <c r="AP1114" s="1"/>
      <c r="AQ1114" s="1"/>
      <c r="AR1114" s="1"/>
      <c r="AS1114" s="1"/>
      <c r="AU1114" s="1"/>
      <c r="AV1114" s="1"/>
      <c r="AW1114" s="1"/>
      <c r="AX1114" s="1"/>
      <c r="AY1114" s="1"/>
      <c r="AZ1114" s="1"/>
      <c r="BA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Q1114" s="1"/>
      <c r="BR1114" s="1"/>
      <c r="BS1114" s="1"/>
      <c r="BT1114" s="1"/>
      <c r="BU1114" s="1"/>
      <c r="BV1114" s="1"/>
      <c r="BW1114" s="1"/>
      <c r="BX1114" s="1"/>
      <c r="BY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D1114" s="1"/>
      <c r="GE1114" s="1"/>
      <c r="GF1114" s="1"/>
      <c r="GG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</row>
    <row r="1115" spans="3:222" x14ac:dyDescent="0.3">
      <c r="C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O1115" s="1"/>
      <c r="AP1115" s="1"/>
      <c r="AQ1115" s="1"/>
      <c r="AR1115" s="1"/>
      <c r="AS1115" s="1"/>
      <c r="AU1115" s="1"/>
      <c r="AV1115" s="1"/>
      <c r="AW1115" s="1"/>
      <c r="AX1115" s="1"/>
      <c r="AY1115" s="1"/>
      <c r="AZ1115" s="1"/>
      <c r="BA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Q1115" s="1"/>
      <c r="BR1115" s="1"/>
      <c r="BS1115" s="1"/>
      <c r="BT1115" s="1"/>
      <c r="BU1115" s="1"/>
      <c r="BV1115" s="1"/>
      <c r="BW1115" s="1"/>
      <c r="BX1115" s="1"/>
      <c r="BY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D1115" s="1"/>
      <c r="GE1115" s="1"/>
      <c r="GF1115" s="1"/>
      <c r="GG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</row>
    <row r="1116" spans="3:222" x14ac:dyDescent="0.3">
      <c r="C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O1116" s="1"/>
      <c r="AP1116" s="1"/>
      <c r="AQ1116" s="1"/>
      <c r="AR1116" s="1"/>
      <c r="AS1116" s="1"/>
      <c r="AU1116" s="1"/>
      <c r="AV1116" s="1"/>
      <c r="AW1116" s="1"/>
      <c r="AX1116" s="1"/>
      <c r="AY1116" s="1"/>
      <c r="AZ1116" s="1"/>
      <c r="BA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Q1116" s="1"/>
      <c r="BR1116" s="1"/>
      <c r="BS1116" s="1"/>
      <c r="BT1116" s="1"/>
      <c r="BU1116" s="1"/>
      <c r="BV1116" s="1"/>
      <c r="BW1116" s="1"/>
      <c r="BX1116" s="1"/>
      <c r="BY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D1116" s="1"/>
      <c r="GE1116" s="1"/>
      <c r="GF1116" s="1"/>
      <c r="GG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</row>
    <row r="1117" spans="3:222" x14ac:dyDescent="0.3">
      <c r="C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O1117" s="1"/>
      <c r="AP1117" s="1"/>
      <c r="AQ1117" s="1"/>
      <c r="AR1117" s="1"/>
      <c r="AS1117" s="1"/>
      <c r="AU1117" s="1"/>
      <c r="AV1117" s="1"/>
      <c r="AW1117" s="1"/>
      <c r="AX1117" s="1"/>
      <c r="AY1117" s="1"/>
      <c r="AZ1117" s="1"/>
      <c r="BA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Q1117" s="1"/>
      <c r="BR1117" s="1"/>
      <c r="BS1117" s="1"/>
      <c r="BT1117" s="1"/>
      <c r="BU1117" s="1"/>
      <c r="BV1117" s="1"/>
      <c r="BW1117" s="1"/>
      <c r="BX1117" s="1"/>
      <c r="BY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D1117" s="1"/>
      <c r="GE1117" s="1"/>
      <c r="GF1117" s="1"/>
      <c r="GG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</row>
    <row r="1118" spans="3:222" x14ac:dyDescent="0.3">
      <c r="C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O1118" s="1"/>
      <c r="AP1118" s="1"/>
      <c r="AQ1118" s="1"/>
      <c r="AR1118" s="1"/>
      <c r="AS1118" s="1"/>
      <c r="AU1118" s="1"/>
      <c r="AV1118" s="1"/>
      <c r="AW1118" s="1"/>
      <c r="AX1118" s="1"/>
      <c r="AY1118" s="1"/>
      <c r="AZ1118" s="1"/>
      <c r="BA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Q1118" s="1"/>
      <c r="BR1118" s="1"/>
      <c r="BS1118" s="1"/>
      <c r="BT1118" s="1"/>
      <c r="BU1118" s="1"/>
      <c r="BV1118" s="1"/>
      <c r="BW1118" s="1"/>
      <c r="BX1118" s="1"/>
      <c r="BY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D1118" s="1"/>
      <c r="GE1118" s="1"/>
      <c r="GF1118" s="1"/>
      <c r="GG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</row>
    <row r="1119" spans="3:222" x14ac:dyDescent="0.3">
      <c r="C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O1119" s="1"/>
      <c r="AP1119" s="1"/>
      <c r="AQ1119" s="1"/>
      <c r="AR1119" s="1"/>
      <c r="AS1119" s="1"/>
      <c r="AU1119" s="1"/>
      <c r="AV1119" s="1"/>
      <c r="AW1119" s="1"/>
      <c r="AX1119" s="1"/>
      <c r="AY1119" s="1"/>
      <c r="AZ1119" s="1"/>
      <c r="BA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Q1119" s="1"/>
      <c r="BR1119" s="1"/>
      <c r="BS1119" s="1"/>
      <c r="BT1119" s="1"/>
      <c r="BU1119" s="1"/>
      <c r="BV1119" s="1"/>
      <c r="BW1119" s="1"/>
      <c r="BX1119" s="1"/>
      <c r="BY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D1119" s="1"/>
      <c r="GE1119" s="1"/>
      <c r="GF1119" s="1"/>
      <c r="GG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</row>
    <row r="1120" spans="3:222" x14ac:dyDescent="0.3">
      <c r="C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O1120" s="1"/>
      <c r="AP1120" s="1"/>
      <c r="AQ1120" s="1"/>
      <c r="AR1120" s="1"/>
      <c r="AS1120" s="1"/>
      <c r="AU1120" s="1"/>
      <c r="AV1120" s="1"/>
      <c r="AW1120" s="1"/>
      <c r="AX1120" s="1"/>
      <c r="AY1120" s="1"/>
      <c r="AZ1120" s="1"/>
      <c r="BA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Q1120" s="1"/>
      <c r="BR1120" s="1"/>
      <c r="BS1120" s="1"/>
      <c r="BT1120" s="1"/>
      <c r="BU1120" s="1"/>
      <c r="BV1120" s="1"/>
      <c r="BW1120" s="1"/>
      <c r="BX1120" s="1"/>
      <c r="BY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D1120" s="1"/>
      <c r="GE1120" s="1"/>
      <c r="GF1120" s="1"/>
      <c r="GG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</row>
    <row r="1121" spans="3:222" x14ac:dyDescent="0.3">
      <c r="C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O1121" s="1"/>
      <c r="AP1121" s="1"/>
      <c r="AQ1121" s="1"/>
      <c r="AR1121" s="1"/>
      <c r="AS1121" s="1"/>
      <c r="AU1121" s="1"/>
      <c r="AV1121" s="1"/>
      <c r="AW1121" s="1"/>
      <c r="AX1121" s="1"/>
      <c r="AY1121" s="1"/>
      <c r="AZ1121" s="1"/>
      <c r="BA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Q1121" s="1"/>
      <c r="BR1121" s="1"/>
      <c r="BS1121" s="1"/>
      <c r="BT1121" s="1"/>
      <c r="BU1121" s="1"/>
      <c r="BV1121" s="1"/>
      <c r="BW1121" s="1"/>
      <c r="BX1121" s="1"/>
      <c r="BY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D1121" s="1"/>
      <c r="GE1121" s="1"/>
      <c r="GF1121" s="1"/>
      <c r="GG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</row>
    <row r="1122" spans="3:222" x14ac:dyDescent="0.3">
      <c r="C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O1122" s="1"/>
      <c r="AP1122" s="1"/>
      <c r="AQ1122" s="1"/>
      <c r="AR1122" s="1"/>
      <c r="AS1122" s="1"/>
      <c r="AU1122" s="1"/>
      <c r="AV1122" s="1"/>
      <c r="AW1122" s="1"/>
      <c r="AX1122" s="1"/>
      <c r="AY1122" s="1"/>
      <c r="AZ1122" s="1"/>
      <c r="BA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Q1122" s="1"/>
      <c r="BR1122" s="1"/>
      <c r="BS1122" s="1"/>
      <c r="BT1122" s="1"/>
      <c r="BU1122" s="1"/>
      <c r="BV1122" s="1"/>
      <c r="BW1122" s="1"/>
      <c r="BX1122" s="1"/>
      <c r="BY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D1122" s="1"/>
      <c r="GE1122" s="1"/>
      <c r="GF1122" s="1"/>
      <c r="GG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</row>
    <row r="1123" spans="3:222" x14ac:dyDescent="0.3">
      <c r="C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O1123" s="1"/>
      <c r="AP1123" s="1"/>
      <c r="AQ1123" s="1"/>
      <c r="AR1123" s="1"/>
      <c r="AS1123" s="1"/>
      <c r="AU1123" s="1"/>
      <c r="AV1123" s="1"/>
      <c r="AW1123" s="1"/>
      <c r="AX1123" s="1"/>
      <c r="AY1123" s="1"/>
      <c r="AZ1123" s="1"/>
      <c r="BA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Q1123" s="1"/>
      <c r="BR1123" s="1"/>
      <c r="BS1123" s="1"/>
      <c r="BT1123" s="1"/>
      <c r="BU1123" s="1"/>
      <c r="BV1123" s="1"/>
      <c r="BW1123" s="1"/>
      <c r="BX1123" s="1"/>
      <c r="BY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D1123" s="1"/>
      <c r="GE1123" s="1"/>
      <c r="GF1123" s="1"/>
      <c r="GG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</row>
    <row r="1124" spans="3:222" x14ac:dyDescent="0.3">
      <c r="C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O1124" s="1"/>
      <c r="AP1124" s="1"/>
      <c r="AQ1124" s="1"/>
      <c r="AR1124" s="1"/>
      <c r="AS1124" s="1"/>
      <c r="AU1124" s="1"/>
      <c r="AV1124" s="1"/>
      <c r="AW1124" s="1"/>
      <c r="AX1124" s="1"/>
      <c r="AY1124" s="1"/>
      <c r="AZ1124" s="1"/>
      <c r="BA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Q1124" s="1"/>
      <c r="BR1124" s="1"/>
      <c r="BS1124" s="1"/>
      <c r="BT1124" s="1"/>
      <c r="BU1124" s="1"/>
      <c r="BV1124" s="1"/>
      <c r="BW1124" s="1"/>
      <c r="BX1124" s="1"/>
      <c r="BY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D1124" s="1"/>
      <c r="GE1124" s="1"/>
      <c r="GF1124" s="1"/>
      <c r="GG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</row>
    <row r="1125" spans="3:222" x14ac:dyDescent="0.3">
      <c r="C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O1125" s="1"/>
      <c r="AP1125" s="1"/>
      <c r="AQ1125" s="1"/>
      <c r="AR1125" s="1"/>
      <c r="AS1125" s="1"/>
      <c r="AU1125" s="1"/>
      <c r="AV1125" s="1"/>
      <c r="AW1125" s="1"/>
      <c r="AX1125" s="1"/>
      <c r="AY1125" s="1"/>
      <c r="AZ1125" s="1"/>
      <c r="BA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Q1125" s="1"/>
      <c r="BR1125" s="1"/>
      <c r="BS1125" s="1"/>
      <c r="BT1125" s="1"/>
      <c r="BU1125" s="1"/>
      <c r="BV1125" s="1"/>
      <c r="BW1125" s="1"/>
      <c r="BX1125" s="1"/>
      <c r="BY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D1125" s="1"/>
      <c r="GE1125" s="1"/>
      <c r="GF1125" s="1"/>
      <c r="GG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</row>
    <row r="1126" spans="3:222" x14ac:dyDescent="0.3">
      <c r="C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O1126" s="1"/>
      <c r="AP1126" s="1"/>
      <c r="AQ1126" s="1"/>
      <c r="AR1126" s="1"/>
      <c r="AS1126" s="1"/>
      <c r="AU1126" s="1"/>
      <c r="AV1126" s="1"/>
      <c r="AW1126" s="1"/>
      <c r="AX1126" s="1"/>
      <c r="AY1126" s="1"/>
      <c r="AZ1126" s="1"/>
      <c r="BA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Q1126" s="1"/>
      <c r="BR1126" s="1"/>
      <c r="BS1126" s="1"/>
      <c r="BT1126" s="1"/>
      <c r="BU1126" s="1"/>
      <c r="BV1126" s="1"/>
      <c r="BW1126" s="1"/>
      <c r="BX1126" s="1"/>
      <c r="BY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D1126" s="1"/>
      <c r="GE1126" s="1"/>
      <c r="GF1126" s="1"/>
      <c r="GG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</row>
    <row r="1127" spans="3:222" x14ac:dyDescent="0.3">
      <c r="C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O1127" s="1"/>
      <c r="AP1127" s="1"/>
      <c r="AQ1127" s="1"/>
      <c r="AR1127" s="1"/>
      <c r="AS1127" s="1"/>
      <c r="AU1127" s="1"/>
      <c r="AV1127" s="1"/>
      <c r="AW1127" s="1"/>
      <c r="AX1127" s="1"/>
      <c r="AY1127" s="1"/>
      <c r="AZ1127" s="1"/>
      <c r="BA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Q1127" s="1"/>
      <c r="BR1127" s="1"/>
      <c r="BS1127" s="1"/>
      <c r="BT1127" s="1"/>
      <c r="BU1127" s="1"/>
      <c r="BV1127" s="1"/>
      <c r="BW1127" s="1"/>
      <c r="BX1127" s="1"/>
      <c r="BY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D1127" s="1"/>
      <c r="GE1127" s="1"/>
      <c r="GF1127" s="1"/>
      <c r="GG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</row>
    <row r="1128" spans="3:222" x14ac:dyDescent="0.3">
      <c r="C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O1128" s="1"/>
      <c r="AP1128" s="1"/>
      <c r="AQ1128" s="1"/>
      <c r="AR1128" s="1"/>
      <c r="AS1128" s="1"/>
      <c r="AU1128" s="1"/>
      <c r="AV1128" s="1"/>
      <c r="AW1128" s="1"/>
      <c r="AX1128" s="1"/>
      <c r="AY1128" s="1"/>
      <c r="AZ1128" s="1"/>
      <c r="BA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Q1128" s="1"/>
      <c r="BR1128" s="1"/>
      <c r="BS1128" s="1"/>
      <c r="BT1128" s="1"/>
      <c r="BU1128" s="1"/>
      <c r="BV1128" s="1"/>
      <c r="BW1128" s="1"/>
      <c r="BX1128" s="1"/>
      <c r="BY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D1128" s="1"/>
      <c r="GE1128" s="1"/>
      <c r="GF1128" s="1"/>
      <c r="GG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</row>
    <row r="1129" spans="3:222" x14ac:dyDescent="0.3">
      <c r="C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O1129" s="1"/>
      <c r="AP1129" s="1"/>
      <c r="AQ1129" s="1"/>
      <c r="AR1129" s="1"/>
      <c r="AS1129" s="1"/>
      <c r="AU1129" s="1"/>
      <c r="AV1129" s="1"/>
      <c r="AW1129" s="1"/>
      <c r="AX1129" s="1"/>
      <c r="AY1129" s="1"/>
      <c r="AZ1129" s="1"/>
      <c r="BA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Q1129" s="1"/>
      <c r="BR1129" s="1"/>
      <c r="BS1129" s="1"/>
      <c r="BT1129" s="1"/>
      <c r="BU1129" s="1"/>
      <c r="BV1129" s="1"/>
      <c r="BW1129" s="1"/>
      <c r="BX1129" s="1"/>
      <c r="BY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D1129" s="1"/>
      <c r="GE1129" s="1"/>
      <c r="GF1129" s="1"/>
      <c r="GG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</row>
    <row r="1130" spans="3:222" x14ac:dyDescent="0.3">
      <c r="C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O1130" s="1"/>
      <c r="AP1130" s="1"/>
      <c r="AQ1130" s="1"/>
      <c r="AR1130" s="1"/>
      <c r="AS1130" s="1"/>
      <c r="AU1130" s="1"/>
      <c r="AV1130" s="1"/>
      <c r="AW1130" s="1"/>
      <c r="AX1130" s="1"/>
      <c r="AY1130" s="1"/>
      <c r="AZ1130" s="1"/>
      <c r="BA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Q1130" s="1"/>
      <c r="BR1130" s="1"/>
      <c r="BS1130" s="1"/>
      <c r="BT1130" s="1"/>
      <c r="BU1130" s="1"/>
      <c r="BV1130" s="1"/>
      <c r="BW1130" s="1"/>
      <c r="BX1130" s="1"/>
      <c r="BY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D1130" s="1"/>
      <c r="GE1130" s="1"/>
      <c r="GF1130" s="1"/>
      <c r="GG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</row>
    <row r="1131" spans="3:222" x14ac:dyDescent="0.3">
      <c r="C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O1131" s="1"/>
      <c r="AP1131" s="1"/>
      <c r="AQ1131" s="1"/>
      <c r="AR1131" s="1"/>
      <c r="AS1131" s="1"/>
      <c r="AU1131" s="1"/>
      <c r="AV1131" s="1"/>
      <c r="AW1131" s="1"/>
      <c r="AX1131" s="1"/>
      <c r="AY1131" s="1"/>
      <c r="AZ1131" s="1"/>
      <c r="BA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Q1131" s="1"/>
      <c r="BR1131" s="1"/>
      <c r="BS1131" s="1"/>
      <c r="BT1131" s="1"/>
      <c r="BU1131" s="1"/>
      <c r="BV1131" s="1"/>
      <c r="BW1131" s="1"/>
      <c r="BX1131" s="1"/>
      <c r="BY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D1131" s="1"/>
      <c r="GE1131" s="1"/>
      <c r="GF1131" s="1"/>
      <c r="GG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</row>
    <row r="1132" spans="3:222" x14ac:dyDescent="0.3">
      <c r="C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O1132" s="1"/>
      <c r="AP1132" s="1"/>
      <c r="AQ1132" s="1"/>
      <c r="AR1132" s="1"/>
      <c r="AS1132" s="1"/>
      <c r="AU1132" s="1"/>
      <c r="AV1132" s="1"/>
      <c r="AW1132" s="1"/>
      <c r="AX1132" s="1"/>
      <c r="AY1132" s="1"/>
      <c r="AZ1132" s="1"/>
      <c r="BA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Q1132" s="1"/>
      <c r="BR1132" s="1"/>
      <c r="BS1132" s="1"/>
      <c r="BT1132" s="1"/>
      <c r="BU1132" s="1"/>
      <c r="BV1132" s="1"/>
      <c r="BW1132" s="1"/>
      <c r="BX1132" s="1"/>
      <c r="BY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D1132" s="1"/>
      <c r="GE1132" s="1"/>
      <c r="GF1132" s="1"/>
      <c r="GG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</row>
    <row r="1133" spans="3:222" x14ac:dyDescent="0.3">
      <c r="C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O1133" s="1"/>
      <c r="AP1133" s="1"/>
      <c r="AQ1133" s="1"/>
      <c r="AR1133" s="1"/>
      <c r="AS1133" s="1"/>
      <c r="AU1133" s="1"/>
      <c r="AV1133" s="1"/>
      <c r="AW1133" s="1"/>
      <c r="AX1133" s="1"/>
      <c r="AY1133" s="1"/>
      <c r="AZ1133" s="1"/>
      <c r="BA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Q1133" s="1"/>
      <c r="BR1133" s="1"/>
      <c r="BS1133" s="1"/>
      <c r="BT1133" s="1"/>
      <c r="BU1133" s="1"/>
      <c r="BV1133" s="1"/>
      <c r="BW1133" s="1"/>
      <c r="BX1133" s="1"/>
      <c r="BY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D1133" s="1"/>
      <c r="GE1133" s="1"/>
      <c r="GF1133" s="1"/>
      <c r="GG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</row>
    <row r="1134" spans="3:222" x14ac:dyDescent="0.3">
      <c r="C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O1134" s="1"/>
      <c r="AP1134" s="1"/>
      <c r="AQ1134" s="1"/>
      <c r="AR1134" s="1"/>
      <c r="AS1134" s="1"/>
      <c r="AU1134" s="1"/>
      <c r="AV1134" s="1"/>
      <c r="AW1134" s="1"/>
      <c r="AX1134" s="1"/>
      <c r="AY1134" s="1"/>
      <c r="AZ1134" s="1"/>
      <c r="BA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Q1134" s="1"/>
      <c r="BR1134" s="1"/>
      <c r="BS1134" s="1"/>
      <c r="BT1134" s="1"/>
      <c r="BU1134" s="1"/>
      <c r="BV1134" s="1"/>
      <c r="BW1134" s="1"/>
      <c r="BX1134" s="1"/>
      <c r="BY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D1134" s="1"/>
      <c r="GE1134" s="1"/>
      <c r="GF1134" s="1"/>
      <c r="GG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</row>
    <row r="1135" spans="3:222" x14ac:dyDescent="0.3">
      <c r="C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O1135" s="1"/>
      <c r="AP1135" s="1"/>
      <c r="AQ1135" s="1"/>
      <c r="AR1135" s="1"/>
      <c r="AS1135" s="1"/>
      <c r="AU1135" s="1"/>
      <c r="AV1135" s="1"/>
      <c r="AW1135" s="1"/>
      <c r="AX1135" s="1"/>
      <c r="AY1135" s="1"/>
      <c r="AZ1135" s="1"/>
      <c r="BA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Q1135" s="1"/>
      <c r="BR1135" s="1"/>
      <c r="BS1135" s="1"/>
      <c r="BT1135" s="1"/>
      <c r="BU1135" s="1"/>
      <c r="BV1135" s="1"/>
      <c r="BW1135" s="1"/>
      <c r="BX1135" s="1"/>
      <c r="BY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D1135" s="1"/>
      <c r="GE1135" s="1"/>
      <c r="GF1135" s="1"/>
      <c r="GG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</row>
    <row r="1136" spans="3:222" x14ac:dyDescent="0.3">
      <c r="C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O1136" s="1"/>
      <c r="AP1136" s="1"/>
      <c r="AQ1136" s="1"/>
      <c r="AR1136" s="1"/>
      <c r="AS1136" s="1"/>
      <c r="AU1136" s="1"/>
      <c r="AV1136" s="1"/>
      <c r="AW1136" s="1"/>
      <c r="AX1136" s="1"/>
      <c r="AY1136" s="1"/>
      <c r="AZ1136" s="1"/>
      <c r="BA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Q1136" s="1"/>
      <c r="BR1136" s="1"/>
      <c r="BS1136" s="1"/>
      <c r="BT1136" s="1"/>
      <c r="BU1136" s="1"/>
      <c r="BV1136" s="1"/>
      <c r="BW1136" s="1"/>
      <c r="BX1136" s="1"/>
      <c r="BY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D1136" s="1"/>
      <c r="GE1136" s="1"/>
      <c r="GF1136" s="1"/>
      <c r="GG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</row>
    <row r="1137" spans="3:222" x14ac:dyDescent="0.3">
      <c r="C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O1137" s="1"/>
      <c r="AP1137" s="1"/>
      <c r="AQ1137" s="1"/>
      <c r="AR1137" s="1"/>
      <c r="AS1137" s="1"/>
      <c r="AU1137" s="1"/>
      <c r="AV1137" s="1"/>
      <c r="AW1137" s="1"/>
      <c r="AX1137" s="1"/>
      <c r="AY1137" s="1"/>
      <c r="AZ1137" s="1"/>
      <c r="BA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Q1137" s="1"/>
      <c r="BR1137" s="1"/>
      <c r="BS1137" s="1"/>
      <c r="BT1137" s="1"/>
      <c r="BU1137" s="1"/>
      <c r="BV1137" s="1"/>
      <c r="BW1137" s="1"/>
      <c r="BX1137" s="1"/>
      <c r="BY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D1137" s="1"/>
      <c r="GE1137" s="1"/>
      <c r="GF1137" s="1"/>
      <c r="GG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</row>
    <row r="1138" spans="3:222" x14ac:dyDescent="0.3">
      <c r="C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O1138" s="1"/>
      <c r="AP1138" s="1"/>
      <c r="AQ1138" s="1"/>
      <c r="AR1138" s="1"/>
      <c r="AS1138" s="1"/>
      <c r="AU1138" s="1"/>
      <c r="AV1138" s="1"/>
      <c r="AW1138" s="1"/>
      <c r="AX1138" s="1"/>
      <c r="AY1138" s="1"/>
      <c r="AZ1138" s="1"/>
      <c r="BA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Q1138" s="1"/>
      <c r="BR1138" s="1"/>
      <c r="BS1138" s="1"/>
      <c r="BT1138" s="1"/>
      <c r="BU1138" s="1"/>
      <c r="BV1138" s="1"/>
      <c r="BW1138" s="1"/>
      <c r="BX1138" s="1"/>
      <c r="BY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D1138" s="1"/>
      <c r="GE1138" s="1"/>
      <c r="GF1138" s="1"/>
      <c r="GG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</row>
    <row r="1139" spans="3:222" x14ac:dyDescent="0.3">
      <c r="C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O1139" s="1"/>
      <c r="AP1139" s="1"/>
      <c r="AQ1139" s="1"/>
      <c r="AR1139" s="1"/>
      <c r="AS1139" s="1"/>
      <c r="AU1139" s="1"/>
      <c r="AV1139" s="1"/>
      <c r="AW1139" s="1"/>
      <c r="AX1139" s="1"/>
      <c r="AY1139" s="1"/>
      <c r="AZ1139" s="1"/>
      <c r="BA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Q1139" s="1"/>
      <c r="BR1139" s="1"/>
      <c r="BS1139" s="1"/>
      <c r="BT1139" s="1"/>
      <c r="BU1139" s="1"/>
      <c r="BV1139" s="1"/>
      <c r="BW1139" s="1"/>
      <c r="BX1139" s="1"/>
      <c r="BY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D1139" s="1"/>
      <c r="GE1139" s="1"/>
      <c r="GF1139" s="1"/>
      <c r="GG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</row>
    <row r="1140" spans="3:222" x14ac:dyDescent="0.3">
      <c r="C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O1140" s="1"/>
      <c r="AP1140" s="1"/>
      <c r="AQ1140" s="1"/>
      <c r="AR1140" s="1"/>
      <c r="AS1140" s="1"/>
      <c r="AU1140" s="1"/>
      <c r="AV1140" s="1"/>
      <c r="AW1140" s="1"/>
      <c r="AX1140" s="1"/>
      <c r="AY1140" s="1"/>
      <c r="AZ1140" s="1"/>
      <c r="BA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Q1140" s="1"/>
      <c r="BR1140" s="1"/>
      <c r="BS1140" s="1"/>
      <c r="BT1140" s="1"/>
      <c r="BU1140" s="1"/>
      <c r="BV1140" s="1"/>
      <c r="BW1140" s="1"/>
      <c r="BX1140" s="1"/>
      <c r="BY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D1140" s="1"/>
      <c r="GE1140" s="1"/>
      <c r="GF1140" s="1"/>
      <c r="GG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</row>
    <row r="1141" spans="3:222" x14ac:dyDescent="0.3">
      <c r="C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O1141" s="1"/>
      <c r="AP1141" s="1"/>
      <c r="AQ1141" s="1"/>
      <c r="AR1141" s="1"/>
      <c r="AS1141" s="1"/>
      <c r="AU1141" s="1"/>
      <c r="AV1141" s="1"/>
      <c r="AW1141" s="1"/>
      <c r="AX1141" s="1"/>
      <c r="AY1141" s="1"/>
      <c r="AZ1141" s="1"/>
      <c r="BA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Q1141" s="1"/>
      <c r="BR1141" s="1"/>
      <c r="BS1141" s="1"/>
      <c r="BT1141" s="1"/>
      <c r="BU1141" s="1"/>
      <c r="BV1141" s="1"/>
      <c r="BW1141" s="1"/>
      <c r="BX1141" s="1"/>
      <c r="BY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D1141" s="1"/>
      <c r="GE1141" s="1"/>
      <c r="GF1141" s="1"/>
      <c r="GG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</row>
    <row r="1142" spans="3:222" x14ac:dyDescent="0.3">
      <c r="C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O1142" s="1"/>
      <c r="AP1142" s="1"/>
      <c r="AQ1142" s="1"/>
      <c r="AR1142" s="1"/>
      <c r="AS1142" s="1"/>
      <c r="AU1142" s="1"/>
      <c r="AV1142" s="1"/>
      <c r="AW1142" s="1"/>
      <c r="AX1142" s="1"/>
      <c r="AY1142" s="1"/>
      <c r="AZ1142" s="1"/>
      <c r="BA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Q1142" s="1"/>
      <c r="BR1142" s="1"/>
      <c r="BS1142" s="1"/>
      <c r="BT1142" s="1"/>
      <c r="BU1142" s="1"/>
      <c r="BV1142" s="1"/>
      <c r="BW1142" s="1"/>
      <c r="BX1142" s="1"/>
      <c r="BY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D1142" s="1"/>
      <c r="GE1142" s="1"/>
      <c r="GF1142" s="1"/>
      <c r="GG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</row>
    <row r="1143" spans="3:222" x14ac:dyDescent="0.3">
      <c r="C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O1143" s="1"/>
      <c r="AP1143" s="1"/>
      <c r="AQ1143" s="1"/>
      <c r="AR1143" s="1"/>
      <c r="AS1143" s="1"/>
      <c r="AU1143" s="1"/>
      <c r="AV1143" s="1"/>
      <c r="AW1143" s="1"/>
      <c r="AX1143" s="1"/>
      <c r="AY1143" s="1"/>
      <c r="AZ1143" s="1"/>
      <c r="BA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Q1143" s="1"/>
      <c r="BR1143" s="1"/>
      <c r="BS1143" s="1"/>
      <c r="BT1143" s="1"/>
      <c r="BU1143" s="1"/>
      <c r="BV1143" s="1"/>
      <c r="BW1143" s="1"/>
      <c r="BX1143" s="1"/>
      <c r="BY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D1143" s="1"/>
      <c r="GE1143" s="1"/>
      <c r="GF1143" s="1"/>
      <c r="GG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</row>
    <row r="1144" spans="3:222" x14ac:dyDescent="0.3">
      <c r="C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O1144" s="1"/>
      <c r="AP1144" s="1"/>
      <c r="AQ1144" s="1"/>
      <c r="AR1144" s="1"/>
      <c r="AS1144" s="1"/>
      <c r="AU1144" s="1"/>
      <c r="AV1144" s="1"/>
      <c r="AW1144" s="1"/>
      <c r="AX1144" s="1"/>
      <c r="AY1144" s="1"/>
      <c r="AZ1144" s="1"/>
      <c r="BA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Q1144" s="1"/>
      <c r="BR1144" s="1"/>
      <c r="BS1144" s="1"/>
      <c r="BT1144" s="1"/>
      <c r="BU1144" s="1"/>
      <c r="BV1144" s="1"/>
      <c r="BW1144" s="1"/>
      <c r="BX1144" s="1"/>
      <c r="BY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D1144" s="1"/>
      <c r="GE1144" s="1"/>
      <c r="GF1144" s="1"/>
      <c r="GG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</row>
    <row r="1145" spans="3:222" x14ac:dyDescent="0.3">
      <c r="C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O1145" s="1"/>
      <c r="AP1145" s="1"/>
      <c r="AQ1145" s="1"/>
      <c r="AR1145" s="1"/>
      <c r="AS1145" s="1"/>
      <c r="AU1145" s="1"/>
      <c r="AV1145" s="1"/>
      <c r="AW1145" s="1"/>
      <c r="AX1145" s="1"/>
      <c r="AY1145" s="1"/>
      <c r="AZ1145" s="1"/>
      <c r="BA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Q1145" s="1"/>
      <c r="BR1145" s="1"/>
      <c r="BS1145" s="1"/>
      <c r="BT1145" s="1"/>
      <c r="BU1145" s="1"/>
      <c r="BV1145" s="1"/>
      <c r="BW1145" s="1"/>
      <c r="BX1145" s="1"/>
      <c r="BY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D1145" s="1"/>
      <c r="GE1145" s="1"/>
      <c r="GF1145" s="1"/>
      <c r="GG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</row>
    <row r="1146" spans="3:222" x14ac:dyDescent="0.3">
      <c r="C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O1146" s="1"/>
      <c r="AP1146" s="1"/>
      <c r="AQ1146" s="1"/>
      <c r="AR1146" s="1"/>
      <c r="AS1146" s="1"/>
      <c r="AU1146" s="1"/>
      <c r="AV1146" s="1"/>
      <c r="AW1146" s="1"/>
      <c r="AX1146" s="1"/>
      <c r="AY1146" s="1"/>
      <c r="AZ1146" s="1"/>
      <c r="BA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Q1146" s="1"/>
      <c r="BR1146" s="1"/>
      <c r="BS1146" s="1"/>
      <c r="BT1146" s="1"/>
      <c r="BU1146" s="1"/>
      <c r="BV1146" s="1"/>
      <c r="BW1146" s="1"/>
      <c r="BX1146" s="1"/>
      <c r="BY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D1146" s="1"/>
      <c r="GE1146" s="1"/>
      <c r="GF1146" s="1"/>
      <c r="GG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</row>
    <row r="1147" spans="3:222" x14ac:dyDescent="0.3">
      <c r="C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O1147" s="1"/>
      <c r="AP1147" s="1"/>
      <c r="AQ1147" s="1"/>
      <c r="AR1147" s="1"/>
      <c r="AS1147" s="1"/>
      <c r="AU1147" s="1"/>
      <c r="AV1147" s="1"/>
      <c r="AW1147" s="1"/>
      <c r="AX1147" s="1"/>
      <c r="AY1147" s="1"/>
      <c r="AZ1147" s="1"/>
      <c r="BA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Q1147" s="1"/>
      <c r="BR1147" s="1"/>
      <c r="BS1147" s="1"/>
      <c r="BT1147" s="1"/>
      <c r="BU1147" s="1"/>
      <c r="BV1147" s="1"/>
      <c r="BW1147" s="1"/>
      <c r="BX1147" s="1"/>
      <c r="BY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D1147" s="1"/>
      <c r="GE1147" s="1"/>
      <c r="GF1147" s="1"/>
      <c r="GG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</row>
    <row r="1148" spans="3:222" x14ac:dyDescent="0.3">
      <c r="C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O1148" s="1"/>
      <c r="AP1148" s="1"/>
      <c r="AQ1148" s="1"/>
      <c r="AR1148" s="1"/>
      <c r="AS1148" s="1"/>
      <c r="AU1148" s="1"/>
      <c r="AV1148" s="1"/>
      <c r="AW1148" s="1"/>
      <c r="AX1148" s="1"/>
      <c r="AY1148" s="1"/>
      <c r="AZ1148" s="1"/>
      <c r="BA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Q1148" s="1"/>
      <c r="BR1148" s="1"/>
      <c r="BS1148" s="1"/>
      <c r="BT1148" s="1"/>
      <c r="BU1148" s="1"/>
      <c r="BV1148" s="1"/>
      <c r="BW1148" s="1"/>
      <c r="BX1148" s="1"/>
      <c r="BY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D1148" s="1"/>
      <c r="GE1148" s="1"/>
      <c r="GF1148" s="1"/>
      <c r="GG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</row>
    <row r="1149" spans="3:222" x14ac:dyDescent="0.3">
      <c r="C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O1149" s="1"/>
      <c r="AP1149" s="1"/>
      <c r="AQ1149" s="1"/>
      <c r="AR1149" s="1"/>
      <c r="AS1149" s="1"/>
      <c r="AU1149" s="1"/>
      <c r="AV1149" s="1"/>
      <c r="AW1149" s="1"/>
      <c r="AX1149" s="1"/>
      <c r="AY1149" s="1"/>
      <c r="AZ1149" s="1"/>
      <c r="BA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Q1149" s="1"/>
      <c r="BR1149" s="1"/>
      <c r="BS1149" s="1"/>
      <c r="BT1149" s="1"/>
      <c r="BU1149" s="1"/>
      <c r="BV1149" s="1"/>
      <c r="BW1149" s="1"/>
      <c r="BX1149" s="1"/>
      <c r="BY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D1149" s="1"/>
      <c r="GE1149" s="1"/>
      <c r="GF1149" s="1"/>
      <c r="GG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</row>
    <row r="1150" spans="3:222" x14ac:dyDescent="0.3">
      <c r="C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O1150" s="1"/>
      <c r="AP1150" s="1"/>
      <c r="AQ1150" s="1"/>
      <c r="AR1150" s="1"/>
      <c r="AS1150" s="1"/>
      <c r="AU1150" s="1"/>
      <c r="AV1150" s="1"/>
      <c r="AW1150" s="1"/>
      <c r="AX1150" s="1"/>
      <c r="AY1150" s="1"/>
      <c r="AZ1150" s="1"/>
      <c r="BA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Q1150" s="1"/>
      <c r="BR1150" s="1"/>
      <c r="BS1150" s="1"/>
      <c r="BT1150" s="1"/>
      <c r="BU1150" s="1"/>
      <c r="BV1150" s="1"/>
      <c r="BW1150" s="1"/>
      <c r="BX1150" s="1"/>
      <c r="BY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D1150" s="1"/>
      <c r="GE1150" s="1"/>
      <c r="GF1150" s="1"/>
      <c r="GG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</row>
    <row r="1151" spans="3:222" x14ac:dyDescent="0.3">
      <c r="C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O1151" s="1"/>
      <c r="AP1151" s="1"/>
      <c r="AQ1151" s="1"/>
      <c r="AR1151" s="1"/>
      <c r="AS1151" s="1"/>
      <c r="AU1151" s="1"/>
      <c r="AV1151" s="1"/>
      <c r="AW1151" s="1"/>
      <c r="AX1151" s="1"/>
      <c r="AY1151" s="1"/>
      <c r="AZ1151" s="1"/>
      <c r="BA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Q1151" s="1"/>
      <c r="BR1151" s="1"/>
      <c r="BS1151" s="1"/>
      <c r="BT1151" s="1"/>
      <c r="BU1151" s="1"/>
      <c r="BV1151" s="1"/>
      <c r="BW1151" s="1"/>
      <c r="BX1151" s="1"/>
      <c r="BY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D1151" s="1"/>
      <c r="GE1151" s="1"/>
      <c r="GF1151" s="1"/>
      <c r="GG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</row>
    <row r="1152" spans="3:222" x14ac:dyDescent="0.3">
      <c r="C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O1152" s="1"/>
      <c r="AP1152" s="1"/>
      <c r="AQ1152" s="1"/>
      <c r="AR1152" s="1"/>
      <c r="AS1152" s="1"/>
      <c r="AU1152" s="1"/>
      <c r="AV1152" s="1"/>
      <c r="AW1152" s="1"/>
      <c r="AX1152" s="1"/>
      <c r="AY1152" s="1"/>
      <c r="AZ1152" s="1"/>
      <c r="BA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Q1152" s="1"/>
      <c r="BR1152" s="1"/>
      <c r="BS1152" s="1"/>
      <c r="BT1152" s="1"/>
      <c r="BU1152" s="1"/>
      <c r="BV1152" s="1"/>
      <c r="BW1152" s="1"/>
      <c r="BX1152" s="1"/>
      <c r="BY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D1152" s="1"/>
      <c r="GE1152" s="1"/>
      <c r="GF1152" s="1"/>
      <c r="GG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</row>
    <row r="1153" spans="3:222" x14ac:dyDescent="0.3">
      <c r="C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O1153" s="1"/>
      <c r="AP1153" s="1"/>
      <c r="AQ1153" s="1"/>
      <c r="AR1153" s="1"/>
      <c r="AS1153" s="1"/>
      <c r="AU1153" s="1"/>
      <c r="AV1153" s="1"/>
      <c r="AW1153" s="1"/>
      <c r="AX1153" s="1"/>
      <c r="AY1153" s="1"/>
      <c r="AZ1153" s="1"/>
      <c r="BA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Q1153" s="1"/>
      <c r="BR1153" s="1"/>
      <c r="BS1153" s="1"/>
      <c r="BT1153" s="1"/>
      <c r="BU1153" s="1"/>
      <c r="BV1153" s="1"/>
      <c r="BW1153" s="1"/>
      <c r="BX1153" s="1"/>
      <c r="BY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D1153" s="1"/>
      <c r="GE1153" s="1"/>
      <c r="GF1153" s="1"/>
      <c r="GG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</row>
    <row r="1154" spans="3:222" x14ac:dyDescent="0.3">
      <c r="C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O1154" s="1"/>
      <c r="AP1154" s="1"/>
      <c r="AQ1154" s="1"/>
      <c r="AR1154" s="1"/>
      <c r="AS1154" s="1"/>
      <c r="AU1154" s="1"/>
      <c r="AV1154" s="1"/>
      <c r="AW1154" s="1"/>
      <c r="AX1154" s="1"/>
      <c r="AY1154" s="1"/>
      <c r="AZ1154" s="1"/>
      <c r="BA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Q1154" s="1"/>
      <c r="BR1154" s="1"/>
      <c r="BS1154" s="1"/>
      <c r="BT1154" s="1"/>
      <c r="BU1154" s="1"/>
      <c r="BV1154" s="1"/>
      <c r="BW1154" s="1"/>
      <c r="BX1154" s="1"/>
      <c r="BY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D1154" s="1"/>
      <c r="GE1154" s="1"/>
      <c r="GF1154" s="1"/>
      <c r="GG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</row>
    <row r="1155" spans="3:222" x14ac:dyDescent="0.3">
      <c r="C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O1155" s="1"/>
      <c r="AP1155" s="1"/>
      <c r="AQ1155" s="1"/>
      <c r="AR1155" s="1"/>
      <c r="AS1155" s="1"/>
      <c r="AU1155" s="1"/>
      <c r="AV1155" s="1"/>
      <c r="AW1155" s="1"/>
      <c r="AX1155" s="1"/>
      <c r="AY1155" s="1"/>
      <c r="AZ1155" s="1"/>
      <c r="BA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Q1155" s="1"/>
      <c r="BR1155" s="1"/>
      <c r="BS1155" s="1"/>
      <c r="BT1155" s="1"/>
      <c r="BU1155" s="1"/>
      <c r="BV1155" s="1"/>
      <c r="BW1155" s="1"/>
      <c r="BX1155" s="1"/>
      <c r="BY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D1155" s="1"/>
      <c r="GE1155" s="1"/>
      <c r="GF1155" s="1"/>
      <c r="GG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</row>
    <row r="1156" spans="3:222" x14ac:dyDescent="0.3">
      <c r="C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O1156" s="1"/>
      <c r="AP1156" s="1"/>
      <c r="AQ1156" s="1"/>
      <c r="AR1156" s="1"/>
      <c r="AS1156" s="1"/>
      <c r="AU1156" s="1"/>
      <c r="AV1156" s="1"/>
      <c r="AW1156" s="1"/>
      <c r="AX1156" s="1"/>
      <c r="AY1156" s="1"/>
      <c r="AZ1156" s="1"/>
      <c r="BA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Q1156" s="1"/>
      <c r="BR1156" s="1"/>
      <c r="BS1156" s="1"/>
      <c r="BT1156" s="1"/>
      <c r="BU1156" s="1"/>
      <c r="BV1156" s="1"/>
      <c r="BW1156" s="1"/>
      <c r="BX1156" s="1"/>
      <c r="BY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D1156" s="1"/>
      <c r="GE1156" s="1"/>
      <c r="GF1156" s="1"/>
      <c r="GG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</row>
    <row r="1157" spans="3:222" x14ac:dyDescent="0.3">
      <c r="C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O1157" s="1"/>
      <c r="AP1157" s="1"/>
      <c r="AQ1157" s="1"/>
      <c r="AR1157" s="1"/>
      <c r="AS1157" s="1"/>
      <c r="AU1157" s="1"/>
      <c r="AV1157" s="1"/>
      <c r="AW1157" s="1"/>
      <c r="AX1157" s="1"/>
      <c r="AY1157" s="1"/>
      <c r="AZ1157" s="1"/>
      <c r="BA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Q1157" s="1"/>
      <c r="BR1157" s="1"/>
      <c r="BS1157" s="1"/>
      <c r="BT1157" s="1"/>
      <c r="BU1157" s="1"/>
      <c r="BV1157" s="1"/>
      <c r="BW1157" s="1"/>
      <c r="BX1157" s="1"/>
      <c r="BY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D1157" s="1"/>
      <c r="GE1157" s="1"/>
      <c r="GF1157" s="1"/>
      <c r="GG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</row>
    <row r="1158" spans="3:222" x14ac:dyDescent="0.3">
      <c r="C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O1158" s="1"/>
      <c r="AP1158" s="1"/>
      <c r="AQ1158" s="1"/>
      <c r="AR1158" s="1"/>
      <c r="AS1158" s="1"/>
      <c r="AU1158" s="1"/>
      <c r="AV1158" s="1"/>
      <c r="AW1158" s="1"/>
      <c r="AX1158" s="1"/>
      <c r="AY1158" s="1"/>
      <c r="AZ1158" s="1"/>
      <c r="BA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Q1158" s="1"/>
      <c r="BR1158" s="1"/>
      <c r="BS1158" s="1"/>
      <c r="BT1158" s="1"/>
      <c r="BU1158" s="1"/>
      <c r="BV1158" s="1"/>
      <c r="BW1158" s="1"/>
      <c r="BX1158" s="1"/>
      <c r="BY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D1158" s="1"/>
      <c r="GE1158" s="1"/>
      <c r="GF1158" s="1"/>
      <c r="GG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</row>
    <row r="1159" spans="3:222" x14ac:dyDescent="0.3">
      <c r="C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O1159" s="1"/>
      <c r="AP1159" s="1"/>
      <c r="AQ1159" s="1"/>
      <c r="AR1159" s="1"/>
      <c r="AS1159" s="1"/>
      <c r="AU1159" s="1"/>
      <c r="AV1159" s="1"/>
      <c r="AW1159" s="1"/>
      <c r="AX1159" s="1"/>
      <c r="AY1159" s="1"/>
      <c r="AZ1159" s="1"/>
      <c r="BA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Q1159" s="1"/>
      <c r="BR1159" s="1"/>
      <c r="BS1159" s="1"/>
      <c r="BT1159" s="1"/>
      <c r="BU1159" s="1"/>
      <c r="BV1159" s="1"/>
      <c r="BW1159" s="1"/>
      <c r="BX1159" s="1"/>
      <c r="BY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D1159" s="1"/>
      <c r="GE1159" s="1"/>
      <c r="GF1159" s="1"/>
      <c r="GG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</row>
    <row r="1160" spans="3:222" x14ac:dyDescent="0.3">
      <c r="C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O1160" s="1"/>
      <c r="AP1160" s="1"/>
      <c r="AQ1160" s="1"/>
      <c r="AR1160" s="1"/>
      <c r="AS1160" s="1"/>
      <c r="AU1160" s="1"/>
      <c r="AV1160" s="1"/>
      <c r="AW1160" s="1"/>
      <c r="AX1160" s="1"/>
      <c r="AY1160" s="1"/>
      <c r="AZ1160" s="1"/>
      <c r="BA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Q1160" s="1"/>
      <c r="BR1160" s="1"/>
      <c r="BS1160" s="1"/>
      <c r="BT1160" s="1"/>
      <c r="BU1160" s="1"/>
      <c r="BV1160" s="1"/>
      <c r="BW1160" s="1"/>
      <c r="BX1160" s="1"/>
      <c r="BY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D1160" s="1"/>
      <c r="GE1160" s="1"/>
      <c r="GF1160" s="1"/>
      <c r="GG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</row>
    <row r="1161" spans="3:222" x14ac:dyDescent="0.3">
      <c r="C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O1161" s="1"/>
      <c r="AP1161" s="1"/>
      <c r="AQ1161" s="1"/>
      <c r="AR1161" s="1"/>
      <c r="AS1161" s="1"/>
      <c r="AU1161" s="1"/>
      <c r="AV1161" s="1"/>
      <c r="AW1161" s="1"/>
      <c r="AX1161" s="1"/>
      <c r="AY1161" s="1"/>
      <c r="AZ1161" s="1"/>
      <c r="BA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Q1161" s="1"/>
      <c r="BR1161" s="1"/>
      <c r="BS1161" s="1"/>
      <c r="BT1161" s="1"/>
      <c r="BU1161" s="1"/>
      <c r="BV1161" s="1"/>
      <c r="BW1161" s="1"/>
      <c r="BX1161" s="1"/>
      <c r="BY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D1161" s="1"/>
      <c r="GE1161" s="1"/>
      <c r="GF1161" s="1"/>
      <c r="GG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</row>
    <row r="1162" spans="3:222" x14ac:dyDescent="0.3">
      <c r="C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O1162" s="1"/>
      <c r="AP1162" s="1"/>
      <c r="AQ1162" s="1"/>
      <c r="AR1162" s="1"/>
      <c r="AS1162" s="1"/>
      <c r="AU1162" s="1"/>
      <c r="AV1162" s="1"/>
      <c r="AW1162" s="1"/>
      <c r="AX1162" s="1"/>
      <c r="AY1162" s="1"/>
      <c r="AZ1162" s="1"/>
      <c r="BA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Q1162" s="1"/>
      <c r="BR1162" s="1"/>
      <c r="BS1162" s="1"/>
      <c r="BT1162" s="1"/>
      <c r="BU1162" s="1"/>
      <c r="BV1162" s="1"/>
      <c r="BW1162" s="1"/>
      <c r="BX1162" s="1"/>
      <c r="BY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D1162" s="1"/>
      <c r="GE1162" s="1"/>
      <c r="GF1162" s="1"/>
      <c r="GG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</row>
    <row r="1163" spans="3:222" x14ac:dyDescent="0.3">
      <c r="C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O1163" s="1"/>
      <c r="AP1163" s="1"/>
      <c r="AQ1163" s="1"/>
      <c r="AR1163" s="1"/>
      <c r="AS1163" s="1"/>
      <c r="AU1163" s="1"/>
      <c r="AV1163" s="1"/>
      <c r="AW1163" s="1"/>
      <c r="AX1163" s="1"/>
      <c r="AY1163" s="1"/>
      <c r="AZ1163" s="1"/>
      <c r="BA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Q1163" s="1"/>
      <c r="BR1163" s="1"/>
      <c r="BS1163" s="1"/>
      <c r="BT1163" s="1"/>
      <c r="BU1163" s="1"/>
      <c r="BV1163" s="1"/>
      <c r="BW1163" s="1"/>
      <c r="BX1163" s="1"/>
      <c r="BY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D1163" s="1"/>
      <c r="GE1163" s="1"/>
      <c r="GF1163" s="1"/>
      <c r="GG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</row>
    <row r="1164" spans="3:222" x14ac:dyDescent="0.3">
      <c r="C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O1164" s="1"/>
      <c r="AP1164" s="1"/>
      <c r="AQ1164" s="1"/>
      <c r="AR1164" s="1"/>
      <c r="AS1164" s="1"/>
      <c r="AU1164" s="1"/>
      <c r="AV1164" s="1"/>
      <c r="AW1164" s="1"/>
      <c r="AX1164" s="1"/>
      <c r="AY1164" s="1"/>
      <c r="AZ1164" s="1"/>
      <c r="BA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Q1164" s="1"/>
      <c r="BR1164" s="1"/>
      <c r="BS1164" s="1"/>
      <c r="BT1164" s="1"/>
      <c r="BU1164" s="1"/>
      <c r="BV1164" s="1"/>
      <c r="BW1164" s="1"/>
      <c r="BX1164" s="1"/>
      <c r="BY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D1164" s="1"/>
      <c r="GE1164" s="1"/>
      <c r="GF1164" s="1"/>
      <c r="GG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</row>
    <row r="1165" spans="3:222" x14ac:dyDescent="0.3">
      <c r="C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O1165" s="1"/>
      <c r="AP1165" s="1"/>
      <c r="AQ1165" s="1"/>
      <c r="AR1165" s="1"/>
      <c r="AS1165" s="1"/>
      <c r="AU1165" s="1"/>
      <c r="AV1165" s="1"/>
      <c r="AW1165" s="1"/>
      <c r="AX1165" s="1"/>
      <c r="AY1165" s="1"/>
      <c r="AZ1165" s="1"/>
      <c r="BA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Q1165" s="1"/>
      <c r="BR1165" s="1"/>
      <c r="BS1165" s="1"/>
      <c r="BT1165" s="1"/>
      <c r="BU1165" s="1"/>
      <c r="BV1165" s="1"/>
      <c r="BW1165" s="1"/>
      <c r="BX1165" s="1"/>
      <c r="BY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D1165" s="1"/>
      <c r="GE1165" s="1"/>
      <c r="GF1165" s="1"/>
      <c r="GG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</row>
    <row r="1166" spans="3:222" x14ac:dyDescent="0.3">
      <c r="C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O1166" s="1"/>
      <c r="AP1166" s="1"/>
      <c r="AQ1166" s="1"/>
      <c r="AR1166" s="1"/>
      <c r="AS1166" s="1"/>
      <c r="AU1166" s="1"/>
      <c r="AV1166" s="1"/>
      <c r="AW1166" s="1"/>
      <c r="AX1166" s="1"/>
      <c r="AY1166" s="1"/>
      <c r="AZ1166" s="1"/>
      <c r="BA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Q1166" s="1"/>
      <c r="BR1166" s="1"/>
      <c r="BS1166" s="1"/>
      <c r="BT1166" s="1"/>
      <c r="BU1166" s="1"/>
      <c r="BV1166" s="1"/>
      <c r="BW1166" s="1"/>
      <c r="BX1166" s="1"/>
      <c r="BY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D1166" s="1"/>
      <c r="GE1166" s="1"/>
      <c r="GF1166" s="1"/>
      <c r="GG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</row>
    <row r="1167" spans="3:222" x14ac:dyDescent="0.3">
      <c r="C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O1167" s="1"/>
      <c r="AP1167" s="1"/>
      <c r="AQ1167" s="1"/>
      <c r="AR1167" s="1"/>
      <c r="AS1167" s="1"/>
      <c r="AU1167" s="1"/>
      <c r="AV1167" s="1"/>
      <c r="AW1167" s="1"/>
      <c r="AX1167" s="1"/>
      <c r="AY1167" s="1"/>
      <c r="AZ1167" s="1"/>
      <c r="BA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Q1167" s="1"/>
      <c r="BR1167" s="1"/>
      <c r="BS1167" s="1"/>
      <c r="BT1167" s="1"/>
      <c r="BU1167" s="1"/>
      <c r="BV1167" s="1"/>
      <c r="BW1167" s="1"/>
      <c r="BX1167" s="1"/>
      <c r="BY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D1167" s="1"/>
      <c r="GE1167" s="1"/>
      <c r="GF1167" s="1"/>
      <c r="GG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</row>
    <row r="1168" spans="3:222" x14ac:dyDescent="0.3">
      <c r="C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O1168" s="1"/>
      <c r="AP1168" s="1"/>
      <c r="AQ1168" s="1"/>
      <c r="AR1168" s="1"/>
      <c r="AS1168" s="1"/>
      <c r="AU1168" s="1"/>
      <c r="AV1168" s="1"/>
      <c r="AW1168" s="1"/>
      <c r="AX1168" s="1"/>
      <c r="AY1168" s="1"/>
      <c r="AZ1168" s="1"/>
      <c r="BA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Q1168" s="1"/>
      <c r="BR1168" s="1"/>
      <c r="BS1168" s="1"/>
      <c r="BT1168" s="1"/>
      <c r="BU1168" s="1"/>
      <c r="BV1168" s="1"/>
      <c r="BW1168" s="1"/>
      <c r="BX1168" s="1"/>
      <c r="BY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D1168" s="1"/>
      <c r="GE1168" s="1"/>
      <c r="GF1168" s="1"/>
      <c r="GG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</row>
    <row r="1169" spans="3:222" x14ac:dyDescent="0.3">
      <c r="C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O1169" s="1"/>
      <c r="AP1169" s="1"/>
      <c r="AQ1169" s="1"/>
      <c r="AR1169" s="1"/>
      <c r="AS1169" s="1"/>
      <c r="AU1169" s="1"/>
      <c r="AV1169" s="1"/>
      <c r="AW1169" s="1"/>
      <c r="AX1169" s="1"/>
      <c r="AY1169" s="1"/>
      <c r="AZ1169" s="1"/>
      <c r="BA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Q1169" s="1"/>
      <c r="BR1169" s="1"/>
      <c r="BS1169" s="1"/>
      <c r="BT1169" s="1"/>
      <c r="BU1169" s="1"/>
      <c r="BV1169" s="1"/>
      <c r="BW1169" s="1"/>
      <c r="BX1169" s="1"/>
      <c r="BY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D1169" s="1"/>
      <c r="GE1169" s="1"/>
      <c r="GF1169" s="1"/>
      <c r="GG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</row>
    <row r="1170" spans="3:222" x14ac:dyDescent="0.3">
      <c r="C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O1170" s="1"/>
      <c r="AP1170" s="1"/>
      <c r="AQ1170" s="1"/>
      <c r="AR1170" s="1"/>
      <c r="AS1170" s="1"/>
      <c r="AU1170" s="1"/>
      <c r="AV1170" s="1"/>
      <c r="AW1170" s="1"/>
      <c r="AX1170" s="1"/>
      <c r="AY1170" s="1"/>
      <c r="AZ1170" s="1"/>
      <c r="BA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Q1170" s="1"/>
      <c r="BR1170" s="1"/>
      <c r="BS1170" s="1"/>
      <c r="BT1170" s="1"/>
      <c r="BU1170" s="1"/>
      <c r="BV1170" s="1"/>
      <c r="BW1170" s="1"/>
      <c r="BX1170" s="1"/>
      <c r="BY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D1170" s="1"/>
      <c r="GE1170" s="1"/>
      <c r="GF1170" s="1"/>
      <c r="GG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</row>
    <row r="1171" spans="3:222" x14ac:dyDescent="0.3">
      <c r="C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O1171" s="1"/>
      <c r="AP1171" s="1"/>
      <c r="AQ1171" s="1"/>
      <c r="AR1171" s="1"/>
      <c r="AS1171" s="1"/>
      <c r="AU1171" s="1"/>
      <c r="AV1171" s="1"/>
      <c r="AW1171" s="1"/>
      <c r="AX1171" s="1"/>
      <c r="AY1171" s="1"/>
      <c r="AZ1171" s="1"/>
      <c r="BA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Q1171" s="1"/>
      <c r="BR1171" s="1"/>
      <c r="BS1171" s="1"/>
      <c r="BT1171" s="1"/>
      <c r="BU1171" s="1"/>
      <c r="BV1171" s="1"/>
      <c r="BW1171" s="1"/>
      <c r="BX1171" s="1"/>
      <c r="BY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D1171" s="1"/>
      <c r="GE1171" s="1"/>
      <c r="GF1171" s="1"/>
      <c r="GG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</row>
    <row r="1172" spans="3:222" x14ac:dyDescent="0.3">
      <c r="C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O1172" s="1"/>
      <c r="AP1172" s="1"/>
      <c r="AQ1172" s="1"/>
      <c r="AR1172" s="1"/>
      <c r="AS1172" s="1"/>
      <c r="AU1172" s="1"/>
      <c r="AV1172" s="1"/>
      <c r="AW1172" s="1"/>
      <c r="AX1172" s="1"/>
      <c r="AY1172" s="1"/>
      <c r="AZ1172" s="1"/>
      <c r="BA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Q1172" s="1"/>
      <c r="BR1172" s="1"/>
      <c r="BS1172" s="1"/>
      <c r="BT1172" s="1"/>
      <c r="BU1172" s="1"/>
      <c r="BV1172" s="1"/>
      <c r="BW1172" s="1"/>
      <c r="BX1172" s="1"/>
      <c r="BY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D1172" s="1"/>
      <c r="GE1172" s="1"/>
      <c r="GF1172" s="1"/>
      <c r="GG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</row>
    <row r="1173" spans="3:222" x14ac:dyDescent="0.3">
      <c r="C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O1173" s="1"/>
      <c r="AP1173" s="1"/>
      <c r="AQ1173" s="1"/>
      <c r="AR1173" s="1"/>
      <c r="AS1173" s="1"/>
      <c r="AU1173" s="1"/>
      <c r="AV1173" s="1"/>
      <c r="AW1173" s="1"/>
      <c r="AX1173" s="1"/>
      <c r="AY1173" s="1"/>
      <c r="AZ1173" s="1"/>
      <c r="BA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Q1173" s="1"/>
      <c r="BR1173" s="1"/>
      <c r="BS1173" s="1"/>
      <c r="BT1173" s="1"/>
      <c r="BU1173" s="1"/>
      <c r="BV1173" s="1"/>
      <c r="BW1173" s="1"/>
      <c r="BX1173" s="1"/>
      <c r="BY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D1173" s="1"/>
      <c r="GE1173" s="1"/>
      <c r="GF1173" s="1"/>
      <c r="GG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</row>
    <row r="1174" spans="3:222" x14ac:dyDescent="0.3">
      <c r="C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O1174" s="1"/>
      <c r="AP1174" s="1"/>
      <c r="AQ1174" s="1"/>
      <c r="AR1174" s="1"/>
      <c r="AS1174" s="1"/>
      <c r="AU1174" s="1"/>
      <c r="AV1174" s="1"/>
      <c r="AW1174" s="1"/>
      <c r="AX1174" s="1"/>
      <c r="AY1174" s="1"/>
      <c r="AZ1174" s="1"/>
      <c r="BA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Q1174" s="1"/>
      <c r="BR1174" s="1"/>
      <c r="BS1174" s="1"/>
      <c r="BT1174" s="1"/>
      <c r="BU1174" s="1"/>
      <c r="BV1174" s="1"/>
      <c r="BW1174" s="1"/>
      <c r="BX1174" s="1"/>
      <c r="BY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D1174" s="1"/>
      <c r="GE1174" s="1"/>
      <c r="GF1174" s="1"/>
      <c r="GG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</row>
    <row r="1175" spans="3:222" x14ac:dyDescent="0.3">
      <c r="C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O1175" s="1"/>
      <c r="AP1175" s="1"/>
      <c r="AQ1175" s="1"/>
      <c r="AR1175" s="1"/>
      <c r="AS1175" s="1"/>
      <c r="AU1175" s="1"/>
      <c r="AV1175" s="1"/>
      <c r="AW1175" s="1"/>
      <c r="AX1175" s="1"/>
      <c r="AY1175" s="1"/>
      <c r="AZ1175" s="1"/>
      <c r="BA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Q1175" s="1"/>
      <c r="BR1175" s="1"/>
      <c r="BS1175" s="1"/>
      <c r="BT1175" s="1"/>
      <c r="BU1175" s="1"/>
      <c r="BV1175" s="1"/>
      <c r="BW1175" s="1"/>
      <c r="BX1175" s="1"/>
      <c r="BY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D1175" s="1"/>
      <c r="GE1175" s="1"/>
      <c r="GF1175" s="1"/>
      <c r="GG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</row>
    <row r="1176" spans="3:222" x14ac:dyDescent="0.3">
      <c r="C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O1176" s="1"/>
      <c r="AP1176" s="1"/>
      <c r="AQ1176" s="1"/>
      <c r="AR1176" s="1"/>
      <c r="AS1176" s="1"/>
      <c r="AU1176" s="1"/>
      <c r="AV1176" s="1"/>
      <c r="AW1176" s="1"/>
      <c r="AX1176" s="1"/>
      <c r="AY1176" s="1"/>
      <c r="AZ1176" s="1"/>
      <c r="BA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Q1176" s="1"/>
      <c r="BR1176" s="1"/>
      <c r="BS1176" s="1"/>
      <c r="BT1176" s="1"/>
      <c r="BU1176" s="1"/>
      <c r="BV1176" s="1"/>
      <c r="BW1176" s="1"/>
      <c r="BX1176" s="1"/>
      <c r="BY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D1176" s="1"/>
      <c r="GE1176" s="1"/>
      <c r="GF1176" s="1"/>
      <c r="GG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</row>
    <row r="1177" spans="3:222" x14ac:dyDescent="0.3">
      <c r="C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O1177" s="1"/>
      <c r="AP1177" s="1"/>
      <c r="AQ1177" s="1"/>
      <c r="AR1177" s="1"/>
      <c r="AS1177" s="1"/>
      <c r="AU1177" s="1"/>
      <c r="AV1177" s="1"/>
      <c r="AW1177" s="1"/>
      <c r="AX1177" s="1"/>
      <c r="AY1177" s="1"/>
      <c r="AZ1177" s="1"/>
      <c r="BA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Q1177" s="1"/>
      <c r="BR1177" s="1"/>
      <c r="BS1177" s="1"/>
      <c r="BT1177" s="1"/>
      <c r="BU1177" s="1"/>
      <c r="BV1177" s="1"/>
      <c r="BW1177" s="1"/>
      <c r="BX1177" s="1"/>
      <c r="BY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D1177" s="1"/>
      <c r="GE1177" s="1"/>
      <c r="GF1177" s="1"/>
      <c r="GG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</row>
    <row r="1178" spans="3:222" x14ac:dyDescent="0.3">
      <c r="C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O1178" s="1"/>
      <c r="AP1178" s="1"/>
      <c r="AQ1178" s="1"/>
      <c r="AR1178" s="1"/>
      <c r="AS1178" s="1"/>
      <c r="AU1178" s="1"/>
      <c r="AV1178" s="1"/>
      <c r="AW1178" s="1"/>
      <c r="AX1178" s="1"/>
      <c r="AY1178" s="1"/>
      <c r="AZ1178" s="1"/>
      <c r="BA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Q1178" s="1"/>
      <c r="BR1178" s="1"/>
      <c r="BS1178" s="1"/>
      <c r="BT1178" s="1"/>
      <c r="BU1178" s="1"/>
      <c r="BV1178" s="1"/>
      <c r="BW1178" s="1"/>
      <c r="BX1178" s="1"/>
      <c r="BY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D1178" s="1"/>
      <c r="GE1178" s="1"/>
      <c r="GF1178" s="1"/>
      <c r="GG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</row>
    <row r="1179" spans="3:222" x14ac:dyDescent="0.3">
      <c r="C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O1179" s="1"/>
      <c r="AP1179" s="1"/>
      <c r="AQ1179" s="1"/>
      <c r="AR1179" s="1"/>
      <c r="AS1179" s="1"/>
      <c r="AU1179" s="1"/>
      <c r="AV1179" s="1"/>
      <c r="AW1179" s="1"/>
      <c r="AX1179" s="1"/>
      <c r="AY1179" s="1"/>
      <c r="AZ1179" s="1"/>
      <c r="BA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Q1179" s="1"/>
      <c r="BR1179" s="1"/>
      <c r="BS1179" s="1"/>
      <c r="BT1179" s="1"/>
      <c r="BU1179" s="1"/>
      <c r="BV1179" s="1"/>
      <c r="BW1179" s="1"/>
      <c r="BX1179" s="1"/>
      <c r="BY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D1179" s="1"/>
      <c r="GE1179" s="1"/>
      <c r="GF1179" s="1"/>
      <c r="GG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</row>
    <row r="1180" spans="3:222" x14ac:dyDescent="0.3">
      <c r="C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O1180" s="1"/>
      <c r="AP1180" s="1"/>
      <c r="AQ1180" s="1"/>
      <c r="AR1180" s="1"/>
      <c r="AS1180" s="1"/>
      <c r="AU1180" s="1"/>
      <c r="AV1180" s="1"/>
      <c r="AW1180" s="1"/>
      <c r="AX1180" s="1"/>
      <c r="AY1180" s="1"/>
      <c r="AZ1180" s="1"/>
      <c r="BA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Q1180" s="1"/>
      <c r="BR1180" s="1"/>
      <c r="BS1180" s="1"/>
      <c r="BT1180" s="1"/>
      <c r="BU1180" s="1"/>
      <c r="BV1180" s="1"/>
      <c r="BW1180" s="1"/>
      <c r="BX1180" s="1"/>
      <c r="BY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D1180" s="1"/>
      <c r="GE1180" s="1"/>
      <c r="GF1180" s="1"/>
      <c r="GG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</row>
    <row r="1181" spans="3:222" x14ac:dyDescent="0.3">
      <c r="C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O1181" s="1"/>
      <c r="AP1181" s="1"/>
      <c r="AQ1181" s="1"/>
      <c r="AR1181" s="1"/>
      <c r="AS1181" s="1"/>
      <c r="AU1181" s="1"/>
      <c r="AV1181" s="1"/>
      <c r="AW1181" s="1"/>
      <c r="AX1181" s="1"/>
      <c r="AY1181" s="1"/>
      <c r="AZ1181" s="1"/>
      <c r="BA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Q1181" s="1"/>
      <c r="BR1181" s="1"/>
      <c r="BS1181" s="1"/>
      <c r="BT1181" s="1"/>
      <c r="BU1181" s="1"/>
      <c r="BV1181" s="1"/>
      <c r="BW1181" s="1"/>
      <c r="BX1181" s="1"/>
      <c r="BY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D1181" s="1"/>
      <c r="GE1181" s="1"/>
      <c r="GF1181" s="1"/>
      <c r="GG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</row>
    <row r="1182" spans="3:222" x14ac:dyDescent="0.3">
      <c r="C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O1182" s="1"/>
      <c r="AP1182" s="1"/>
      <c r="AQ1182" s="1"/>
      <c r="AR1182" s="1"/>
      <c r="AS1182" s="1"/>
      <c r="AU1182" s="1"/>
      <c r="AV1182" s="1"/>
      <c r="AW1182" s="1"/>
      <c r="AX1182" s="1"/>
      <c r="AY1182" s="1"/>
      <c r="AZ1182" s="1"/>
      <c r="BA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Q1182" s="1"/>
      <c r="BR1182" s="1"/>
      <c r="BS1182" s="1"/>
      <c r="BT1182" s="1"/>
      <c r="BU1182" s="1"/>
      <c r="BV1182" s="1"/>
      <c r="BW1182" s="1"/>
      <c r="BX1182" s="1"/>
      <c r="BY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D1182" s="1"/>
      <c r="GE1182" s="1"/>
      <c r="GF1182" s="1"/>
      <c r="GG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</row>
    <row r="1183" spans="3:222" x14ac:dyDescent="0.3">
      <c r="C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O1183" s="1"/>
      <c r="AP1183" s="1"/>
      <c r="AQ1183" s="1"/>
      <c r="AR1183" s="1"/>
      <c r="AS1183" s="1"/>
      <c r="AU1183" s="1"/>
      <c r="AV1183" s="1"/>
      <c r="AW1183" s="1"/>
      <c r="AX1183" s="1"/>
      <c r="AY1183" s="1"/>
      <c r="AZ1183" s="1"/>
      <c r="BA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Q1183" s="1"/>
      <c r="BR1183" s="1"/>
      <c r="BS1183" s="1"/>
      <c r="BT1183" s="1"/>
      <c r="BU1183" s="1"/>
      <c r="BV1183" s="1"/>
      <c r="BW1183" s="1"/>
      <c r="BX1183" s="1"/>
      <c r="BY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D1183" s="1"/>
      <c r="GE1183" s="1"/>
      <c r="GF1183" s="1"/>
      <c r="GG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</row>
    <row r="1184" spans="3:222" x14ac:dyDescent="0.3">
      <c r="C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O1184" s="1"/>
      <c r="AP1184" s="1"/>
      <c r="AQ1184" s="1"/>
      <c r="AR1184" s="1"/>
      <c r="AS1184" s="1"/>
      <c r="AU1184" s="1"/>
      <c r="AV1184" s="1"/>
      <c r="AW1184" s="1"/>
      <c r="AX1184" s="1"/>
      <c r="AY1184" s="1"/>
      <c r="AZ1184" s="1"/>
      <c r="BA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Q1184" s="1"/>
      <c r="BR1184" s="1"/>
      <c r="BS1184" s="1"/>
      <c r="BT1184" s="1"/>
      <c r="BU1184" s="1"/>
      <c r="BV1184" s="1"/>
      <c r="BW1184" s="1"/>
      <c r="BX1184" s="1"/>
      <c r="BY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D1184" s="1"/>
      <c r="GE1184" s="1"/>
      <c r="GF1184" s="1"/>
      <c r="GG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</row>
    <row r="1185" spans="3:222" x14ac:dyDescent="0.3">
      <c r="C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O1185" s="1"/>
      <c r="AP1185" s="1"/>
      <c r="AQ1185" s="1"/>
      <c r="AR1185" s="1"/>
      <c r="AS1185" s="1"/>
      <c r="AU1185" s="1"/>
      <c r="AV1185" s="1"/>
      <c r="AW1185" s="1"/>
      <c r="AX1185" s="1"/>
      <c r="AY1185" s="1"/>
      <c r="AZ1185" s="1"/>
      <c r="BA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Q1185" s="1"/>
      <c r="BR1185" s="1"/>
      <c r="BS1185" s="1"/>
      <c r="BT1185" s="1"/>
      <c r="BU1185" s="1"/>
      <c r="BV1185" s="1"/>
      <c r="BW1185" s="1"/>
      <c r="BX1185" s="1"/>
      <c r="BY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D1185" s="1"/>
      <c r="GE1185" s="1"/>
      <c r="GF1185" s="1"/>
      <c r="GG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</row>
    <row r="1186" spans="3:222" x14ac:dyDescent="0.3">
      <c r="C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O1186" s="1"/>
      <c r="AP1186" s="1"/>
      <c r="AQ1186" s="1"/>
      <c r="AR1186" s="1"/>
      <c r="AS1186" s="1"/>
      <c r="AU1186" s="1"/>
      <c r="AV1186" s="1"/>
      <c r="AW1186" s="1"/>
      <c r="AX1186" s="1"/>
      <c r="AY1186" s="1"/>
      <c r="AZ1186" s="1"/>
      <c r="BA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Q1186" s="1"/>
      <c r="BR1186" s="1"/>
      <c r="BS1186" s="1"/>
      <c r="BT1186" s="1"/>
      <c r="BU1186" s="1"/>
      <c r="BV1186" s="1"/>
      <c r="BW1186" s="1"/>
      <c r="BX1186" s="1"/>
      <c r="BY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D1186" s="1"/>
      <c r="GE1186" s="1"/>
      <c r="GF1186" s="1"/>
      <c r="GG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</row>
    <row r="1187" spans="3:222" x14ac:dyDescent="0.3">
      <c r="C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O1187" s="1"/>
      <c r="AP1187" s="1"/>
      <c r="AQ1187" s="1"/>
      <c r="AR1187" s="1"/>
      <c r="AS1187" s="1"/>
      <c r="AU1187" s="1"/>
      <c r="AV1187" s="1"/>
      <c r="AW1187" s="1"/>
      <c r="AX1187" s="1"/>
      <c r="AY1187" s="1"/>
      <c r="AZ1187" s="1"/>
      <c r="BA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Q1187" s="1"/>
      <c r="BR1187" s="1"/>
      <c r="BS1187" s="1"/>
      <c r="BT1187" s="1"/>
      <c r="BU1187" s="1"/>
      <c r="BV1187" s="1"/>
      <c r="BW1187" s="1"/>
      <c r="BX1187" s="1"/>
      <c r="BY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D1187" s="1"/>
      <c r="GE1187" s="1"/>
      <c r="GF1187" s="1"/>
      <c r="GG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</row>
    <row r="1188" spans="3:222" x14ac:dyDescent="0.3">
      <c r="C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O1188" s="1"/>
      <c r="AP1188" s="1"/>
      <c r="AQ1188" s="1"/>
      <c r="AR1188" s="1"/>
      <c r="AS1188" s="1"/>
      <c r="AU1188" s="1"/>
      <c r="AV1188" s="1"/>
      <c r="AW1188" s="1"/>
      <c r="AX1188" s="1"/>
      <c r="AY1188" s="1"/>
      <c r="AZ1188" s="1"/>
      <c r="BA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Q1188" s="1"/>
      <c r="BR1188" s="1"/>
      <c r="BS1188" s="1"/>
      <c r="BT1188" s="1"/>
      <c r="BU1188" s="1"/>
      <c r="BV1188" s="1"/>
      <c r="BW1188" s="1"/>
      <c r="BX1188" s="1"/>
      <c r="BY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D1188" s="1"/>
      <c r="GE1188" s="1"/>
      <c r="GF1188" s="1"/>
      <c r="GG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</row>
    <row r="1189" spans="3:222" x14ac:dyDescent="0.3">
      <c r="C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O1189" s="1"/>
      <c r="AP1189" s="1"/>
      <c r="AQ1189" s="1"/>
      <c r="AR1189" s="1"/>
      <c r="AS1189" s="1"/>
      <c r="AU1189" s="1"/>
      <c r="AV1189" s="1"/>
      <c r="AW1189" s="1"/>
      <c r="AX1189" s="1"/>
      <c r="AY1189" s="1"/>
      <c r="AZ1189" s="1"/>
      <c r="BA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Q1189" s="1"/>
      <c r="BR1189" s="1"/>
      <c r="BS1189" s="1"/>
      <c r="BT1189" s="1"/>
      <c r="BU1189" s="1"/>
      <c r="BV1189" s="1"/>
      <c r="BW1189" s="1"/>
      <c r="BX1189" s="1"/>
      <c r="BY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D1189" s="1"/>
      <c r="GE1189" s="1"/>
      <c r="GF1189" s="1"/>
      <c r="GG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</row>
    <row r="1190" spans="3:222" x14ac:dyDescent="0.3">
      <c r="C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O1190" s="1"/>
      <c r="AP1190" s="1"/>
      <c r="AQ1190" s="1"/>
      <c r="AR1190" s="1"/>
      <c r="AS1190" s="1"/>
      <c r="AU1190" s="1"/>
      <c r="AV1190" s="1"/>
      <c r="AW1190" s="1"/>
      <c r="AX1190" s="1"/>
      <c r="AY1190" s="1"/>
      <c r="AZ1190" s="1"/>
      <c r="BA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Q1190" s="1"/>
      <c r="BR1190" s="1"/>
      <c r="BS1190" s="1"/>
      <c r="BT1190" s="1"/>
      <c r="BU1190" s="1"/>
      <c r="BV1190" s="1"/>
      <c r="BW1190" s="1"/>
      <c r="BX1190" s="1"/>
      <c r="BY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D1190" s="1"/>
      <c r="GE1190" s="1"/>
      <c r="GF1190" s="1"/>
      <c r="GG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</row>
    <row r="1191" spans="3:222" x14ac:dyDescent="0.3">
      <c r="C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O1191" s="1"/>
      <c r="AP1191" s="1"/>
      <c r="AQ1191" s="1"/>
      <c r="AR1191" s="1"/>
      <c r="AS1191" s="1"/>
      <c r="AU1191" s="1"/>
      <c r="AV1191" s="1"/>
      <c r="AW1191" s="1"/>
      <c r="AX1191" s="1"/>
      <c r="AY1191" s="1"/>
      <c r="AZ1191" s="1"/>
      <c r="BA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Q1191" s="1"/>
      <c r="BR1191" s="1"/>
      <c r="BS1191" s="1"/>
      <c r="BT1191" s="1"/>
      <c r="BU1191" s="1"/>
      <c r="BV1191" s="1"/>
      <c r="BW1191" s="1"/>
      <c r="BX1191" s="1"/>
      <c r="BY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D1191" s="1"/>
      <c r="GE1191" s="1"/>
      <c r="GF1191" s="1"/>
      <c r="GG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</row>
    <row r="1192" spans="3:222" x14ac:dyDescent="0.3">
      <c r="C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O1192" s="1"/>
      <c r="AP1192" s="1"/>
      <c r="AQ1192" s="1"/>
      <c r="AR1192" s="1"/>
      <c r="AS1192" s="1"/>
      <c r="AU1192" s="1"/>
      <c r="AV1192" s="1"/>
      <c r="AW1192" s="1"/>
      <c r="AX1192" s="1"/>
      <c r="AY1192" s="1"/>
      <c r="AZ1192" s="1"/>
      <c r="BA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Q1192" s="1"/>
      <c r="BR1192" s="1"/>
      <c r="BS1192" s="1"/>
      <c r="BT1192" s="1"/>
      <c r="BU1192" s="1"/>
      <c r="BV1192" s="1"/>
      <c r="BW1192" s="1"/>
      <c r="BX1192" s="1"/>
      <c r="BY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D1192" s="1"/>
      <c r="GE1192" s="1"/>
      <c r="GF1192" s="1"/>
      <c r="GG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</row>
    <row r="1193" spans="3:222" x14ac:dyDescent="0.3">
      <c r="C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O1193" s="1"/>
      <c r="AP1193" s="1"/>
      <c r="AQ1193" s="1"/>
      <c r="AR1193" s="1"/>
      <c r="AS1193" s="1"/>
      <c r="AU1193" s="1"/>
      <c r="AV1193" s="1"/>
      <c r="AW1193" s="1"/>
      <c r="AX1193" s="1"/>
      <c r="AY1193" s="1"/>
      <c r="AZ1193" s="1"/>
      <c r="BA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Q1193" s="1"/>
      <c r="BR1193" s="1"/>
      <c r="BS1193" s="1"/>
      <c r="BT1193" s="1"/>
      <c r="BU1193" s="1"/>
      <c r="BV1193" s="1"/>
      <c r="BW1193" s="1"/>
      <c r="BX1193" s="1"/>
      <c r="BY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D1193" s="1"/>
      <c r="GE1193" s="1"/>
      <c r="GF1193" s="1"/>
      <c r="GG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</row>
    <row r="1194" spans="3:222" x14ac:dyDescent="0.3">
      <c r="C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O1194" s="1"/>
      <c r="AP1194" s="1"/>
      <c r="AQ1194" s="1"/>
      <c r="AR1194" s="1"/>
      <c r="AS1194" s="1"/>
      <c r="AU1194" s="1"/>
      <c r="AV1194" s="1"/>
      <c r="AW1194" s="1"/>
      <c r="AX1194" s="1"/>
      <c r="AY1194" s="1"/>
      <c r="AZ1194" s="1"/>
      <c r="BA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Q1194" s="1"/>
      <c r="BR1194" s="1"/>
      <c r="BS1194" s="1"/>
      <c r="BT1194" s="1"/>
      <c r="BU1194" s="1"/>
      <c r="BV1194" s="1"/>
      <c r="BW1194" s="1"/>
      <c r="BX1194" s="1"/>
      <c r="BY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D1194" s="1"/>
      <c r="GE1194" s="1"/>
      <c r="GF1194" s="1"/>
      <c r="GG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</row>
    <row r="1195" spans="3:222" x14ac:dyDescent="0.3">
      <c r="C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O1195" s="1"/>
      <c r="AP1195" s="1"/>
      <c r="AQ1195" s="1"/>
      <c r="AR1195" s="1"/>
      <c r="AS1195" s="1"/>
      <c r="AU1195" s="1"/>
      <c r="AV1195" s="1"/>
      <c r="AW1195" s="1"/>
      <c r="AX1195" s="1"/>
      <c r="AY1195" s="1"/>
      <c r="AZ1195" s="1"/>
      <c r="BA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Q1195" s="1"/>
      <c r="BR1195" s="1"/>
      <c r="BS1195" s="1"/>
      <c r="BT1195" s="1"/>
      <c r="BU1195" s="1"/>
      <c r="BV1195" s="1"/>
      <c r="BW1195" s="1"/>
      <c r="BX1195" s="1"/>
      <c r="BY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D1195" s="1"/>
      <c r="GE1195" s="1"/>
      <c r="GF1195" s="1"/>
      <c r="GG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</row>
    <row r="1196" spans="3:222" x14ac:dyDescent="0.3">
      <c r="C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O1196" s="1"/>
      <c r="AP1196" s="1"/>
      <c r="AQ1196" s="1"/>
      <c r="AR1196" s="1"/>
      <c r="AS1196" s="1"/>
      <c r="AU1196" s="1"/>
      <c r="AV1196" s="1"/>
      <c r="AW1196" s="1"/>
      <c r="AX1196" s="1"/>
      <c r="AY1196" s="1"/>
      <c r="AZ1196" s="1"/>
      <c r="BA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Q1196" s="1"/>
      <c r="BR1196" s="1"/>
      <c r="BS1196" s="1"/>
      <c r="BT1196" s="1"/>
      <c r="BU1196" s="1"/>
      <c r="BV1196" s="1"/>
      <c r="BW1196" s="1"/>
      <c r="BX1196" s="1"/>
      <c r="BY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D1196" s="1"/>
      <c r="GE1196" s="1"/>
      <c r="GF1196" s="1"/>
      <c r="GG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</row>
    <row r="1197" spans="3:222" x14ac:dyDescent="0.3">
      <c r="C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O1197" s="1"/>
      <c r="AP1197" s="1"/>
      <c r="AQ1197" s="1"/>
      <c r="AR1197" s="1"/>
      <c r="AS1197" s="1"/>
      <c r="AU1197" s="1"/>
      <c r="AV1197" s="1"/>
      <c r="AW1197" s="1"/>
      <c r="AX1197" s="1"/>
      <c r="AY1197" s="1"/>
      <c r="AZ1197" s="1"/>
      <c r="BA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Q1197" s="1"/>
      <c r="BR1197" s="1"/>
      <c r="BS1197" s="1"/>
      <c r="BT1197" s="1"/>
      <c r="BU1197" s="1"/>
      <c r="BV1197" s="1"/>
      <c r="BW1197" s="1"/>
      <c r="BX1197" s="1"/>
      <c r="BY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D1197" s="1"/>
      <c r="GE1197" s="1"/>
      <c r="GF1197" s="1"/>
      <c r="GG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</row>
    <row r="1198" spans="3:222" x14ac:dyDescent="0.3">
      <c r="C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O1198" s="1"/>
      <c r="AP1198" s="1"/>
      <c r="AQ1198" s="1"/>
      <c r="AR1198" s="1"/>
      <c r="AS1198" s="1"/>
      <c r="AU1198" s="1"/>
      <c r="AV1198" s="1"/>
      <c r="AW1198" s="1"/>
      <c r="AX1198" s="1"/>
      <c r="AY1198" s="1"/>
      <c r="AZ1198" s="1"/>
      <c r="BA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Q1198" s="1"/>
      <c r="BR1198" s="1"/>
      <c r="BS1198" s="1"/>
      <c r="BT1198" s="1"/>
      <c r="BU1198" s="1"/>
      <c r="BV1198" s="1"/>
      <c r="BW1198" s="1"/>
      <c r="BX1198" s="1"/>
      <c r="BY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D1198" s="1"/>
      <c r="GE1198" s="1"/>
      <c r="GF1198" s="1"/>
      <c r="GG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</row>
    <row r="1199" spans="3:222" x14ac:dyDescent="0.3">
      <c r="C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O1199" s="1"/>
      <c r="AP1199" s="1"/>
      <c r="AQ1199" s="1"/>
      <c r="AR1199" s="1"/>
      <c r="AS1199" s="1"/>
      <c r="AU1199" s="1"/>
      <c r="AV1199" s="1"/>
      <c r="AW1199" s="1"/>
      <c r="AX1199" s="1"/>
      <c r="AY1199" s="1"/>
      <c r="AZ1199" s="1"/>
      <c r="BA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Q1199" s="1"/>
      <c r="BR1199" s="1"/>
      <c r="BS1199" s="1"/>
      <c r="BT1199" s="1"/>
      <c r="BU1199" s="1"/>
      <c r="BV1199" s="1"/>
      <c r="BW1199" s="1"/>
      <c r="BX1199" s="1"/>
      <c r="BY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D1199" s="1"/>
      <c r="GE1199" s="1"/>
      <c r="GF1199" s="1"/>
      <c r="GG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</row>
    <row r="1200" spans="3:222" x14ac:dyDescent="0.3">
      <c r="C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O1200" s="1"/>
      <c r="AP1200" s="1"/>
      <c r="AQ1200" s="1"/>
      <c r="AR1200" s="1"/>
      <c r="AS1200" s="1"/>
      <c r="AU1200" s="1"/>
      <c r="AV1200" s="1"/>
      <c r="AW1200" s="1"/>
      <c r="AX1200" s="1"/>
      <c r="AY1200" s="1"/>
      <c r="AZ1200" s="1"/>
      <c r="BA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Q1200" s="1"/>
      <c r="BR1200" s="1"/>
      <c r="BS1200" s="1"/>
      <c r="BT1200" s="1"/>
      <c r="BU1200" s="1"/>
      <c r="BV1200" s="1"/>
      <c r="BW1200" s="1"/>
      <c r="BX1200" s="1"/>
      <c r="BY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D1200" s="1"/>
      <c r="GE1200" s="1"/>
      <c r="GF1200" s="1"/>
      <c r="GG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</row>
    <row r="1201" spans="3:222" x14ac:dyDescent="0.3">
      <c r="C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O1201" s="1"/>
      <c r="AP1201" s="1"/>
      <c r="AQ1201" s="1"/>
      <c r="AR1201" s="1"/>
      <c r="AS1201" s="1"/>
      <c r="AU1201" s="1"/>
      <c r="AV1201" s="1"/>
      <c r="AW1201" s="1"/>
      <c r="AX1201" s="1"/>
      <c r="AY1201" s="1"/>
      <c r="AZ1201" s="1"/>
      <c r="BA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Q1201" s="1"/>
      <c r="BR1201" s="1"/>
      <c r="BS1201" s="1"/>
      <c r="BT1201" s="1"/>
      <c r="BU1201" s="1"/>
      <c r="BV1201" s="1"/>
      <c r="BW1201" s="1"/>
      <c r="BX1201" s="1"/>
      <c r="BY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D1201" s="1"/>
      <c r="GE1201" s="1"/>
      <c r="GF1201" s="1"/>
      <c r="GG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</row>
    <row r="1202" spans="3:222" x14ac:dyDescent="0.3">
      <c r="C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O1202" s="1"/>
      <c r="AP1202" s="1"/>
      <c r="AQ1202" s="1"/>
      <c r="AR1202" s="1"/>
      <c r="AS1202" s="1"/>
      <c r="AU1202" s="1"/>
      <c r="AV1202" s="1"/>
      <c r="AW1202" s="1"/>
      <c r="AX1202" s="1"/>
      <c r="AY1202" s="1"/>
      <c r="AZ1202" s="1"/>
      <c r="BA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Q1202" s="1"/>
      <c r="BR1202" s="1"/>
      <c r="BS1202" s="1"/>
      <c r="BT1202" s="1"/>
      <c r="BU1202" s="1"/>
      <c r="BV1202" s="1"/>
      <c r="BW1202" s="1"/>
      <c r="BX1202" s="1"/>
      <c r="BY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D1202" s="1"/>
      <c r="GE1202" s="1"/>
      <c r="GF1202" s="1"/>
      <c r="GG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</row>
    <row r="1203" spans="3:222" x14ac:dyDescent="0.3">
      <c r="C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O1203" s="1"/>
      <c r="AP1203" s="1"/>
      <c r="AQ1203" s="1"/>
      <c r="AR1203" s="1"/>
      <c r="AS1203" s="1"/>
      <c r="AU1203" s="1"/>
      <c r="AV1203" s="1"/>
      <c r="AW1203" s="1"/>
      <c r="AX1203" s="1"/>
      <c r="AY1203" s="1"/>
      <c r="AZ1203" s="1"/>
      <c r="BA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Q1203" s="1"/>
      <c r="BR1203" s="1"/>
      <c r="BS1203" s="1"/>
      <c r="BT1203" s="1"/>
      <c r="BU1203" s="1"/>
      <c r="BV1203" s="1"/>
      <c r="BW1203" s="1"/>
      <c r="BX1203" s="1"/>
      <c r="BY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D1203" s="1"/>
      <c r="GE1203" s="1"/>
      <c r="GF1203" s="1"/>
      <c r="GG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</row>
    <row r="1204" spans="3:222" x14ac:dyDescent="0.3">
      <c r="C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O1204" s="1"/>
      <c r="AP1204" s="1"/>
      <c r="AQ1204" s="1"/>
      <c r="AR1204" s="1"/>
      <c r="AS1204" s="1"/>
      <c r="AU1204" s="1"/>
      <c r="AV1204" s="1"/>
      <c r="AW1204" s="1"/>
      <c r="AX1204" s="1"/>
      <c r="AY1204" s="1"/>
      <c r="AZ1204" s="1"/>
      <c r="BA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Q1204" s="1"/>
      <c r="BR1204" s="1"/>
      <c r="BS1204" s="1"/>
      <c r="BT1204" s="1"/>
      <c r="BU1204" s="1"/>
      <c r="BV1204" s="1"/>
      <c r="BW1204" s="1"/>
      <c r="BX1204" s="1"/>
      <c r="BY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D1204" s="1"/>
      <c r="GE1204" s="1"/>
      <c r="GF1204" s="1"/>
      <c r="GG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</row>
    <row r="1205" spans="3:222" x14ac:dyDescent="0.3">
      <c r="C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O1205" s="1"/>
      <c r="AP1205" s="1"/>
      <c r="AQ1205" s="1"/>
      <c r="AR1205" s="1"/>
      <c r="AS1205" s="1"/>
      <c r="AU1205" s="1"/>
      <c r="AV1205" s="1"/>
      <c r="AW1205" s="1"/>
      <c r="AX1205" s="1"/>
      <c r="AY1205" s="1"/>
      <c r="AZ1205" s="1"/>
      <c r="BA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Q1205" s="1"/>
      <c r="BR1205" s="1"/>
      <c r="BS1205" s="1"/>
      <c r="BT1205" s="1"/>
      <c r="BU1205" s="1"/>
      <c r="BV1205" s="1"/>
      <c r="BW1205" s="1"/>
      <c r="BX1205" s="1"/>
      <c r="BY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D1205" s="1"/>
      <c r="GE1205" s="1"/>
      <c r="GF1205" s="1"/>
      <c r="GG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</row>
    <row r="1206" spans="3:222" x14ac:dyDescent="0.3">
      <c r="C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O1206" s="1"/>
      <c r="AP1206" s="1"/>
      <c r="AQ1206" s="1"/>
      <c r="AR1206" s="1"/>
      <c r="AS1206" s="1"/>
      <c r="AU1206" s="1"/>
      <c r="AV1206" s="1"/>
      <c r="AW1206" s="1"/>
      <c r="AX1206" s="1"/>
      <c r="AY1206" s="1"/>
      <c r="AZ1206" s="1"/>
      <c r="BA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Q1206" s="1"/>
      <c r="BR1206" s="1"/>
      <c r="BS1206" s="1"/>
      <c r="BT1206" s="1"/>
      <c r="BU1206" s="1"/>
      <c r="BV1206" s="1"/>
      <c r="BW1206" s="1"/>
      <c r="BX1206" s="1"/>
      <c r="BY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D1206" s="1"/>
      <c r="GE1206" s="1"/>
      <c r="GF1206" s="1"/>
      <c r="GG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</row>
    <row r="1207" spans="3:222" x14ac:dyDescent="0.3">
      <c r="C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O1207" s="1"/>
      <c r="AP1207" s="1"/>
      <c r="AQ1207" s="1"/>
      <c r="AR1207" s="1"/>
      <c r="AS1207" s="1"/>
      <c r="AU1207" s="1"/>
      <c r="AV1207" s="1"/>
      <c r="AW1207" s="1"/>
      <c r="AX1207" s="1"/>
      <c r="AY1207" s="1"/>
      <c r="AZ1207" s="1"/>
      <c r="BA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Q1207" s="1"/>
      <c r="BR1207" s="1"/>
      <c r="BS1207" s="1"/>
      <c r="BT1207" s="1"/>
      <c r="BU1207" s="1"/>
      <c r="BV1207" s="1"/>
      <c r="BW1207" s="1"/>
      <c r="BX1207" s="1"/>
      <c r="BY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D1207" s="1"/>
      <c r="GE1207" s="1"/>
      <c r="GF1207" s="1"/>
      <c r="GG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</row>
    <row r="1208" spans="3:222" x14ac:dyDescent="0.3">
      <c r="C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O1208" s="1"/>
      <c r="AP1208" s="1"/>
      <c r="AQ1208" s="1"/>
      <c r="AR1208" s="1"/>
      <c r="AS1208" s="1"/>
      <c r="AU1208" s="1"/>
      <c r="AV1208" s="1"/>
      <c r="AW1208" s="1"/>
      <c r="AX1208" s="1"/>
      <c r="AY1208" s="1"/>
      <c r="AZ1208" s="1"/>
      <c r="BA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Q1208" s="1"/>
      <c r="BR1208" s="1"/>
      <c r="BS1208" s="1"/>
      <c r="BT1208" s="1"/>
      <c r="BU1208" s="1"/>
      <c r="BV1208" s="1"/>
      <c r="BW1208" s="1"/>
      <c r="BX1208" s="1"/>
      <c r="BY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D1208" s="1"/>
      <c r="GE1208" s="1"/>
      <c r="GF1208" s="1"/>
      <c r="GG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</row>
    <row r="1209" spans="3:222" x14ac:dyDescent="0.3">
      <c r="C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O1209" s="1"/>
      <c r="AP1209" s="1"/>
      <c r="AQ1209" s="1"/>
      <c r="AR1209" s="1"/>
      <c r="AS1209" s="1"/>
      <c r="AU1209" s="1"/>
      <c r="AV1209" s="1"/>
      <c r="AW1209" s="1"/>
      <c r="AX1209" s="1"/>
      <c r="AY1209" s="1"/>
      <c r="AZ1209" s="1"/>
      <c r="BA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Q1209" s="1"/>
      <c r="BR1209" s="1"/>
      <c r="BS1209" s="1"/>
      <c r="BT1209" s="1"/>
      <c r="BU1209" s="1"/>
      <c r="BV1209" s="1"/>
      <c r="BW1209" s="1"/>
      <c r="BX1209" s="1"/>
      <c r="BY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D1209" s="1"/>
      <c r="GE1209" s="1"/>
      <c r="GF1209" s="1"/>
      <c r="GG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</row>
    <row r="1210" spans="3:222" x14ac:dyDescent="0.3">
      <c r="C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O1210" s="1"/>
      <c r="AP1210" s="1"/>
      <c r="AQ1210" s="1"/>
      <c r="AR1210" s="1"/>
      <c r="AS1210" s="1"/>
      <c r="AU1210" s="1"/>
      <c r="AV1210" s="1"/>
      <c r="AW1210" s="1"/>
      <c r="AX1210" s="1"/>
      <c r="AY1210" s="1"/>
      <c r="AZ1210" s="1"/>
      <c r="BA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Q1210" s="1"/>
      <c r="BR1210" s="1"/>
      <c r="BS1210" s="1"/>
      <c r="BT1210" s="1"/>
      <c r="BU1210" s="1"/>
      <c r="BV1210" s="1"/>
      <c r="BW1210" s="1"/>
      <c r="BX1210" s="1"/>
      <c r="BY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D1210" s="1"/>
      <c r="GE1210" s="1"/>
      <c r="GF1210" s="1"/>
      <c r="GG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</row>
    <row r="1211" spans="3:222" x14ac:dyDescent="0.3">
      <c r="C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O1211" s="1"/>
      <c r="AP1211" s="1"/>
      <c r="AQ1211" s="1"/>
      <c r="AR1211" s="1"/>
      <c r="AS1211" s="1"/>
      <c r="AU1211" s="1"/>
      <c r="AV1211" s="1"/>
      <c r="AW1211" s="1"/>
      <c r="AX1211" s="1"/>
      <c r="AY1211" s="1"/>
      <c r="AZ1211" s="1"/>
      <c r="BA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Q1211" s="1"/>
      <c r="BR1211" s="1"/>
      <c r="BS1211" s="1"/>
      <c r="BT1211" s="1"/>
      <c r="BU1211" s="1"/>
      <c r="BV1211" s="1"/>
      <c r="BW1211" s="1"/>
      <c r="BX1211" s="1"/>
      <c r="BY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D1211" s="1"/>
      <c r="GE1211" s="1"/>
      <c r="GF1211" s="1"/>
      <c r="GG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</row>
    <row r="1212" spans="3:222" x14ac:dyDescent="0.3">
      <c r="C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O1212" s="1"/>
      <c r="AP1212" s="1"/>
      <c r="AQ1212" s="1"/>
      <c r="AR1212" s="1"/>
      <c r="AS1212" s="1"/>
      <c r="AU1212" s="1"/>
      <c r="AV1212" s="1"/>
      <c r="AW1212" s="1"/>
      <c r="AX1212" s="1"/>
      <c r="AY1212" s="1"/>
      <c r="AZ1212" s="1"/>
      <c r="BA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Q1212" s="1"/>
      <c r="BR1212" s="1"/>
      <c r="BS1212" s="1"/>
      <c r="BT1212" s="1"/>
      <c r="BU1212" s="1"/>
      <c r="BV1212" s="1"/>
      <c r="BW1212" s="1"/>
      <c r="BX1212" s="1"/>
      <c r="BY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D1212" s="1"/>
      <c r="GE1212" s="1"/>
      <c r="GF1212" s="1"/>
      <c r="GG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</row>
    <row r="1213" spans="3:222" x14ac:dyDescent="0.3">
      <c r="C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O1213" s="1"/>
      <c r="AP1213" s="1"/>
      <c r="AQ1213" s="1"/>
      <c r="AR1213" s="1"/>
      <c r="AS1213" s="1"/>
      <c r="AU1213" s="1"/>
      <c r="AV1213" s="1"/>
      <c r="AW1213" s="1"/>
      <c r="AX1213" s="1"/>
      <c r="AY1213" s="1"/>
      <c r="AZ1213" s="1"/>
      <c r="BA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Q1213" s="1"/>
      <c r="BR1213" s="1"/>
      <c r="BS1213" s="1"/>
      <c r="BT1213" s="1"/>
      <c r="BU1213" s="1"/>
      <c r="BV1213" s="1"/>
      <c r="BW1213" s="1"/>
      <c r="BX1213" s="1"/>
      <c r="BY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D1213" s="1"/>
      <c r="GE1213" s="1"/>
      <c r="GF1213" s="1"/>
      <c r="GG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</row>
    <row r="1214" spans="3:222" x14ac:dyDescent="0.3">
      <c r="C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O1214" s="1"/>
      <c r="AP1214" s="1"/>
      <c r="AQ1214" s="1"/>
      <c r="AR1214" s="1"/>
      <c r="AS1214" s="1"/>
      <c r="AU1214" s="1"/>
      <c r="AV1214" s="1"/>
      <c r="AW1214" s="1"/>
      <c r="AX1214" s="1"/>
      <c r="AY1214" s="1"/>
      <c r="AZ1214" s="1"/>
      <c r="BA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Q1214" s="1"/>
      <c r="BR1214" s="1"/>
      <c r="BS1214" s="1"/>
      <c r="BT1214" s="1"/>
      <c r="BU1214" s="1"/>
      <c r="BV1214" s="1"/>
      <c r="BW1214" s="1"/>
      <c r="BX1214" s="1"/>
      <c r="BY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D1214" s="1"/>
      <c r="GE1214" s="1"/>
      <c r="GF1214" s="1"/>
      <c r="GG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</row>
    <row r="1215" spans="3:222" x14ac:dyDescent="0.3">
      <c r="C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O1215" s="1"/>
      <c r="AP1215" s="1"/>
      <c r="AQ1215" s="1"/>
      <c r="AR1215" s="1"/>
      <c r="AS1215" s="1"/>
      <c r="AU1215" s="1"/>
      <c r="AV1215" s="1"/>
      <c r="AW1215" s="1"/>
      <c r="AX1215" s="1"/>
      <c r="AY1215" s="1"/>
      <c r="AZ1215" s="1"/>
      <c r="BA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Q1215" s="1"/>
      <c r="BR1215" s="1"/>
      <c r="BS1215" s="1"/>
      <c r="BT1215" s="1"/>
      <c r="BU1215" s="1"/>
      <c r="BV1215" s="1"/>
      <c r="BW1215" s="1"/>
      <c r="BX1215" s="1"/>
      <c r="BY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D1215" s="1"/>
      <c r="GE1215" s="1"/>
      <c r="GF1215" s="1"/>
      <c r="GG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</row>
    <row r="1216" spans="3:222" x14ac:dyDescent="0.3">
      <c r="C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O1216" s="1"/>
      <c r="AP1216" s="1"/>
      <c r="AQ1216" s="1"/>
      <c r="AR1216" s="1"/>
      <c r="AS1216" s="1"/>
      <c r="AU1216" s="1"/>
      <c r="AV1216" s="1"/>
      <c r="AW1216" s="1"/>
      <c r="AX1216" s="1"/>
      <c r="AY1216" s="1"/>
      <c r="AZ1216" s="1"/>
      <c r="BA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Q1216" s="1"/>
      <c r="BR1216" s="1"/>
      <c r="BS1216" s="1"/>
      <c r="BT1216" s="1"/>
      <c r="BU1216" s="1"/>
      <c r="BV1216" s="1"/>
      <c r="BW1216" s="1"/>
      <c r="BX1216" s="1"/>
      <c r="BY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D1216" s="1"/>
      <c r="GE1216" s="1"/>
      <c r="GF1216" s="1"/>
      <c r="GG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</row>
    <row r="1217" spans="3:222" x14ac:dyDescent="0.3">
      <c r="C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O1217" s="1"/>
      <c r="AP1217" s="1"/>
      <c r="AQ1217" s="1"/>
      <c r="AR1217" s="1"/>
      <c r="AS1217" s="1"/>
      <c r="AU1217" s="1"/>
      <c r="AV1217" s="1"/>
      <c r="AW1217" s="1"/>
      <c r="AX1217" s="1"/>
      <c r="AY1217" s="1"/>
      <c r="AZ1217" s="1"/>
      <c r="BA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Q1217" s="1"/>
      <c r="BR1217" s="1"/>
      <c r="BS1217" s="1"/>
      <c r="BT1217" s="1"/>
      <c r="BU1217" s="1"/>
      <c r="BV1217" s="1"/>
      <c r="BW1217" s="1"/>
      <c r="BX1217" s="1"/>
      <c r="BY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D1217" s="1"/>
      <c r="GE1217" s="1"/>
      <c r="GF1217" s="1"/>
      <c r="GG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</row>
    <row r="1218" spans="3:222" x14ac:dyDescent="0.3">
      <c r="C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O1218" s="1"/>
      <c r="AP1218" s="1"/>
      <c r="AQ1218" s="1"/>
      <c r="AR1218" s="1"/>
      <c r="AS1218" s="1"/>
      <c r="AU1218" s="1"/>
      <c r="AV1218" s="1"/>
      <c r="AW1218" s="1"/>
      <c r="AX1218" s="1"/>
      <c r="AY1218" s="1"/>
      <c r="AZ1218" s="1"/>
      <c r="BA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Q1218" s="1"/>
      <c r="BR1218" s="1"/>
      <c r="BS1218" s="1"/>
      <c r="BT1218" s="1"/>
      <c r="BU1218" s="1"/>
      <c r="BV1218" s="1"/>
      <c r="BW1218" s="1"/>
      <c r="BX1218" s="1"/>
      <c r="BY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D1218" s="1"/>
      <c r="GE1218" s="1"/>
      <c r="GF1218" s="1"/>
      <c r="GG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</row>
    <row r="1219" spans="3:222" x14ac:dyDescent="0.3">
      <c r="C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O1219" s="1"/>
      <c r="AP1219" s="1"/>
      <c r="AQ1219" s="1"/>
      <c r="AR1219" s="1"/>
      <c r="AS1219" s="1"/>
      <c r="AU1219" s="1"/>
      <c r="AV1219" s="1"/>
      <c r="AW1219" s="1"/>
      <c r="AX1219" s="1"/>
      <c r="AY1219" s="1"/>
      <c r="AZ1219" s="1"/>
      <c r="BA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Q1219" s="1"/>
      <c r="BR1219" s="1"/>
      <c r="BS1219" s="1"/>
      <c r="BT1219" s="1"/>
      <c r="BU1219" s="1"/>
      <c r="BV1219" s="1"/>
      <c r="BW1219" s="1"/>
      <c r="BX1219" s="1"/>
      <c r="BY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D1219" s="1"/>
      <c r="GE1219" s="1"/>
      <c r="GF1219" s="1"/>
      <c r="GG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</row>
    <row r="1220" spans="3:222" x14ac:dyDescent="0.3">
      <c r="C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O1220" s="1"/>
      <c r="AP1220" s="1"/>
      <c r="AQ1220" s="1"/>
      <c r="AR1220" s="1"/>
      <c r="AS1220" s="1"/>
      <c r="AU1220" s="1"/>
      <c r="AV1220" s="1"/>
      <c r="AW1220" s="1"/>
      <c r="AX1220" s="1"/>
      <c r="AY1220" s="1"/>
      <c r="AZ1220" s="1"/>
      <c r="BA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Q1220" s="1"/>
      <c r="BR1220" s="1"/>
      <c r="BS1220" s="1"/>
      <c r="BT1220" s="1"/>
      <c r="BU1220" s="1"/>
      <c r="BV1220" s="1"/>
      <c r="BW1220" s="1"/>
      <c r="BX1220" s="1"/>
      <c r="BY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D1220" s="1"/>
      <c r="GE1220" s="1"/>
      <c r="GF1220" s="1"/>
      <c r="GG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</row>
    <row r="1221" spans="3:222" x14ac:dyDescent="0.3">
      <c r="C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O1221" s="1"/>
      <c r="AP1221" s="1"/>
      <c r="AQ1221" s="1"/>
      <c r="AR1221" s="1"/>
      <c r="AS1221" s="1"/>
      <c r="AU1221" s="1"/>
      <c r="AV1221" s="1"/>
      <c r="AW1221" s="1"/>
      <c r="AX1221" s="1"/>
      <c r="AY1221" s="1"/>
      <c r="AZ1221" s="1"/>
      <c r="BA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Q1221" s="1"/>
      <c r="BR1221" s="1"/>
      <c r="BS1221" s="1"/>
      <c r="BT1221" s="1"/>
      <c r="BU1221" s="1"/>
      <c r="BV1221" s="1"/>
      <c r="BW1221" s="1"/>
      <c r="BX1221" s="1"/>
      <c r="BY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D1221" s="1"/>
      <c r="GE1221" s="1"/>
      <c r="GF1221" s="1"/>
      <c r="GG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</row>
    <row r="1222" spans="3:222" x14ac:dyDescent="0.3">
      <c r="C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O1222" s="1"/>
      <c r="AP1222" s="1"/>
      <c r="AQ1222" s="1"/>
      <c r="AR1222" s="1"/>
      <c r="AS1222" s="1"/>
      <c r="AU1222" s="1"/>
      <c r="AV1222" s="1"/>
      <c r="AW1222" s="1"/>
      <c r="AX1222" s="1"/>
      <c r="AY1222" s="1"/>
      <c r="AZ1222" s="1"/>
      <c r="BA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Q1222" s="1"/>
      <c r="BR1222" s="1"/>
      <c r="BS1222" s="1"/>
      <c r="BT1222" s="1"/>
      <c r="BU1222" s="1"/>
      <c r="BV1222" s="1"/>
      <c r="BW1222" s="1"/>
      <c r="BX1222" s="1"/>
      <c r="BY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D1222" s="1"/>
      <c r="GE1222" s="1"/>
      <c r="GF1222" s="1"/>
      <c r="GG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</row>
    <row r="1223" spans="3:222" x14ac:dyDescent="0.3">
      <c r="C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O1223" s="1"/>
      <c r="AP1223" s="1"/>
      <c r="AQ1223" s="1"/>
      <c r="AR1223" s="1"/>
      <c r="AS1223" s="1"/>
      <c r="AU1223" s="1"/>
      <c r="AV1223" s="1"/>
      <c r="AW1223" s="1"/>
      <c r="AX1223" s="1"/>
      <c r="AY1223" s="1"/>
      <c r="AZ1223" s="1"/>
      <c r="BA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Q1223" s="1"/>
      <c r="BR1223" s="1"/>
      <c r="BS1223" s="1"/>
      <c r="BT1223" s="1"/>
      <c r="BU1223" s="1"/>
      <c r="BV1223" s="1"/>
      <c r="BW1223" s="1"/>
      <c r="BX1223" s="1"/>
      <c r="BY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D1223" s="1"/>
      <c r="GE1223" s="1"/>
      <c r="GF1223" s="1"/>
      <c r="GG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</row>
    <row r="1224" spans="3:222" x14ac:dyDescent="0.3">
      <c r="C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O1224" s="1"/>
      <c r="AP1224" s="1"/>
      <c r="AQ1224" s="1"/>
      <c r="AR1224" s="1"/>
      <c r="AS1224" s="1"/>
      <c r="AU1224" s="1"/>
      <c r="AV1224" s="1"/>
      <c r="AW1224" s="1"/>
      <c r="AX1224" s="1"/>
      <c r="AY1224" s="1"/>
      <c r="AZ1224" s="1"/>
      <c r="BA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Q1224" s="1"/>
      <c r="BR1224" s="1"/>
      <c r="BS1224" s="1"/>
      <c r="BT1224" s="1"/>
      <c r="BU1224" s="1"/>
      <c r="BV1224" s="1"/>
      <c r="BW1224" s="1"/>
      <c r="BX1224" s="1"/>
      <c r="BY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D1224" s="1"/>
      <c r="GE1224" s="1"/>
      <c r="GF1224" s="1"/>
      <c r="GG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</row>
    <row r="1225" spans="3:222" x14ac:dyDescent="0.3">
      <c r="C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O1225" s="1"/>
      <c r="AP1225" s="1"/>
      <c r="AQ1225" s="1"/>
      <c r="AR1225" s="1"/>
      <c r="AS1225" s="1"/>
      <c r="AU1225" s="1"/>
      <c r="AV1225" s="1"/>
      <c r="AW1225" s="1"/>
      <c r="AX1225" s="1"/>
      <c r="AY1225" s="1"/>
      <c r="AZ1225" s="1"/>
      <c r="BA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Q1225" s="1"/>
      <c r="BR1225" s="1"/>
      <c r="BS1225" s="1"/>
      <c r="BT1225" s="1"/>
      <c r="BU1225" s="1"/>
      <c r="BV1225" s="1"/>
      <c r="BW1225" s="1"/>
      <c r="BX1225" s="1"/>
      <c r="BY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D1225" s="1"/>
      <c r="GE1225" s="1"/>
      <c r="GF1225" s="1"/>
      <c r="GG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</row>
    <row r="1226" spans="3:222" x14ac:dyDescent="0.3">
      <c r="C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O1226" s="1"/>
      <c r="AP1226" s="1"/>
      <c r="AQ1226" s="1"/>
      <c r="AR1226" s="1"/>
      <c r="AS1226" s="1"/>
      <c r="AU1226" s="1"/>
      <c r="AV1226" s="1"/>
      <c r="AW1226" s="1"/>
      <c r="AX1226" s="1"/>
      <c r="AY1226" s="1"/>
      <c r="AZ1226" s="1"/>
      <c r="BA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Q1226" s="1"/>
      <c r="BR1226" s="1"/>
      <c r="BS1226" s="1"/>
      <c r="BT1226" s="1"/>
      <c r="BU1226" s="1"/>
      <c r="BV1226" s="1"/>
      <c r="BW1226" s="1"/>
      <c r="BX1226" s="1"/>
      <c r="BY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D1226" s="1"/>
      <c r="GE1226" s="1"/>
      <c r="GF1226" s="1"/>
      <c r="GG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</row>
    <row r="1227" spans="3:222" x14ac:dyDescent="0.3">
      <c r="C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O1227" s="1"/>
      <c r="AP1227" s="1"/>
      <c r="AQ1227" s="1"/>
      <c r="AR1227" s="1"/>
      <c r="AS1227" s="1"/>
      <c r="AU1227" s="1"/>
      <c r="AV1227" s="1"/>
      <c r="AW1227" s="1"/>
      <c r="AX1227" s="1"/>
      <c r="AY1227" s="1"/>
      <c r="AZ1227" s="1"/>
      <c r="BA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Q1227" s="1"/>
      <c r="BR1227" s="1"/>
      <c r="BS1227" s="1"/>
      <c r="BT1227" s="1"/>
      <c r="BU1227" s="1"/>
      <c r="BV1227" s="1"/>
      <c r="BW1227" s="1"/>
      <c r="BX1227" s="1"/>
      <c r="BY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D1227" s="1"/>
      <c r="GE1227" s="1"/>
      <c r="GF1227" s="1"/>
      <c r="GG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</row>
    <row r="1228" spans="3:222" x14ac:dyDescent="0.3">
      <c r="C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O1228" s="1"/>
      <c r="AP1228" s="1"/>
      <c r="AQ1228" s="1"/>
      <c r="AR1228" s="1"/>
      <c r="AS1228" s="1"/>
      <c r="AU1228" s="1"/>
      <c r="AV1228" s="1"/>
      <c r="AW1228" s="1"/>
      <c r="AX1228" s="1"/>
      <c r="AY1228" s="1"/>
      <c r="AZ1228" s="1"/>
      <c r="BA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Q1228" s="1"/>
      <c r="BR1228" s="1"/>
      <c r="BS1228" s="1"/>
      <c r="BT1228" s="1"/>
      <c r="BU1228" s="1"/>
      <c r="BV1228" s="1"/>
      <c r="BW1228" s="1"/>
      <c r="BX1228" s="1"/>
      <c r="BY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D1228" s="1"/>
      <c r="GE1228" s="1"/>
      <c r="GF1228" s="1"/>
      <c r="GG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</row>
    <row r="1229" spans="3:222" x14ac:dyDescent="0.3">
      <c r="C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O1229" s="1"/>
      <c r="AP1229" s="1"/>
      <c r="AQ1229" s="1"/>
      <c r="AR1229" s="1"/>
      <c r="AS1229" s="1"/>
      <c r="AU1229" s="1"/>
      <c r="AV1229" s="1"/>
      <c r="AW1229" s="1"/>
      <c r="AX1229" s="1"/>
      <c r="AY1229" s="1"/>
      <c r="AZ1229" s="1"/>
      <c r="BA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Q1229" s="1"/>
      <c r="BR1229" s="1"/>
      <c r="BS1229" s="1"/>
      <c r="BT1229" s="1"/>
      <c r="BU1229" s="1"/>
      <c r="BV1229" s="1"/>
      <c r="BW1229" s="1"/>
      <c r="BX1229" s="1"/>
      <c r="BY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D1229" s="1"/>
      <c r="GE1229" s="1"/>
      <c r="GF1229" s="1"/>
      <c r="GG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</row>
    <row r="1230" spans="3:222" x14ac:dyDescent="0.3">
      <c r="C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O1230" s="1"/>
      <c r="AP1230" s="1"/>
      <c r="AQ1230" s="1"/>
      <c r="AR1230" s="1"/>
      <c r="AS1230" s="1"/>
      <c r="AU1230" s="1"/>
      <c r="AV1230" s="1"/>
      <c r="AW1230" s="1"/>
      <c r="AX1230" s="1"/>
      <c r="AY1230" s="1"/>
      <c r="AZ1230" s="1"/>
      <c r="BA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Q1230" s="1"/>
      <c r="BR1230" s="1"/>
      <c r="BS1230" s="1"/>
      <c r="BT1230" s="1"/>
      <c r="BU1230" s="1"/>
      <c r="BV1230" s="1"/>
      <c r="BW1230" s="1"/>
      <c r="BX1230" s="1"/>
      <c r="BY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D1230" s="1"/>
      <c r="GE1230" s="1"/>
      <c r="GF1230" s="1"/>
      <c r="GG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</row>
  </sheetData>
  <hyperlinks>
    <hyperlink ref="B1" r:id="rId1" tooltip="Property:P31" display="https://www.wikidata.org/wiki/Property:P31" xr:uid="{E26C6A35-5F21-469A-A66F-805BEEE2E44D}"/>
    <hyperlink ref="D1" r:id="rId2" tooltip="Property:P571" display="https://www.wikidata.org/wiki/Property:P571" xr:uid="{BBA4720A-45FA-4B97-A2F1-E7A6DB1CD4EC}"/>
    <hyperlink ref="E1" r:id="rId3" tooltip="Property:P154" display="https://www.wikidata.org/wiki/Property:P154" xr:uid="{484660C5-FF3E-4860-9EC8-61B86CB648FA}"/>
    <hyperlink ref="F1" r:id="rId4" tooltip="Property:P18" display="https://www.wikidata.org/wiki/Property:P18" xr:uid="{47D60539-4D57-45E3-95EA-5C55CAC22F74}"/>
    <hyperlink ref="I1" r:id="rId5" tooltip="Property:P1448" display="https://www.wikidata.org/wiki/Property:P1448" xr:uid="{D780307F-7D6B-4371-BEAC-26116F272D89}"/>
    <hyperlink ref="J1" r:id="rId6" tooltip="Property:P1705" display="https://www.wikidata.org/wiki/Property:P1705" xr:uid="{505C1FEF-EF45-437A-B42A-4F042CF656C7}"/>
    <hyperlink ref="M1" r:id="rId7" tooltip="Property:P802" display="https://www.wikidata.org/wiki/Property:P802" xr:uid="{8071D9B5-81F3-4157-A1BC-C26DE17EA932}"/>
    <hyperlink ref="S1" r:id="rId8" tooltip="Property:P1416" display="https://www.wikidata.org/wiki/Property:P1416" xr:uid="{359A21EA-4660-4631-ABFB-B44AFF51FDF3}"/>
    <hyperlink ref="V1" r:id="rId9" tooltip="Property:P138" display="https://www.wikidata.org/wiki/Property:P138" xr:uid="{16EDF59B-D750-4F8D-896A-7CAE770535BE}"/>
    <hyperlink ref="Y1" r:id="rId10" tooltip="Property:P112" display="https://www.wikidata.org/wiki/Property:P112" xr:uid="{1504449C-B05E-4D99-9083-9CADA7D1F6FF}"/>
    <hyperlink ref="Z1" r:id="rId11" tooltip="Property:P2388" display="https://www.wikidata.org/wiki/Property:P2388" xr:uid="{884FB39E-CEFE-42DF-8242-0887D4CC8E39}"/>
    <hyperlink ref="AA1" r:id="rId12" tooltip="Property:P488" display="https://www.wikidata.org/wiki/Property:P488" xr:uid="{9AD528AD-63B2-4AF3-90C5-66D212FDAA3C}"/>
    <hyperlink ref="AH1" r:id="rId13" tooltip="Property:P1451" display="https://www.wikidata.org/wiki/Property:P1451" xr:uid="{ECB7D102-3808-4816-A077-2AAD96E58253}"/>
    <hyperlink ref="AM1" r:id="rId14" tooltip="Property:P17" display="https://www.wikidata.org/wiki/Property:P17" xr:uid="{DDFED8C1-FF90-4C7B-9A3C-0D3EC24AD72F}"/>
    <hyperlink ref="AN1" r:id="rId15" tooltip="Property:P131" display="https://www.wikidata.org/wiki/Property:P131" xr:uid="{9C0EA8D8-A68A-4D12-B4E9-DD41DDC84944}"/>
    <hyperlink ref="AT1" r:id="rId16" tooltip="Property:P625" display="https://www.wikidata.org/wiki/Property:P625" xr:uid="{4C4D07DA-A3B7-4B6E-8FAC-BB14843FAB3F}"/>
    <hyperlink ref="BB1" r:id="rId17" tooltip="Property:P463" display="https://www.wikidata.org/wiki/Property:P463" xr:uid="{94FD6FFC-2FC5-44C9-ADFA-BDA57D1C9ED0}"/>
    <hyperlink ref="BD1" r:id="rId18" tooltip="Property:P2643" display="https://www.wikidata.org/wiki/Property:P2643" xr:uid="{B112BAB6-364D-45B8-ACC8-B3D8EDF94197}"/>
    <hyperlink ref="BE1" r:id="rId19" tooltip="Property:P2196" display="https://www.wikidata.org/wiki/Property:P2196" xr:uid="{1B839656-30AC-4031-AD3B-B062A4D67938}"/>
    <hyperlink ref="BF1" r:id="rId20" tooltip="Property:P2403" display="https://www.wikidata.org/wiki/Property:P2403" xr:uid="{15B971AB-E874-461D-BFAD-B186F5F6FA74}"/>
    <hyperlink ref="BK1" r:id="rId21" tooltip="Property:P749" display="https://www.wikidata.org/wiki/Property:P749" xr:uid="{3A07F0A2-5CB7-401D-9598-4A65EBC5CDF1}"/>
    <hyperlink ref="BP1" r:id="rId22" tooltip="Property:P355" display="https://www.wikidata.org/wiki/Property:P355" xr:uid="{C9A9B5C1-3947-4EC1-9EBF-CD292AC712D4}"/>
    <hyperlink ref="BQ1" r:id="rId23" tooltip="Property:P1830" display="https://www.wikidata.org/wiki/Property:P1830" xr:uid="{CE0379B4-0E62-4088-8539-8C26E8C4E512}"/>
    <hyperlink ref="BU1" r:id="rId24" tooltip="Property:P1128" display="https://www.wikidata.org/wiki/Property:P1128" xr:uid="{189B842D-171D-42DD-B991-EB01DC0CD9BF}"/>
    <hyperlink ref="BZ1" r:id="rId25" tooltip="Property:P2936" display="https://www.wikidata.org/wiki/Property:P2936" xr:uid="{6336DF0D-DA76-4083-8DAA-A50B5ABE793B}"/>
    <hyperlink ref="CI1" r:id="rId26" tooltip="Property:P3793" display="https://www.wikidata.org/wiki/Property:P3793" xr:uid="{F6BCFADA-0A14-4659-BEA2-6AE3F71FAD59}"/>
    <hyperlink ref="CJ1" r:id="rId27" tooltip="Property:P2555" display="https://www.wikidata.org/wiki/Property:P2555" xr:uid="{40CF8A2C-D2D7-43A1-B6C7-24DE9C7BFC53}"/>
    <hyperlink ref="CU1" r:id="rId28" tooltip="Property:P6375" display="https://www.wikidata.org/wiki/Property:P6375" xr:uid="{E49676A6-A57F-4239-A22F-19AC7D1EFBD1}"/>
    <hyperlink ref="CV1" r:id="rId29" tooltip="Property:P281" display="https://www.wikidata.org/wiki/Property:P281" xr:uid="{764EA316-8C6C-4E9D-8BC0-1C7B4506AE36}"/>
    <hyperlink ref="DA1" r:id="rId30" tooltip="Property:P856" display="https://www.wikidata.org/wiki/Property:P856" xr:uid="{D36ED831-3F05-4C06-9862-44563E233932}"/>
    <hyperlink ref="DH1" r:id="rId31" tooltip="Property:P94" display="https://www.wikidata.org/wiki/Property:P94" xr:uid="{AF31CA80-1A5E-425C-A500-4C3C255D77C8}"/>
    <hyperlink ref="DS1" r:id="rId32" tooltip="Property:P1343" display="https://www.wikidata.org/wiki/Property:P1343" xr:uid="{E437AF8E-8D02-4692-B076-890B3C7F9B74}"/>
    <hyperlink ref="ED1" r:id="rId33" tooltip="Property:P5008" display="https://www.wikidata.org/wiki/Property:P5008" xr:uid="{0E37BD31-9EAA-47B2-A03B-855513D7ADEE}"/>
    <hyperlink ref="EF1" r:id="rId34" tooltip="Property:P5125" display="https://www.wikidata.org/wiki/Property:P5125" xr:uid="{32BACC53-4BD7-4609-8C24-7D6ABB5E109C}"/>
    <hyperlink ref="EG1" r:id="rId35" tooltip="Property:P6364" display="https://www.wikidata.org/wiki/Property:P6364" xr:uid="{2F8F308A-4F5F-4583-BFF6-E03A14A728DA}"/>
    <hyperlink ref="EP1" r:id="rId36" tooltip="Property:P10588" display="https://www.wikidata.org/wiki/Property:P10588" xr:uid="{D1786B68-F110-41E8-AE4A-C4E8064EF759}"/>
    <hyperlink ref="ER1" r:id="rId37" tooltip="Property:P10607" display="https://www.wikidata.org/wiki/Property:P10607" xr:uid="{44FFA7EA-DEFA-45B0-91BC-F346844B658F}"/>
    <hyperlink ref="EW1" r:id="rId38" tooltip="Property:P5822" display="https://www.wikidata.org/wiki/Property:P5822" xr:uid="{631C4D3E-D523-4752-BE57-1755C482BA31}"/>
    <hyperlink ref="EX1" r:id="rId39" tooltip="Property:P6589" display="https://www.wikidata.org/wiki/Property:P6589" xr:uid="{2E8AFDCB-17F9-4658-B6CC-5CCDC583857C}"/>
    <hyperlink ref="FB1" r:id="rId40" tooltip="Property:P8687" display="https://www.wikidata.org/wiki/Property:P8687" xr:uid="{1D3F3590-F1FB-4C1E-A072-26559F982FBF}"/>
    <hyperlink ref="FD1" r:id="rId41" tooltip="Property:P10263" display="https://www.wikidata.org/wiki/Property:P10263" xr:uid="{3B6D7240-0C77-4270-9E0D-F4B8364326B4}"/>
    <hyperlink ref="FH1" r:id="rId42" tooltip="Property:P6269" display="https://www.wikidata.org/wiki/Property:P6269" xr:uid="{9F4B4087-13E0-4A4F-86DD-0CAD17EFE81F}"/>
    <hyperlink ref="GA1" r:id="rId43" tooltip="Property:P935" display="https://www.wikidata.org/wiki/Property:P935" xr:uid="{C02C6E59-E281-4BD9-B2ED-7403134C14B1}"/>
    <hyperlink ref="GB1" r:id="rId44" tooltip="Property:P1612" display="https://www.wikidata.org/wiki/Property:P1612" xr:uid="{20690BFE-0452-437E-96AE-6BF12AA12F96}"/>
    <hyperlink ref="GC1" r:id="rId45" tooltip="Property:P373" display="https://www.wikidata.org/wiki/Property:P373" xr:uid="{36B5AB5D-2D73-4DCD-96D4-CEA5FD079000}"/>
    <hyperlink ref="GE1" r:id="rId46" tooltip="Property:P1424" display="https://www.wikidata.org/wiki/Property:P1424" xr:uid="{70E23DA1-8EFA-4161-A768-59A611A36231}"/>
    <hyperlink ref="GF1" r:id="rId47" tooltip="Property:P910" display="https://www.wikidata.org/wiki/Property:P910" xr:uid="{D1343929-6952-493D-9A94-873E148DA41D}"/>
    <hyperlink ref="GH1" r:id="rId48" tooltip="Property:P3876" display="https://www.wikidata.org/wiki/Property:P3876" xr:uid="{0103B67D-2398-410A-AA4A-5E10B6D78E28}"/>
    <hyperlink ref="GI1" r:id="rId49" tooltip="Property:P4195" display="https://www.wikidata.org/wiki/Property:P4195" xr:uid="{87882240-A154-4129-A092-4D039ECFA254}"/>
    <hyperlink ref="AY1" r:id="rId50" tooltip="Property:P122" display="https://www.wikidata.org/wiki/Property:P122" xr:uid="{90844AAB-E491-4635-9852-E7AEEDF17676}"/>
    <hyperlink ref="BT1" r:id="rId51" tooltip="Property:P159" display="https://www.wikidata.org/wiki/Property:P159" xr:uid="{074D4D10-5A29-4E5E-BC48-73B3BA9B2658}"/>
    <hyperlink ref="K1" r:id="rId52" tooltip="Property:P101" display="https://www.wikidata.org/wiki/Property:P101" xr:uid="{0CBBBBEB-A556-4271-9328-B9A5A3C30C83}"/>
    <hyperlink ref="W1" r:id="rId53" tooltip="Property:P6427" display="https://www.wikidata.org/wiki/Property:P6427" xr:uid="{DA4B0578-1F22-4315-8912-22BD6868C664}"/>
    <hyperlink ref="AC1" r:id="rId54" tooltip="Property:P2828" display="https://www.wikidata.org/wiki/Property:P2828" xr:uid="{C3BA6EF7-F0A3-4CEB-9D5F-3E01F774A11E}"/>
    <hyperlink ref="BC1" r:id="rId55" tooltip="Property:P2124" display="https://www.wikidata.org/wiki/Property:P2124" xr:uid="{3614B67D-EE7A-4B34-B6E3-B3562B4D08A7}"/>
    <hyperlink ref="CB1" r:id="rId56" tooltip="Property:P793" display="https://www.wikidata.org/wiki/Property:P793" xr:uid="{893451DC-00C4-433A-9F15-917A84577F26}"/>
    <hyperlink ref="CC1" r:id="rId57" tooltip="Property:P2769" display="https://www.wikidata.org/wiki/Property:P2769" xr:uid="{5B982894-0594-4F65-97AB-8E2329C39A8C}"/>
    <hyperlink ref="CE1" r:id="rId58" tooltip="Property:P1441" display="https://www.wikidata.org/wiki/Property:P1441" xr:uid="{5EE781F8-6E33-40F1-B453-79C4416EDBC6}"/>
    <hyperlink ref="CF1" r:id="rId59" tooltip="Property:P822" display="https://www.wikidata.org/wiki/Property:P822" xr:uid="{905117F6-7908-4498-A44F-30178D98B409}"/>
    <hyperlink ref="DM1" r:id="rId60" tooltip="Property:P158" display="https://www.wikidata.org/wiki/Property:P158" xr:uid="{741700F1-45FF-42D6-83A4-D4378F9B0489}"/>
    <hyperlink ref="FO1" r:id="rId61" tooltip="Property:P527" display="https://www.wikidata.org/wiki/Property:P527" xr:uid="{4F3885F8-54AA-432C-9D7E-77DBDA673B58}"/>
    <hyperlink ref="FJ1" r:id="rId62" tooltip="Property:P6363" display="https://www.wikidata.org/wiki/Property:P6363" xr:uid="{B9818C65-60FC-4B3A-B956-416EEBF12BFE}"/>
    <hyperlink ref="FV1" r:id="rId63" tooltip="Property:P1889" display="https://www.wikidata.org/wiki/Property:P1889" xr:uid="{729517D1-3BE0-40DA-8B21-EAA3BE81518E}"/>
    <hyperlink ref="O1" r:id="rId64" tooltip="Property:P1813" display="https://www.wikidata.org/wiki/Property:P1813" xr:uid="{F10C3C90-66FC-44A1-8D03-BC162E505DF5}"/>
    <hyperlink ref="AR1" r:id="rId65" tooltip="Property:P276" display="https://www.wikidata.org/wiki/Property:P276" xr:uid="{C6427C68-B51E-4B56-A459-D79216F33208}"/>
    <hyperlink ref="BO1" r:id="rId66" tooltip="Property:P2139" display="https://www.wikidata.org/wiki/Property:P2139" xr:uid="{641E127D-35CB-4657-8C1E-B59C3094B613}"/>
    <hyperlink ref="BR1" r:id="rId67" tooltip="Property:P2652" display="https://www.wikidata.org/wiki/Property:P2652" xr:uid="{43E4586C-6C90-4FBC-B35A-36D397031B0F}"/>
    <hyperlink ref="CH1" r:id="rId68" tooltip="Property:P3761" display="https://www.wikidata.org/wiki/Property:P3761" xr:uid="{06658127-F16C-4763-99AA-4E28292B976E}"/>
    <hyperlink ref="CX1" r:id="rId69" tooltip="Property:P1329" display="https://www.wikidata.org/wiki/Property:P1329" xr:uid="{A54F1236-5551-431F-9457-304E2EF7B49F}"/>
    <hyperlink ref="DD1" r:id="rId70" tooltip="Property:P553" display="https://www.wikidata.org/wiki/Property:P553" xr:uid="{78684C89-D8E1-4D3A-9CDF-BCA226BA87E2}"/>
    <hyperlink ref="FI1" r:id="rId71" tooltip="Property:P2179" display="https://www.wikidata.org/wiki/Property:P2179" xr:uid="{24802C99-CD1F-4DEB-9B30-03CA213796E8}"/>
    <hyperlink ref="C1" r:id="rId72" tooltip="Property:P361" display="https://www.wikidata.org/wiki/Property:P361" xr:uid="{8DA038ED-6D4D-4041-8B7A-EB8DDD9C84A3}"/>
    <hyperlink ref="AO1" r:id="rId73" tooltip="Property:P421" display="https://www.wikidata.org/wiki/Property:P421" xr:uid="{BF21F007-4948-4734-817B-A98BCDAF576F}"/>
    <hyperlink ref="AQ1" r:id="rId74" tooltip="Property:P7959" display="https://www.wikidata.org/wiki/Property:P7959" xr:uid="{8274C083-C8CE-45E4-A6B4-F3605DF99E38}"/>
    <hyperlink ref="CG1" r:id="rId75" tooltip="Property:P462" display="https://www.wikidata.org/wiki/Property:P462" xr:uid="{FFAAC94C-3F1E-4F12-80D8-ECC53B654877}"/>
    <hyperlink ref="DF1" r:id="rId76" tooltip="Property:P41" display="https://www.wikidata.org/wiki/Property:P41" xr:uid="{2289A813-8E67-4571-82EA-C47997B7D413}"/>
    <hyperlink ref="DG1" r:id="rId77" tooltip="Property:P237" display="https://www.wikidata.org/wiki/Property:P237" xr:uid="{C445CF0A-2616-4593-83C5-FBC7C1D75B84}"/>
    <hyperlink ref="DU1" r:id="rId78" tooltip="Property:P417" display="https://www.wikidata.org/wiki/Property:P417" xr:uid="{E9E6BCAF-8220-4976-9DB8-B23FAE43693E}"/>
    <hyperlink ref="ES1" r:id="rId79" tooltip="Property:P7153" display="https://www.wikidata.org/wiki/Property:P7153" xr:uid="{AE13FD0C-47EC-4991-838E-7A5CB6083C12}"/>
    <hyperlink ref="EY1" r:id="rId80" tooltip="Property:P5894" display="https://www.wikidata.org/wiki/Property:P5894" xr:uid="{9B3D2E5C-D1A4-489A-BCE9-128D45E0D2FD}"/>
    <hyperlink ref="FG1" r:id="rId81" tooltip="Property:P12470" display="https://www.wikidata.org/wiki/Property:P12470" xr:uid="{10DBC14F-D8E0-49AC-86BD-20C923E4DDC3}"/>
    <hyperlink ref="FQ1" r:id="rId82" tooltip="Property:P2959" display="https://www.wikidata.org/wiki/Property:P2959" xr:uid="{9A6C1DC4-7DD6-4566-A971-6ED3CF1CE07E}"/>
    <hyperlink ref="FX1" r:id="rId83" tooltip="Property:P2354" display="https://www.wikidata.org/wiki/Property:P2354" xr:uid="{6C45106F-F1B2-4DE5-BAAD-9520CC31193E}"/>
    <hyperlink ref="AB1" r:id="rId84" tooltip="Property:P1344" display="https://www.wikidata.org/wiki/Property:P1344" xr:uid="{68B2E9A3-BC50-44D8-96B8-0AE69015E8E2}"/>
    <hyperlink ref="DI1" r:id="rId85" tooltip="Property:P1433" display="https://www.wikidata.org/wiki/Property:P1433" xr:uid="{FF696E19-AFD9-4D82-A969-C687899BEF68}"/>
    <hyperlink ref="DY1" r:id="rId86" tooltip="Property:P2184" display="https://www.wikidata.org/wiki/Property:P2184" xr:uid="{48229823-DF52-4527-A2BE-B2D99505C011}"/>
    <hyperlink ref="FT1" r:id="rId87" tooltip="Property:P9601" display="https://www.wikidata.org/wiki/Property:P9601" xr:uid="{870F5F30-F293-4D90-B4C8-23E4405ECF74}"/>
    <hyperlink ref="GL1" r:id="rId88" tooltip="Property:P1465" display="https://www.wikidata.org/wiki/Property:P1465" xr:uid="{CDF3BA31-AAC8-4843-AF15-38CD01FF1C33}"/>
    <hyperlink ref="DC1" r:id="rId89" tooltip="Property:P2572" display="https://www.wikidata.org/wiki/Property:P2572" xr:uid="{5DDF1672-6547-4DAF-B7B7-2105A9C485F8}"/>
    <hyperlink ref="EJ1" r:id="rId90" tooltip="Property:P6379" display="https://www.wikidata.org/wiki/Property:P6379" xr:uid="{44E14751-F219-4836-AF6B-85E652C0CA1D}"/>
    <hyperlink ref="EI1" r:id="rId91" tooltip="Property:P5460" display="https://www.wikidata.org/wiki/Property:P5460" xr:uid="{20F50C80-DD91-4376-901D-FABEE1663528}"/>
    <hyperlink ref="CK1" r:id="rId92" tooltip="Property:P84" display="https://www.wikidata.org/wiki/Property:P84" xr:uid="{65BF5B57-47F9-4337-A9DF-5EF2261EB5F9}"/>
    <hyperlink ref="FR1" r:id="rId93" tooltip="Property:P9214" display="https://www.wikidata.org/wiki/Property:P9214" xr:uid="{F3EAD449-D02C-41EF-9B07-FAA06EB780F5}"/>
    <hyperlink ref="GD1" r:id="rId94" tooltip="Property:P1151" display="https://www.wikidata.org/wiki/Property:P1151" xr:uid="{B6574565-C541-45B5-BCE3-286549F59D97}"/>
    <hyperlink ref="GG1" r:id="rId95" tooltip="Property:P1792" display="https://www.wikidata.org/wiki/Property:P1792" xr:uid="{67F5D442-D332-4BCA-A252-7348985EA855}"/>
    <hyperlink ref="DK1" r:id="rId96" tooltip="Property:P4640" display="https://www.wikidata.org/wiki/Property:P4640" xr:uid="{32F1448C-56C6-4877-9C1D-6E696B40B567}"/>
    <hyperlink ref="FE1" r:id="rId97" tooltip="Property:P6733" display="https://www.wikidata.org/wiki/Property:P6733" xr:uid="{FEE91631-483D-4478-93C9-94D16FB54C1B}"/>
    <hyperlink ref="FW1" r:id="rId98" tooltip="Property:P2959" display="https://www.wikidata.org/wiki/Property:P2959" xr:uid="{F3524686-3939-4C6F-90C2-7AB9AF027E08}"/>
    <hyperlink ref="AG1" r:id="rId99" tooltip="Property:P1546" display="https://www.wikidata.org/wiki/Property:P1546" xr:uid="{0718F5B1-FE0D-4B1C-B005-F5B780DBC8A1}"/>
    <hyperlink ref="AZ1" r:id="rId100" tooltip="Property:P797" display="https://www.wikidata.org/wiki/Property:P797" xr:uid="{AFD9C463-9305-4FC9-8633-C7C3204C8E4A}"/>
    <hyperlink ref="GK1" r:id="rId101" tooltip="Property:P7867" display="https://www.wikidata.org/wiki/Property:P7867" xr:uid="{85E4417E-E174-49C0-B5A9-E85BC389301C}"/>
    <hyperlink ref="DE1" r:id="rId102" tooltip="Property:P163" display="https://www.wikidata.org/wiki/Property:P163" xr:uid="{97C0BB18-64F0-4DC4-842A-81A3E027044C}"/>
    <hyperlink ref="EL1" r:id="rId103" tooltip="Property:P8453" display="https://www.wikidata.org/wiki/Property:P8453" xr:uid="{2C8EA574-AC68-4CB1-BAD3-AFB34A59ED5E}"/>
    <hyperlink ref="CY1" r:id="rId104" tooltip="Property:P968" display="https://www.wikidata.org/wiki/Property:P968" xr:uid="{0C69C38A-D5FE-489E-93B4-A337FB4F4A47}"/>
    <hyperlink ref="DV1" r:id="rId105" tooltip="Property:P2795" display="https://www.wikidata.org/wiki/Property:P2795" xr:uid="{7CE37922-19BC-4748-AD12-6EA8A1019101}"/>
    <hyperlink ref="FK1" r:id="rId106" tooltip="Property:P2888" display="https://www.wikidata.org/wiki/Property:P2888" xr:uid="{1B268C26-BB4E-4307-B14D-297A94F03C3D}"/>
    <hyperlink ref="CM1" r:id="rId107" tooltip="Property:P580" display="https://www.wikidata.org/wiki/Property:P580" xr:uid="{85E2FCBB-76FB-47E1-8371-36706D33AF1B}"/>
    <hyperlink ref="CN1" r:id="rId108" tooltip="Property:P444" display="https://www.wikidata.org/wiki/Property:P444" xr:uid="{BABD90A4-08EA-4317-BA65-F452FDF1344B}"/>
    <hyperlink ref="CP1" r:id="rId109" tooltip="Property:P166" display="https://www.wikidata.org/wiki/Property:P166" xr:uid="{3FB54F83-FCD6-4636-A0A0-5E1785121FFE}"/>
    <hyperlink ref="CD1" r:id="rId110" tooltip="Property:P1056" display="https://www.wikidata.org/wiki/Property:P1056" xr:uid="{5256E11D-8FF0-401B-B04D-9B87009C6C10}"/>
    <hyperlink ref="EN1" r:id="rId111" tooltip="Property:P1875" display="https://www.wikidata.org/wiki/Property:P1875" xr:uid="{0CBAFA0F-BFF8-4BE0-9C09-7D6EFB1F727A}"/>
    <hyperlink ref="EM1" r:id="rId112" tooltip="Property:P121" display="https://www.wikidata.org/wiki/Property:P121" xr:uid="{7DA51282-31CD-4BB9-8112-9971B3116E1B}"/>
    <hyperlink ref="AD1" r:id="rId113" tooltip="Property:P85" display="https://www.wikidata.org/wiki/Property:P85" xr:uid="{980E1C6B-3D84-435E-9706-BA6C6C28ABE3}"/>
    <hyperlink ref="FP1" r:id="rId114" tooltip="Property:P1382" display="https://www.wikidata.org/wiki/Property:P1382" xr:uid="{29C2AF22-6E0A-4BDD-9649-5DDB9DDFFE20}"/>
    <hyperlink ref="U1" r:id="rId115" tooltip="Property:P140" display="https://www.wikidata.org/wiki/Property:P140" xr:uid="{58A39386-2DA3-4829-BD23-42EEDAB41B0B}"/>
    <hyperlink ref="EQ1" r:id="rId116" tooltip="Property:P8592" display="https://www.wikidata.org/wiki/Property:P8592" xr:uid="{962584C5-32B0-466C-8F42-722292075FB7}"/>
    <hyperlink ref="GM1" r:id="rId117" tooltip="Property:P8464" display="https://www.wikidata.org/wiki/Property:P8464" xr:uid="{EEB9E3C3-4B6D-4078-ABB1-86344781C307}"/>
    <hyperlink ref="BW1" r:id="rId118" tooltip="Property:P1365" display="https://www.wikidata.org/wiki/Property:P1365" xr:uid="{133838E0-891C-41AA-AE1D-CDA79ADBF2EC}"/>
    <hyperlink ref="T1" r:id="rId119" tooltip="Property:P1352" display="https://www.wikidata.org/wiki/Property:P1352" xr:uid="{B2700CDA-B15D-410D-B8FA-E7965790772E}"/>
    <hyperlink ref="EE1" r:id="rId120" tooltip="Property:P6104" display="https://www.wikidata.org/wiki/Property:P6104" xr:uid="{1A475A8B-D493-4056-8427-B211F4E4D69B}"/>
    <hyperlink ref="AE1" r:id="rId121" tooltip="Property:P3320" display="https://www.wikidata.org/wiki/Property:P3320" xr:uid="{BA658ECC-F781-4D27-94A0-155AD3A4B040}"/>
    <hyperlink ref="FZ1" r:id="rId122" tooltip="Property:P11266" display="https://www.wikidata.org/wiki/Property:P11266" xr:uid="{B552F570-3FB4-4ADF-A698-C341640F8A73}"/>
    <hyperlink ref="DN1" r:id="rId123" tooltip="Property:P7014" display="https://www.wikidata.org/wiki/Property:P7014" xr:uid="{8B491E0E-BB98-46B2-8375-2BBD61AAA24E}"/>
    <hyperlink ref="FM1" r:id="rId124" tooltip="Property:P2670" display="https://www.wikidata.org/wiki/Property:P2670" xr:uid="{E60975A5-62F2-4089-9DC4-ADE1FF2C6EC3}"/>
    <hyperlink ref="X1" r:id="rId125" tooltip="Property:P1549" display="https://www.wikidata.org/wiki/Property:P1549" xr:uid="{A30B0C20-3302-4A94-91B5-B5283F924028}"/>
    <hyperlink ref="FU1" r:id="rId126" tooltip="Property:P11810" display="https://www.wikidata.org/wiki/Property:P11810" xr:uid="{A78A53D1-E2BD-44B3-A516-94E50D118201}"/>
    <hyperlink ref="CR1" r:id="rId127" tooltip="Property:P1619" display="https://www.wikidata.org/wiki/Property:P1619" xr:uid="{4EB67DF1-F69C-4D1C-96FB-F8400F6B263B}"/>
    <hyperlink ref="DZ1" r:id="rId128" tooltip="Property:P1552" display="https://www.wikidata.org/wiki/Property:P1552" xr:uid="{7D13FE11-7334-4420-A29E-C80632AB6C3F}"/>
    <hyperlink ref="FF1" r:id="rId129" tooltip="Property:P12469" display="https://www.wikidata.org/wiki/Property:P12469" xr:uid="{48563A76-7022-4B24-A0CB-50B0004F1955}"/>
    <hyperlink ref="L1" r:id="rId130" tooltip="Property:P3342" display="https://www.wikidata.org/wiki/Property:P3342" xr:uid="{7B4E348B-BFBA-454D-BF07-193093A83DE3}"/>
    <hyperlink ref="Q1" r:id="rId131" tooltip="Property:P443" display="https://www.wikidata.org/wiki/Property:P443" xr:uid="{807F243A-2437-420C-86A5-88E1334401EF}"/>
    <hyperlink ref="R1" r:id="rId132" tooltip="Property:P485" display="https://www.wikidata.org/wiki/Property:P485" xr:uid="{4D1C84A4-FE0A-435D-B101-0EEDF2884A92}"/>
    <hyperlink ref="AF1" r:id="rId133" tooltip="Property:P1075" display="https://www.wikidata.org/wiki/Property:P1075" xr:uid="{9C9E61FE-9A6A-4FAC-A943-2937088034B0}"/>
    <hyperlink ref="BL1" r:id="rId134" tooltip="Property:P2044" display="https://www.wikidata.org/wiki/Property:P2044" xr:uid="{1F16AE53-F43B-499D-A43A-07CADE0FAB16}"/>
    <hyperlink ref="CZ1" r:id="rId135" tooltip="Property:P1435" display="https://www.wikidata.org/wiki/Property:P1435" xr:uid="{D25019DE-D912-4768-82FA-15E052CA9A72}"/>
    <hyperlink ref="EA1" r:id="rId136" tooltip="Property:P121" display="https://www.wikidata.org/wiki/Property:P121" xr:uid="{AFEBFABF-9010-43E8-9BEA-6CB0B2A7E013}"/>
    <hyperlink ref="CO1" r:id="rId137" tooltip="Property:P942" display="https://www.wikidata.org/wiki/Property:P942" xr:uid="{95EFF571-1358-46A1-A5B9-BDF44BF5A5ED}"/>
    <hyperlink ref="AU1" r:id="rId138" tooltip="Property:P1334" display="https://www.wikidata.org/wiki/Property:P1334" xr:uid="{75753D42-F473-4365-A49C-44902E5D68F3}"/>
    <hyperlink ref="AV1" r:id="rId139" tooltip="Property:P1332" display="https://www.wikidata.org/wiki/Property:P1332" xr:uid="{F875B2AF-2139-49FA-8243-46D6F1874FEB}"/>
    <hyperlink ref="AW1" r:id="rId140" tooltip="Property:P1333" display="https://www.wikidata.org/wiki/Property:P1333" xr:uid="{2F8B6CDC-0DBC-43DD-9912-05CF81AC63E1}"/>
    <hyperlink ref="AX1" r:id="rId141" tooltip="Property:P1335" display="https://www.wikidata.org/wiki/Property:P1335" xr:uid="{0BCEEAA9-D4F1-43BF-B2BE-2359CC1B1732}"/>
    <hyperlink ref="BG1" r:id="rId142" tooltip="Property:P1082" display="https://www.wikidata.org/wiki/Property:P1082" xr:uid="{AF4B2650-9D51-4533-9885-0A9EFACD8D79}"/>
    <hyperlink ref="BH1" r:id="rId143" tooltip="Property:P2927" display="https://www.wikidata.org/wiki/Property:P2927" xr:uid="{2095D14B-2D1D-4486-951A-20A169500933}"/>
    <hyperlink ref="CS1" r:id="rId144" tooltip="Property:P2046" display="https://www.wikidata.org/wiki/Property:P2046" xr:uid="{725367F6-3658-42DC-B861-0B3E2777EFB0}"/>
    <hyperlink ref="CQ1" r:id="rId145" tooltip="Property:P1056" display="https://www.wikidata.org/wiki/Property:P1056" xr:uid="{BB5FB833-923F-497C-85BF-4403AD87E27E}"/>
    <hyperlink ref="ET1" r:id="rId146" tooltip="Property:P1538" display="https://www.wikidata.org/wiki/Property:P1538" xr:uid="{CF875B42-3B4A-4433-A3C5-B133F2FF421E}"/>
    <hyperlink ref="FC1" r:id="rId147" tooltip="Property:P8887" display="https://www.wikidata.org/wiki/Property:P8887" xr:uid="{9F3CAFE1-BAE5-4548-9810-D9E8274EA736}"/>
    <hyperlink ref="FL1" r:id="rId148" tooltip="Property:P10622" display="https://www.wikidata.org/wiki/Property:P10622" xr:uid="{4E193F66-F0EF-459E-A901-7CBB32147FB5}"/>
    <hyperlink ref="FY1" r:id="rId149" tooltip="Property:P460" display="https://www.wikidata.org/wiki/Property:P460" xr:uid="{D5F5A860-C063-43DD-9BCB-FD32D4B41106}"/>
    <hyperlink ref="EZ1" r:id="rId150" tooltip="Property:P5555" display="https://www.wikidata.org/wiki/Property:P5555" xr:uid="{54E10799-FB94-47A3-AC8E-6AAE3FB62D94}"/>
    <hyperlink ref="EK1" r:id="rId151" tooltip="Property:P7374" display="https://www.wikidata.org/wiki/Property:P7374" xr:uid="{BCFB6FAB-C3EB-4887-8AC3-DA0D0BB50603}"/>
    <hyperlink ref="FA1" r:id="rId152" tooltip="Property:P2868" display="https://www.wikidata.org/wiki/Property:P2868" xr:uid="{08561060-B90F-45D7-B7FA-719666FEAB61}"/>
    <hyperlink ref="DP1" r:id="rId153" tooltip="Property:P1766" display="https://www.wikidata.org/wiki/Property:P1766" xr:uid="{08F9AEF4-0174-42A2-8DA9-6426592A619E}"/>
    <hyperlink ref="DO1" r:id="rId154" tooltip="Property:P3451" display="https://www.wikidata.org/wiki/Property:P3451" xr:uid="{5BD4BCC6-5BD5-4B70-9878-825EC35A883A}"/>
    <hyperlink ref="EU1" r:id="rId155" tooltip="Property:P5252" display="https://www.wikidata.org/wiki/Property:P5252" xr:uid="{0AE5A2B9-6584-40C0-940D-0525102B24A0}"/>
    <hyperlink ref="FS1" r:id="rId156" tooltip="Property:P6592" display="https://www.wikidata.org/wiki/Property:P6592" xr:uid="{D5045576-D0EF-45FE-A22C-461D83CCB53C}"/>
    <hyperlink ref="DQ1" r:id="rId157" tooltip="Property:P1299" display="https://www.wikidata.org/wiki/Property:P1299" xr:uid="{14FFAF41-A27C-493D-9423-55CC2690A753}"/>
    <hyperlink ref="AI1" r:id="rId158" tooltip="Property:P1037" display="https://www.wikidata.org/wiki/Property:P1037" xr:uid="{F350054A-9974-4CC8-9DD8-D1B6D51A573F}"/>
    <hyperlink ref="BI1" r:id="rId159" tooltip="Property:P127" display="https://www.wikidata.org/wiki/Property:P127" xr:uid="{C5A2891C-6F16-482C-B6F9-987785671837}"/>
    <hyperlink ref="EH1" r:id="rId160" tooltip="Property:P2650" display="https://www.wikidata.org/wiki/Property:P2650" xr:uid="{F74698D1-CA96-4077-BF41-7565E59681E1}"/>
    <hyperlink ref="CW1" r:id="rId161" tooltip="Property:P2918" display="https://www.wikidata.org/wiki/Property:P2918" xr:uid="{7FB636A2-02F5-454B-B048-1C83A538E3F6}"/>
    <hyperlink ref="BA1" r:id="rId162" tooltip="Property:P210" display="https://www.wikidata.org/wiki/Property:P210" xr:uid="{99D5A698-CB69-4B31-A800-E23C41D4DCCE}"/>
    <hyperlink ref="DX1" r:id="rId163" tooltip="Property:P242" display="https://www.wikidata.org/wiki/Property:P242" xr:uid="{8FE63180-51B0-474C-B04A-4A56DE4B8EBA}"/>
    <hyperlink ref="AP1" r:id="rId164" tooltip="Property:P669" display="https://www.wikidata.org/wiki/Property:P669" xr:uid="{A9DA47E3-A9D0-482C-A908-5469BB8A1602}"/>
    <hyperlink ref="BJ1" r:id="rId165" tooltip="Property:P1454" display="https://www.wikidata.org/wiki/Property:P1454" xr:uid="{FF46F8F9-04F2-4387-8A82-0D9E98E47436}"/>
    <hyperlink ref="AJ1" r:id="rId166" tooltip="Property:P2813" display="https://www.wikidata.org/wiki/Property:P2813" xr:uid="{55E50B52-7097-4171-B8C5-96EC3B1900A2}"/>
    <hyperlink ref="G1" r:id="rId167" tooltip="Property:P742" display="https://www.wikidata.org/wiki/Property:P742" xr:uid="{C397A66D-E02C-4672-9508-C59D7559FE07}"/>
    <hyperlink ref="BS1" r:id="rId168" tooltip="Property:P199" display="https://www.wikidata.org/wiki/Property:P199" xr:uid="{F101B053-B559-4287-8D38-8E73834BC579}"/>
    <hyperlink ref="DL1" r:id="rId169" tooltip="Property:P418" display="https://www.wikidata.org/wiki/Property:P418" xr:uid="{27C21233-69B2-4596-BF0D-7A3A2FF23F7B}"/>
    <hyperlink ref="BX1" r:id="rId170" tooltip="Property:P457" display="https://www.wikidata.org/wiki/Property:P457" xr:uid="{7C94B11C-79AB-4B0F-B796-7608E83E4842}"/>
    <hyperlink ref="DT1" r:id="rId171" tooltip="Property:P973" display="https://www.wikidata.org/wiki/Property:P973" xr:uid="{929C4ECF-0402-41F1-9D1F-EC51FD3DF076}"/>
    <hyperlink ref="DR1" r:id="rId172" tooltip="Property:P1801" display="https://www.wikidata.org/wiki/Property:P1801" xr:uid="{DF04C7FC-3C59-4FA6-9AC4-BEFF415D92A2}"/>
    <hyperlink ref="EB1" r:id="rId173" tooltip="Property:P126" display="https://www.wikidata.org/wiki/Property:P126" xr:uid="{52C74596-E9EC-4654-B989-6F68FC6F9D69}"/>
    <hyperlink ref="EV1" r:id="rId174" tooltip="Property:P7419" display="https://www.wikidata.org/wiki/Property:P7419" xr:uid="{68705784-651F-4A6E-B954-D34A0117797C}"/>
    <hyperlink ref="FN1" r:id="rId175" tooltip="Property:P10225" display="https://www.wikidata.org/wiki/Property:P10225" xr:uid="{53DEC513-DD3D-4C31-A3C6-793DAAA9F7A0}"/>
    <hyperlink ref="DJ1" r:id="rId176" tooltip="Property:P2770" display="https://www.wikidata.org/wiki/Property:P2770" xr:uid="{2236B2CA-2A30-49E9-B771-87D32F4C13A3}"/>
    <hyperlink ref="BV1" r:id="rId177" tooltip="Property:P921" display="https://www.wikidata.org/wiki/Property:P921" xr:uid="{BAFFF8BC-9D56-461B-82F0-C02EA14B7049}"/>
    <hyperlink ref="CA1" r:id="rId178" tooltip="Property:P989" display="https://www.wikidata.org/wiki/Property:P989" xr:uid="{41C37C40-9C8B-4F6B-A46E-820A0314E92F}"/>
    <hyperlink ref="AS1" r:id="rId179" tooltip="Property:P706" display="https://www.wikidata.org/wiki/Property:P706" xr:uid="{41BE1B0F-D183-4FB1-BD30-F0A4A2BB4BDA}"/>
    <hyperlink ref="P1" r:id="rId180" tooltip="Property:P859" display="https://www.wikidata.org/wiki/Property:P859" xr:uid="{D9DE5A7D-DC5B-4B51-B708-BB9A4C1AD383}"/>
    <hyperlink ref="CT1" r:id="rId181" tooltip="Property:P2817" display="https://www.wikidata.org/wiki/Property:P2817" xr:uid="{4799736C-483F-4A97-BAEB-2EC6535201A9}"/>
    <hyperlink ref="EC1" r:id="rId182" tooltip="Property:P2283" display="https://www.wikidata.org/wiki/Property:P2283" xr:uid="{FDC96812-11E8-417F-9A69-6308CEA3150F}"/>
    <hyperlink ref="AK1" r:id="rId183" tooltip="Property:P37" display="https://www.wikidata.org/wiki/Property:P37" xr:uid="{8364FD64-937C-4DDB-984F-BC99553A9799}"/>
    <hyperlink ref="BM1" r:id="rId184" tooltip="Property:P740" display="https://www.wikidata.org/wiki/Property:P740" xr:uid="{725F923E-DE06-4BE0-8B8E-6C8E4DB19DEE}"/>
    <hyperlink ref="BY1" r:id="rId185" tooltip="Property:P155" display="https://www.wikidata.org/wiki/Property:P155" xr:uid="{F0735548-9FAD-43F1-A4FE-79C2778F3BE4}"/>
    <hyperlink ref="AL1" r:id="rId186" tooltip="Property:P169" display="https://www.wikidata.org/wiki/Property:P169" xr:uid="{3CF81F7E-8DA7-410E-A522-D02D481E50F0}"/>
    <hyperlink ref="DW1" r:id="rId187" tooltip="Property:P4004" display="https://www.wikidata.org/wiki/Property:P4004" xr:uid="{E953467A-2593-4A98-9BF0-38F0727A1C9B}"/>
    <hyperlink ref="GJ1" r:id="rId188" tooltip="Property:P7561" display="https://www.wikidata.org/wiki/Property:P7561" xr:uid="{F4A82E6B-6B2B-4402-BAD8-D3C4CF42DEE2}"/>
    <hyperlink ref="H1" r:id="rId189" tooltip="Property:P2561" display="https://www.wikidata.org/wiki/Property:P2561" xr:uid="{669A8868-2402-4BDE-ACED-635A17248547}"/>
    <hyperlink ref="CL1" r:id="rId190" tooltip="Property:P149" display="https://www.wikidata.org/wiki/Property:P149" xr:uid="{43EB3344-27C1-4A65-BA39-801399080AFC}"/>
    <hyperlink ref="N1" r:id="rId191" tooltip="Property:P10" display="https://www.wikidata.org/wiki/Property:P10" xr:uid="{6D355727-4E9E-4527-85D0-513085C9C06B}"/>
    <hyperlink ref="DB1" r:id="rId192" tooltip="Property:P2238" display="https://www.wikidata.org/wiki/Property:P2238" xr:uid="{3044C2BB-8CA8-4F8A-A22A-E75E721AFCDF}"/>
    <hyperlink ref="A2" r:id="rId193" display="https://ror.org/03vek6s52" xr:uid="{AF813408-88F7-4724-896D-5C42A1C243E1}"/>
    <hyperlink ref="A3" r:id="rId194" display="https://ror.org/00f54p054" xr:uid="{BADF8D1D-99FF-4F12-907D-738E0CEBC890}"/>
    <hyperlink ref="A4" r:id="rId195" display="https://ror.org/042nb2s44" xr:uid="{5A6F23DB-EC45-4B3D-BF8E-2F224A4225D1}"/>
    <hyperlink ref="A5" r:id="rId196" display="https://ror.org/052gg0110" xr:uid="{BF486DF2-EEB6-45DA-BD9B-77C0C645DAC4}"/>
    <hyperlink ref="A7" r:id="rId197" display="https://ror.org/00jmfr291" xr:uid="{A179E929-6F1D-42CE-AC64-6EE52C8226B5}"/>
    <hyperlink ref="A6" r:id="rId198" display="https://ror.org/01an7q238" xr:uid="{52872205-2C7C-4484-B5DC-5225C80133FC}"/>
    <hyperlink ref="A8" r:id="rId199" display="https://ror.org/05bnh6r87" xr:uid="{F787BD19-8D8C-4A21-A5FB-8E4C175BD882}"/>
    <hyperlink ref="A9" r:id="rId200" display="https://ror.org/00cvxb145" xr:uid="{2DBA89FB-0240-47AB-B0E9-5C07343EBA97}"/>
    <hyperlink ref="A10" r:id="rId201" display="https://ror.org/00hj8s172" xr:uid="{6D719F8B-F443-4E11-B1FA-7FBA6BF6600B}"/>
    <hyperlink ref="A11" r:id="rId202" display="https://ror.org/00b30xv10" xr:uid="{B01D0221-BEDD-4613-A123-35124560CC16}"/>
    <hyperlink ref="A13" r:id="rId203" display="https://ror.org/00za53h95" xr:uid="{D14C2268-BB7B-4636-A346-DF30F8DF5646}"/>
    <hyperlink ref="A12" r:id="rId204" display="https://ror.org/013meh722" xr:uid="{99F894EB-E4E0-4091-98F6-F91EBE6D4847}"/>
    <hyperlink ref="A14" r:id="rId205" display="https://ror.org/03v76x132" xr:uid="{9E343DAD-FA91-45DC-80C8-58BA2724B9ED}"/>
    <hyperlink ref="A15" r:id="rId206" display="https://ror.org/046rm7j60" xr:uid="{1A0F5A58-8160-4170-8914-9F4BBA789E86}"/>
    <hyperlink ref="A16" r:id="rId207" display="https://ror.org/02jx3x895" xr:uid="{419ABE3F-0341-467D-AE1F-1C43E89E4FFA}"/>
    <hyperlink ref="A17" r:id="rId208" display="https://ror.org/03dbr7087" xr:uid="{5AB7E83C-BE59-439C-894A-774FD806BBB0}"/>
    <hyperlink ref="A18" r:id="rId209" display="https://ror.org/0168r3w48" xr:uid="{FE87B3E6-D5F0-499E-9E74-E30FF38DF4C4}"/>
    <hyperlink ref="A19" r:id="rId210" display="https://ror.org/04p491231" xr:uid="{68AD4B25-7CE0-4CE2-99EE-4D43D5D2AC0B}"/>
    <hyperlink ref="A21" r:id="rId211" display="https://ror.org/01y2jtd41" xr:uid="{466EA042-9C0A-42D0-9C1E-33F7C28C19D2}"/>
    <hyperlink ref="A23" r:id="rId212" display="https://ror.org/03cve4549" xr:uid="{9FD0B153-C9EA-41D4-B82D-F7AB7C150A74}"/>
    <hyperlink ref="A22" r:id="rId213" display="https://ror.org/00py81415" xr:uid="{13F31B66-81F4-4678-9D54-57E8C5B270E2}"/>
    <hyperlink ref="A25" r:id="rId214" display="https://ror.org/000e0be47" xr:uid="{E0CACB80-A469-40BC-8EAA-96B6B8911B75}"/>
    <hyperlink ref="A30" r:id="rId215" display="https://ror.org/02v51f717" xr:uid="{E354B3A5-3BB7-436A-B5BB-3102C66F5846}"/>
    <hyperlink ref="A20" r:id="rId216" display="https://ror.org/0190ak572" xr:uid="{0BE9854D-DF13-41C1-BCF3-C84B209A6C1C}"/>
    <hyperlink ref="A26" r:id="rId217" display="https://ror.org/03rmrcq20" xr:uid="{CC766D5C-6F38-4BD4-8FF0-755194DFCBFC}"/>
    <hyperlink ref="A24" r:id="rId218" display="https://ror.org/00hx57361" xr:uid="{D638D734-976D-4C91-BB9E-2BC052D5DB29}"/>
    <hyperlink ref="A28" r:id="rId219" display="https://ror.org/0130frc33" xr:uid="{770472D0-B45C-4FCD-816C-003011E1C51F}"/>
    <hyperlink ref="A29" r:id="rId220" display="https://ror.org/024mw5h28" xr:uid="{60EA0912-A2BB-4D6F-87B0-EE42B67354BE}"/>
    <hyperlink ref="A27" r:id="rId221" display="https://ror.org/00hj54h04" xr:uid="{E5AE7066-C903-414F-8B25-7C8FFF3F5652}"/>
    <hyperlink ref="A44" r:id="rId222" display="https://ror.org/03taz7m60" xr:uid="{FBA7BEE9-8553-4C97-BF71-BBDCF6143093}"/>
    <hyperlink ref="A33" r:id="rId223" display="https://ror.org/05a28rw58" xr:uid="{12C7A4D5-BED5-4BB4-8AF5-DA5B90AC8789}"/>
    <hyperlink ref="A32" r:id="rId224" display="https://ror.org/02y3ad647" xr:uid="{48120388-E9E7-4759-9837-4F83DE785C43}"/>
    <hyperlink ref="A34" r:id="rId225" display="https://ror.org/041kmwe10" xr:uid="{6B1374CE-9B55-4FDD-9924-4E88C6D3E448}"/>
    <hyperlink ref="A35" r:id="rId226" display="https://ror.org/00rs6vg23" xr:uid="{73FBDE6E-C16A-4690-96D2-42075BCC152D}"/>
    <hyperlink ref="A41" r:id="rId227" display="https://ror.org/047426m28" xr:uid="{A47391A6-87B7-4E87-819C-6BBBDB9D8FCB}"/>
    <hyperlink ref="A36" r:id="rId228" display="https://ror.org/05rrcem69" xr:uid="{0E8448B2-B19E-4D4D-B7C0-D63338AD0DF4}"/>
    <hyperlink ref="A31" r:id="rId229" display="https://ror.org/04gyf1771" xr:uid="{5FCBFE60-9A1A-469E-87D9-56A681B79E39}"/>
    <hyperlink ref="A37" r:id="rId230" display="https://ror.org/01ej9dk98" xr:uid="{BA63EC7D-C586-4D9E-BF16-B5C55979649F}"/>
    <hyperlink ref="A38" r:id="rId231" display="https://ror.org/043mz5j54" xr:uid="{222B9AFB-DA5B-40A3-B9D8-683922116F33}"/>
    <hyperlink ref="A40" r:id="rId232" display="https://ror.org/03r8z3t63" xr:uid="{A5671D1B-4358-4843-A6D2-85C361AD46DF}"/>
    <hyperlink ref="A42" r:id="rId233" display="https://ror.org/01yc7t268" xr:uid="{F9EDCD58-862C-4975-8339-DA9DF0165DD8}"/>
    <hyperlink ref="A43" r:id="rId234" display="https://ror.org/047s2c258" xr:uid="{901FC8A5-62E4-4AF5-834D-3373D26A132E}"/>
    <hyperlink ref="A39" r:id="rId235" display="https://ror.org/01nrxwf90" xr:uid="{E49B4EFB-14E7-4AA9-A876-9F2BAF704998}"/>
    <hyperlink ref="A45" r:id="rId236" display="https://ror.org/01tgyzw49" xr:uid="{261ADD73-45AA-4406-BE7B-06018AC9C16E}"/>
    <hyperlink ref="A47" r:id="rId237" display="https://ror.org/02dqehb95" xr:uid="{9ED906D8-372D-4DEA-B3AA-D934F65B3D07}"/>
    <hyperlink ref="A51" r:id="rId238" display="https://ror.org/01an3r305" xr:uid="{276E87FF-8CD5-4285-970A-A5F336D8CDF5}"/>
    <hyperlink ref="A49" r:id="rId239" display="https://ror.org/05x2bcf33" xr:uid="{12874CD1-A9F6-4408-85D0-B9AF448A819A}"/>
    <hyperlink ref="A48" r:id="rId240" display="https://ror.org/05hs6h993" xr:uid="{13C246FB-BE1E-4550-AAD7-EF79AE094750}"/>
    <hyperlink ref="A50" r:id="rId241" display="https://ror.org/00rqy9422" xr:uid="{A76CE9DB-60FA-4231-9C1A-E75C60C2240C}"/>
    <hyperlink ref="A54" r:id="rId242" display="https://ror.org/05vt9qd57" xr:uid="{885853D4-2EBD-43E8-BF71-2E688C96F830}"/>
    <hyperlink ref="A59" r:id="rId243" display="https://ror.org/03efmqc40" xr:uid="{0BF55A1F-275D-4B71-856F-7B2BD28C96B4}"/>
    <hyperlink ref="A53" r:id="rId244" display="https://ror.org/03m2x1q45" xr:uid="{B042CE01-3D87-4A56-921E-045186F57165}"/>
    <hyperlink ref="A52" r:id="rId245" display="https://ror.org/05qwgg493" xr:uid="{7990237B-148F-44BC-B4D3-AFE715E68AC6}"/>
    <hyperlink ref="A57" r:id="rId246" display="https://ror.org/01f5ytq51" xr:uid="{31F18FF3-A3EB-4D55-AE60-938106CB70C2}"/>
    <hyperlink ref="A63" r:id="rId247" display="https://ror.org/02bfwt286" xr:uid="{850C5F58-7E81-41E8-89E4-5F81040B4963}"/>
    <hyperlink ref="A56" r:id="rId248" display="https://ror.org/0384j8v12" xr:uid="{47D1D431-AD62-4E57-A9AD-FFA7041DF9AD}"/>
    <hyperlink ref="A60" r:id="rId249" display="https://ror.org/00a2xv884" xr:uid="{BE267985-8C1C-4799-B3B5-3CC00A8D7976}"/>
    <hyperlink ref="A55" r:id="rId250" display="https://ror.org/04dkp9463" xr:uid="{741F4FFA-E139-411C-820A-8569B5F1E8C1}"/>
    <hyperlink ref="A62" r:id="rId251" display="https://ror.org/02ttsq026" xr:uid="{DABD7AAA-AC56-4E8A-B97E-04D2E5DEEE91}"/>
    <hyperlink ref="A65" r:id="rId252" display="https://ror.org/0220qvk04" xr:uid="{A839AEA7-6893-4EA4-B47E-30F1D6A021CC}"/>
    <hyperlink ref="A46" r:id="rId253" display="https://ror.org/01pxwe438" xr:uid="{65E7BD34-BADF-4590-9C31-D1156FC66EE8}"/>
    <hyperlink ref="A66" r:id="rId254" display="https://ror.org/02vm5rt34" xr:uid="{D1C4208A-8E5A-40EC-95A5-D7B7A6E93BF7}"/>
    <hyperlink ref="A68" r:id="rId255" display="https://ror.org/05dxps055" xr:uid="{88C7A4BE-F6B6-48CD-8402-5A1C230A7D2A}"/>
    <hyperlink ref="A64" r:id="rId256" display="https://ror.org/027m9bs27" xr:uid="{28B20A73-7655-4934-9416-6299582C9C22}"/>
    <hyperlink ref="A70" r:id="rId257" display="https://ror.org/01zkghx44" xr:uid="{CAC90B62-484B-4058-91D5-712D672E8B40}"/>
    <hyperlink ref="A58" r:id="rId258" display="https://ror.org/04pp8hn57" xr:uid="{2FA9444B-80B6-498C-BA50-5DEF728D4F03}"/>
    <hyperlink ref="A61" r:id="rId259" display="https://ror.org/0220mzb33" xr:uid="{BD352AB1-7823-42D6-8E5A-97E30639A37C}"/>
    <hyperlink ref="A67" r:id="rId260" display="https://ror.org/03r0ha626" xr:uid="{79E57D66-2BE8-4B6C-BA48-A7EE3A78A0CC}"/>
    <hyperlink ref="A69" r:id="rId261" display="https://ror.org/0153tk833" xr:uid="{72B8DCE4-1FB8-4D13-847B-40EBC4D837CA}"/>
    <hyperlink ref="A71" r:id="rId262" display="https://ror.org/0160cpw27" xr:uid="{2073C3C5-1EAD-4431-AF24-87260E17BCE4}"/>
    <hyperlink ref="A72" r:id="rId263" display="https://ror.org/03czfpz43" xr:uid="{B25CE950-90BB-44C7-83F2-AFB8E366E71E}"/>
    <hyperlink ref="A73" r:id="rId264" display="https://ror.org/057zh3y96" xr:uid="{B8E7EED2-DF75-49D6-9639-9739D81D3790}"/>
    <hyperlink ref="A74" r:id="rId265" display="https://ror.org/036rp1748" xr:uid="{2302C6C2-5168-4C96-943B-08E9C8904604}"/>
    <hyperlink ref="A75" r:id="rId266" display="https://ror.org/035b05819" xr:uid="{B3648BD6-F17D-46C5-8E21-D265EEC8F730}"/>
    <hyperlink ref="A76" r:id="rId267" display="https://ror.org/05f950310" xr:uid="{A3EF2706-942D-4FDA-B4FF-5086CAB2F2D5}"/>
    <hyperlink ref="A77" r:id="rId268" display="https://ror.org/00t33hh48" xr:uid="{82ACA944-A644-467D-860D-3FE72CF0F9BF}"/>
    <hyperlink ref="A78" r:id="rId269" display="https://ror.org/021018s57" xr:uid="{B4598352-5A50-472A-8D1C-069FCFBC4CE8}"/>
    <hyperlink ref="A79" r:id="rId270" display="https://ror.org/05gq02987" xr:uid="{6F1EC824-ADFD-4127-B968-CF92BD121096}"/>
    <hyperlink ref="A80" r:id="rId271" display="https://ror.org/012p63287" xr:uid="{9E344BED-EC05-4A3B-BC1A-065FB34C8242}"/>
    <hyperlink ref="A81" r:id="rId272" display="https://ror.org/02zhqgq86" xr:uid="{A6BBE9F8-0D23-4E93-955F-F5887A3C9FED}"/>
    <hyperlink ref="A82" r:id="rId273" display="https://ror.org/008xxew50" xr:uid="{EBB16576-459B-4A41-A0D5-E2FF7B85C727}"/>
    <hyperlink ref="A83" r:id="rId274" display="https://ror.org/04tj63d06" xr:uid="{46C0E564-21D9-46CB-94D3-8C3E5F0F5A3B}"/>
    <hyperlink ref="A84" r:id="rId275" display="https://ror.org/02kkvpp62" xr:uid="{99080BB7-0F43-4D9A-BFD0-035B8B6F16B2}"/>
    <hyperlink ref="A85" r:id="rId276" display="https://ror.org/019wvm592" xr:uid="{C8F12E3C-7179-442F-A17E-940318437B5D}"/>
    <hyperlink ref="A86" r:id="rId277" display="https://ror.org/02t274463" xr:uid="{DAEE4AAA-1E51-459D-BD4B-94F1B2D2ABBA}"/>
    <hyperlink ref="A87" r:id="rId278" display="https://ror.org/01aff2v68" xr:uid="{DBC01BCE-C78F-436C-AD57-61AA8F159A29}"/>
    <hyperlink ref="A88" r:id="rId279" display="https://ror.org/040af2s02" xr:uid="{0943D83E-3F62-4DB3-B0E1-2A8D59E7C427}"/>
    <hyperlink ref="A89" r:id="rId280" display="https://ror.org/02smfhw86" xr:uid="{7A56030C-174E-4FCD-A8D4-7DA6DE42D88C}"/>
    <hyperlink ref="A90" r:id="rId281" display="https://ror.org/03yjb2x39" xr:uid="{E862BA52-ABA1-4FD1-8E33-10B2145BA6C0}"/>
    <hyperlink ref="A91" r:id="rId282" display="https://ror.org/04c4dkn09" xr:uid="{09A52252-4E17-4212-8978-F626F967DCAA}"/>
    <hyperlink ref="A92" r:id="rId283" display="https://ror.org/024mrxd33" xr:uid="{7436C14D-B0E0-41ED-BD18-736DCEAA3E49}"/>
    <hyperlink ref="A93" r:id="rId284" display="https://ror.org/02e7b5302" xr:uid="{580E7401-7D7F-49AB-867E-456473077A85}"/>
    <hyperlink ref="A94" r:id="rId285" display="https://ror.org/01xtthb56" xr:uid="{4093A14B-DEF4-439B-BB0E-3B669D9ABE7F}"/>
    <hyperlink ref="A95" r:id="rId286" display="https://ror.org/036jqmy94" xr:uid="{2A70CB77-8F4E-4851-A1C6-966105CF49C5}"/>
    <hyperlink ref="A96" r:id="rId287" display="https://ror.org/02crff812" xr:uid="{970F562E-E98F-4624-B0CA-6CFAC9466508}"/>
    <hyperlink ref="A97" r:id="rId288" display="https://ror.org/013q1eq08" xr:uid="{167B1BEC-B3CA-4270-A5AB-363C66E54776}"/>
    <hyperlink ref="A98" r:id="rId289" display="https://ror.org/01111rn36" xr:uid="{4E389A14-6BCE-442A-89D7-70EC3C777A6C}"/>
    <hyperlink ref="A99" r:id="rId290" display="https://ror.org/01aj84f44" xr:uid="{DA24BF47-45D7-4E2A-A07A-393BF1F9E660}"/>
    <hyperlink ref="A100" r:id="rId291" display="https://ror.org/02s376052" xr:uid="{8AD883B6-E5B5-40D4-B0D0-EED3B57A0EC0}"/>
    <hyperlink ref="A101" r:id="rId292" display="https://ror.org/022kthw22" xr:uid="{F43E7727-352C-4332-A639-390646F8E407}"/>
  </hyperlinks>
  <pageMargins left="0.7" right="0.7" top="0.75" bottom="0.75" header="0.3" footer="0.3"/>
  <pageSetup orientation="portrait" r:id="rId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58BE-430F-4571-B0DC-4C288B6C5CEB}">
  <dimension ref="A1:BC293"/>
  <sheetViews>
    <sheetView topLeftCell="AQ1" zoomScale="80" zoomScaleNormal="80" workbookViewId="0">
      <pane ySplit="1" topLeftCell="A5" activePane="bottomLeft" state="frozen"/>
      <selection pane="bottomLeft" activeCell="A109" sqref="A109"/>
    </sheetView>
  </sheetViews>
  <sheetFormatPr defaultRowHeight="14.4" x14ac:dyDescent="0.3"/>
  <cols>
    <col min="1" max="1" width="28.44140625" style="4" bestFit="1" customWidth="1"/>
    <col min="2" max="2" width="38.5546875" bestFit="1" customWidth="1"/>
    <col min="3" max="3" width="12.6640625" bestFit="1" customWidth="1"/>
    <col min="4" max="4" width="27.21875" bestFit="1" customWidth="1"/>
    <col min="5" max="5" width="29.109375" customWidth="1"/>
    <col min="6" max="6" width="27.44140625" bestFit="1" customWidth="1"/>
    <col min="7" max="7" width="9.6640625" bestFit="1" customWidth="1"/>
    <col min="8" max="8" width="16.88671875" bestFit="1" customWidth="1"/>
    <col min="9" max="9" width="17.6640625" bestFit="1" customWidth="1"/>
    <col min="10" max="10" width="11.21875" bestFit="1" customWidth="1"/>
    <col min="11" max="11" width="19.77734375" bestFit="1" customWidth="1"/>
    <col min="12" max="12" width="26.6640625" bestFit="1" customWidth="1"/>
    <col min="13" max="13" width="27.44140625" bestFit="1" customWidth="1"/>
    <col min="14" max="14" width="20.21875" bestFit="1" customWidth="1"/>
    <col min="15" max="15" width="36.88671875" bestFit="1" customWidth="1"/>
    <col min="16" max="16" width="37.33203125" bestFit="1" customWidth="1"/>
    <col min="17" max="17" width="32.44140625" bestFit="1" customWidth="1"/>
    <col min="18" max="18" width="13.33203125" bestFit="1" customWidth="1"/>
    <col min="19" max="20" width="30.77734375" bestFit="1" customWidth="1"/>
    <col min="21" max="21" width="12.6640625" bestFit="1" customWidth="1"/>
    <col min="22" max="22" width="13.21875" bestFit="1" customWidth="1"/>
    <col min="23" max="23" width="32.6640625" bestFit="1" customWidth="1"/>
    <col min="24" max="24" width="12.6640625" bestFit="1" customWidth="1"/>
    <col min="25" max="25" width="26.44140625" bestFit="1" customWidth="1"/>
    <col min="26" max="26" width="18.44140625" bestFit="1" customWidth="1"/>
    <col min="27" max="27" width="18.88671875" bestFit="1" customWidth="1"/>
    <col min="28" max="28" width="26.6640625" bestFit="1" customWidth="1"/>
    <col min="29" max="31" width="12.6640625" bestFit="1" customWidth="1"/>
    <col min="32" max="32" width="17.88671875" bestFit="1" customWidth="1"/>
    <col min="33" max="33" width="17.109375" bestFit="1" customWidth="1"/>
    <col min="34" max="34" width="14.44140625" bestFit="1" customWidth="1"/>
    <col min="35" max="35" width="16.88671875" bestFit="1" customWidth="1"/>
    <col min="36" max="38" width="38.5546875" bestFit="1" customWidth="1"/>
    <col min="39" max="39" width="19.6640625" bestFit="1" customWidth="1"/>
    <col min="40" max="40" width="38.88671875" bestFit="1" customWidth="1"/>
    <col min="41" max="41" width="20.5546875" bestFit="1" customWidth="1"/>
    <col min="42" max="42" width="41.109375" bestFit="1" customWidth="1"/>
    <col min="43" max="43" width="36.88671875" bestFit="1" customWidth="1"/>
    <col min="44" max="44" width="13.5546875" bestFit="1" customWidth="1"/>
    <col min="45" max="45" width="13.44140625" bestFit="1" customWidth="1"/>
  </cols>
  <sheetData>
    <row r="1" spans="1:44" x14ac:dyDescent="0.3">
      <c r="A1" s="9" t="s">
        <v>613</v>
      </c>
      <c r="B1" s="15" t="s">
        <v>65</v>
      </c>
      <c r="C1" s="15" t="s">
        <v>66</v>
      </c>
      <c r="D1" s="15" t="s">
        <v>78</v>
      </c>
      <c r="E1" s="15" t="s">
        <v>81</v>
      </c>
      <c r="F1" s="15" t="s">
        <v>188</v>
      </c>
      <c r="G1" s="15" t="s">
        <v>94</v>
      </c>
      <c r="H1" s="15" t="s">
        <v>103</v>
      </c>
      <c r="I1" s="15" t="s">
        <v>124</v>
      </c>
      <c r="J1" s="15" t="s">
        <v>139</v>
      </c>
      <c r="K1" s="15" t="s">
        <v>157</v>
      </c>
      <c r="L1" s="15" t="s">
        <v>172</v>
      </c>
      <c r="M1" s="15" t="s">
        <v>182</v>
      </c>
      <c r="N1" s="15" t="s">
        <v>187</v>
      </c>
      <c r="O1" s="15" t="s">
        <v>204</v>
      </c>
      <c r="P1" s="15" t="s">
        <v>209</v>
      </c>
      <c r="Q1" s="14" t="s">
        <v>72</v>
      </c>
      <c r="R1" s="14" t="s">
        <v>183</v>
      </c>
      <c r="S1" s="14" t="s">
        <v>133</v>
      </c>
      <c r="T1" s="14" t="s">
        <v>75</v>
      </c>
      <c r="U1" s="14" t="s">
        <v>86</v>
      </c>
      <c r="V1" s="14" t="s">
        <v>195</v>
      </c>
      <c r="W1" s="14" t="s">
        <v>95</v>
      </c>
      <c r="X1" s="14" t="s">
        <v>245</v>
      </c>
      <c r="Y1" s="16" t="s">
        <v>134</v>
      </c>
      <c r="Z1" s="16" t="s">
        <v>122</v>
      </c>
      <c r="AA1" s="16" t="s">
        <v>87</v>
      </c>
      <c r="AB1" s="16" t="s">
        <v>200</v>
      </c>
      <c r="AC1" s="15" t="s">
        <v>0</v>
      </c>
      <c r="AD1" s="15" t="s">
        <v>1</v>
      </c>
      <c r="AE1" s="15" t="s">
        <v>16</v>
      </c>
      <c r="AF1" s="15" t="s">
        <v>18</v>
      </c>
      <c r="AG1" s="15" t="s">
        <v>20</v>
      </c>
      <c r="AH1" s="15" t="s">
        <v>39</v>
      </c>
      <c r="AI1" s="15" t="s">
        <v>58</v>
      </c>
      <c r="AJ1" s="15" t="s">
        <v>61</v>
      </c>
      <c r="AK1" s="14" t="s">
        <v>3</v>
      </c>
      <c r="AL1" s="14" t="s">
        <v>26</v>
      </c>
      <c r="AM1" s="14" t="s">
        <v>60</v>
      </c>
      <c r="AN1" s="14" t="s">
        <v>62</v>
      </c>
      <c r="AO1" s="14" t="s">
        <v>50</v>
      </c>
      <c r="AP1" s="14" t="s">
        <v>17</v>
      </c>
      <c r="AQ1" s="16" t="s">
        <v>23</v>
      </c>
      <c r="AR1" s="16" t="s">
        <v>30</v>
      </c>
    </row>
    <row r="2" spans="1:44" x14ac:dyDescent="0.3">
      <c r="A2" s="10" t="s">
        <v>614</v>
      </c>
      <c r="B2" s="1">
        <v>1</v>
      </c>
      <c r="C2" s="1">
        <v>2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4">
        <v>1</v>
      </c>
      <c r="L2" s="1">
        <v>1</v>
      </c>
      <c r="M2" s="4">
        <v>1</v>
      </c>
      <c r="N2" s="1">
        <v>1</v>
      </c>
      <c r="O2" s="1">
        <v>1</v>
      </c>
      <c r="P2" s="1">
        <v>1</v>
      </c>
      <c r="Q2" s="1">
        <v>1</v>
      </c>
      <c r="R2" s="1">
        <v>4</v>
      </c>
      <c r="S2" s="4">
        <v>1</v>
      </c>
      <c r="T2" s="1">
        <v>1</v>
      </c>
      <c r="U2" s="1">
        <v>2</v>
      </c>
      <c r="V2" s="1">
        <v>1</v>
      </c>
      <c r="W2" s="4">
        <v>1</v>
      </c>
      <c r="X2" s="4">
        <v>0</v>
      </c>
      <c r="Y2" s="1">
        <v>1</v>
      </c>
      <c r="Z2" s="1">
        <v>1</v>
      </c>
      <c r="AA2" s="1">
        <v>1</v>
      </c>
      <c r="AB2" s="1">
        <v>1</v>
      </c>
      <c r="AC2" s="1">
        <v>4</v>
      </c>
      <c r="AD2" s="1">
        <v>1</v>
      </c>
      <c r="AE2" s="1">
        <v>1</v>
      </c>
      <c r="AF2" s="1">
        <v>1</v>
      </c>
      <c r="AG2" s="1">
        <v>19</v>
      </c>
      <c r="AH2" s="4">
        <v>1</v>
      </c>
      <c r="AI2" s="1">
        <v>1</v>
      </c>
      <c r="AJ2" s="1">
        <v>1</v>
      </c>
      <c r="AK2" s="4">
        <v>1</v>
      </c>
      <c r="AL2" s="1">
        <v>35</v>
      </c>
      <c r="AM2" s="4">
        <v>1</v>
      </c>
      <c r="AN2" s="1">
        <v>1</v>
      </c>
      <c r="AO2" s="1">
        <v>11</v>
      </c>
      <c r="AP2" s="1">
        <v>1</v>
      </c>
      <c r="AQ2" s="4">
        <v>2</v>
      </c>
      <c r="AR2" s="1">
        <v>1</v>
      </c>
    </row>
    <row r="3" spans="1:44" x14ac:dyDescent="0.3">
      <c r="A3" s="10" t="s">
        <v>615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4">
        <v>1</v>
      </c>
      <c r="L3" s="1">
        <v>1</v>
      </c>
      <c r="M3" s="4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4">
        <v>1</v>
      </c>
      <c r="T3" s="1">
        <v>1</v>
      </c>
      <c r="U3" s="1">
        <v>1</v>
      </c>
      <c r="V3" s="1">
        <v>1</v>
      </c>
      <c r="W3" s="4">
        <v>1</v>
      </c>
      <c r="X3" s="4">
        <v>0</v>
      </c>
      <c r="Y3" s="1">
        <v>1</v>
      </c>
      <c r="Z3" s="1">
        <v>1</v>
      </c>
      <c r="AA3" s="1">
        <v>1</v>
      </c>
      <c r="AB3" s="1">
        <v>1</v>
      </c>
      <c r="AC3" s="1">
        <v>5</v>
      </c>
      <c r="AD3" s="1">
        <v>2</v>
      </c>
      <c r="AE3" s="1">
        <v>1</v>
      </c>
      <c r="AF3" s="1">
        <v>1</v>
      </c>
      <c r="AG3" s="1">
        <v>14</v>
      </c>
      <c r="AH3" s="4">
        <v>1</v>
      </c>
      <c r="AI3" s="1">
        <v>1</v>
      </c>
      <c r="AJ3" s="1">
        <v>1</v>
      </c>
      <c r="AK3" s="4">
        <v>1</v>
      </c>
      <c r="AL3" s="1">
        <v>22</v>
      </c>
      <c r="AM3" s="4">
        <v>1</v>
      </c>
      <c r="AN3" s="1">
        <v>1</v>
      </c>
      <c r="AO3" s="1">
        <v>4</v>
      </c>
      <c r="AP3" s="1">
        <v>1</v>
      </c>
      <c r="AQ3" s="4">
        <v>4</v>
      </c>
      <c r="AR3" s="1">
        <v>1</v>
      </c>
    </row>
    <row r="4" spans="1:44" x14ac:dyDescent="0.3">
      <c r="A4" s="10" t="s">
        <v>616</v>
      </c>
      <c r="B4" s="1">
        <v>1</v>
      </c>
      <c r="C4" s="1">
        <v>2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4">
        <v>1</v>
      </c>
      <c r="L4" s="1">
        <v>1</v>
      </c>
      <c r="M4" s="4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4">
        <v>1</v>
      </c>
      <c r="T4" s="1">
        <v>1</v>
      </c>
      <c r="U4" s="1">
        <v>1</v>
      </c>
      <c r="V4" s="1">
        <v>1</v>
      </c>
      <c r="W4" s="4">
        <v>1</v>
      </c>
      <c r="X4" s="4">
        <v>1</v>
      </c>
      <c r="Y4" s="1">
        <v>1</v>
      </c>
      <c r="Z4" s="1">
        <v>1</v>
      </c>
      <c r="AA4" s="1">
        <v>1</v>
      </c>
      <c r="AB4" s="1">
        <v>1</v>
      </c>
      <c r="AC4" s="1">
        <v>6</v>
      </c>
      <c r="AD4" s="1">
        <v>1</v>
      </c>
      <c r="AE4" s="1">
        <v>1</v>
      </c>
      <c r="AF4" s="1">
        <v>1</v>
      </c>
      <c r="AG4" s="1">
        <v>17</v>
      </c>
      <c r="AH4" s="4">
        <v>1</v>
      </c>
      <c r="AI4" s="1">
        <v>1</v>
      </c>
      <c r="AJ4" s="1">
        <v>1</v>
      </c>
      <c r="AK4" s="4">
        <v>1</v>
      </c>
      <c r="AL4" s="1">
        <v>14</v>
      </c>
      <c r="AM4" s="4">
        <v>1</v>
      </c>
      <c r="AN4" s="1">
        <v>1</v>
      </c>
      <c r="AO4" s="1">
        <v>6</v>
      </c>
      <c r="AP4" s="1">
        <v>1</v>
      </c>
      <c r="AQ4" s="4">
        <v>2</v>
      </c>
      <c r="AR4" s="1">
        <v>1</v>
      </c>
    </row>
    <row r="5" spans="1:44" x14ac:dyDescent="0.3">
      <c r="A5" s="10" t="s">
        <v>617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4">
        <v>1</v>
      </c>
      <c r="L5" s="1">
        <v>1</v>
      </c>
      <c r="M5" s="4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4">
        <v>1</v>
      </c>
      <c r="T5" s="1">
        <v>1</v>
      </c>
      <c r="U5" s="1">
        <v>1</v>
      </c>
      <c r="V5" s="1">
        <v>1</v>
      </c>
      <c r="W5" s="4">
        <v>1</v>
      </c>
      <c r="X5" s="4">
        <v>0</v>
      </c>
      <c r="Y5" s="1">
        <v>1</v>
      </c>
      <c r="Z5" s="1">
        <v>1</v>
      </c>
      <c r="AA5" s="1">
        <v>1</v>
      </c>
      <c r="AB5" s="1">
        <v>1</v>
      </c>
      <c r="AC5" s="1">
        <v>5</v>
      </c>
      <c r="AD5" s="1">
        <v>1</v>
      </c>
      <c r="AE5" s="1">
        <v>1</v>
      </c>
      <c r="AF5" s="1">
        <v>1</v>
      </c>
      <c r="AG5" s="1">
        <v>11</v>
      </c>
      <c r="AH5" s="4">
        <v>1</v>
      </c>
      <c r="AI5" s="1">
        <v>1</v>
      </c>
      <c r="AJ5" s="1">
        <v>1</v>
      </c>
      <c r="AK5" s="4">
        <v>1</v>
      </c>
      <c r="AL5" s="1">
        <v>21</v>
      </c>
      <c r="AM5" s="4">
        <v>1</v>
      </c>
      <c r="AN5" s="1">
        <v>1</v>
      </c>
      <c r="AO5" s="1">
        <v>4</v>
      </c>
      <c r="AP5" s="1">
        <v>1</v>
      </c>
      <c r="AQ5" s="4">
        <v>1</v>
      </c>
      <c r="AR5" s="1">
        <v>1</v>
      </c>
    </row>
    <row r="6" spans="1:44" x14ac:dyDescent="0.3">
      <c r="A6" s="10" t="s">
        <v>618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4">
        <v>1</v>
      </c>
      <c r="L6" s="1">
        <v>1</v>
      </c>
      <c r="M6" s="4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4">
        <v>1</v>
      </c>
      <c r="T6" s="1">
        <v>1</v>
      </c>
      <c r="U6" s="1">
        <v>1</v>
      </c>
      <c r="V6" s="1">
        <v>1</v>
      </c>
      <c r="W6" s="4">
        <v>1</v>
      </c>
      <c r="X6" s="4">
        <v>1</v>
      </c>
      <c r="Y6" s="1">
        <v>1</v>
      </c>
      <c r="Z6" s="1">
        <v>1</v>
      </c>
      <c r="AA6" s="1">
        <v>1</v>
      </c>
      <c r="AB6" s="1">
        <v>1</v>
      </c>
      <c r="AC6" s="1">
        <v>4</v>
      </c>
      <c r="AD6" s="1">
        <v>1</v>
      </c>
      <c r="AE6" s="1">
        <v>1</v>
      </c>
      <c r="AF6" s="1">
        <v>1</v>
      </c>
      <c r="AG6" s="1">
        <v>15</v>
      </c>
      <c r="AH6" s="4">
        <v>1</v>
      </c>
      <c r="AI6" s="1">
        <v>1</v>
      </c>
      <c r="AJ6" s="1">
        <v>1</v>
      </c>
      <c r="AK6" s="4">
        <v>7</v>
      </c>
      <c r="AL6" s="1">
        <v>17</v>
      </c>
      <c r="AM6" s="4">
        <v>1</v>
      </c>
      <c r="AN6" s="1">
        <v>1</v>
      </c>
      <c r="AO6" s="1">
        <v>3</v>
      </c>
      <c r="AP6" s="1">
        <v>1</v>
      </c>
      <c r="AQ6" s="4">
        <v>3</v>
      </c>
      <c r="AR6" s="1">
        <v>1</v>
      </c>
    </row>
    <row r="7" spans="1:44" x14ac:dyDescent="0.3">
      <c r="A7" s="10" t="s">
        <v>619</v>
      </c>
      <c r="B7" s="1">
        <v>1</v>
      </c>
      <c r="C7" s="1">
        <v>2</v>
      </c>
      <c r="D7" s="1">
        <v>2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4">
        <v>1</v>
      </c>
      <c r="L7" s="1">
        <v>1</v>
      </c>
      <c r="M7" s="4">
        <v>1</v>
      </c>
      <c r="N7" s="1">
        <v>1</v>
      </c>
      <c r="O7" s="1">
        <v>2</v>
      </c>
      <c r="P7" s="1">
        <v>1</v>
      </c>
      <c r="Q7" s="1">
        <v>1</v>
      </c>
      <c r="R7" s="1">
        <v>1</v>
      </c>
      <c r="S7" s="4">
        <v>1</v>
      </c>
      <c r="T7" s="1">
        <v>1</v>
      </c>
      <c r="U7" s="1">
        <v>1</v>
      </c>
      <c r="V7" s="1">
        <v>1</v>
      </c>
      <c r="W7" s="4">
        <v>1</v>
      </c>
      <c r="X7" s="4">
        <v>1</v>
      </c>
      <c r="Y7" s="1">
        <v>1</v>
      </c>
      <c r="Z7" s="1">
        <v>1</v>
      </c>
      <c r="AA7" s="1">
        <v>1</v>
      </c>
      <c r="AB7" s="1">
        <v>1</v>
      </c>
      <c r="AC7" s="1">
        <v>2</v>
      </c>
      <c r="AD7" s="1">
        <v>1</v>
      </c>
      <c r="AE7" s="1">
        <v>1</v>
      </c>
      <c r="AF7" s="1">
        <v>1</v>
      </c>
      <c r="AG7" s="1">
        <v>19</v>
      </c>
      <c r="AH7" s="4">
        <v>1</v>
      </c>
      <c r="AI7" s="1">
        <v>1</v>
      </c>
      <c r="AJ7" s="1">
        <v>1</v>
      </c>
      <c r="AK7" s="4">
        <v>1</v>
      </c>
      <c r="AL7" s="1">
        <v>21</v>
      </c>
      <c r="AM7" s="4">
        <v>0</v>
      </c>
      <c r="AN7" s="1">
        <v>1</v>
      </c>
      <c r="AO7" s="1">
        <v>7</v>
      </c>
      <c r="AP7" s="1">
        <v>1</v>
      </c>
      <c r="AQ7" s="4">
        <v>2</v>
      </c>
      <c r="AR7" s="1">
        <v>1</v>
      </c>
    </row>
    <row r="8" spans="1:44" x14ac:dyDescent="0.3">
      <c r="A8" s="10" t="s">
        <v>620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4">
        <v>1</v>
      </c>
      <c r="L8" s="1">
        <v>1</v>
      </c>
      <c r="M8" s="4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4">
        <v>1</v>
      </c>
      <c r="T8" s="1">
        <v>1</v>
      </c>
      <c r="U8" s="1">
        <v>1</v>
      </c>
      <c r="V8" s="1">
        <v>1</v>
      </c>
      <c r="W8" s="4">
        <v>1</v>
      </c>
      <c r="X8" s="4">
        <v>2</v>
      </c>
      <c r="Y8" s="1">
        <v>1</v>
      </c>
      <c r="Z8" s="1">
        <v>1</v>
      </c>
      <c r="AA8" s="1">
        <v>1</v>
      </c>
      <c r="AB8" s="1">
        <v>1</v>
      </c>
      <c r="AC8" s="1">
        <v>5</v>
      </c>
      <c r="AD8" s="1">
        <v>1</v>
      </c>
      <c r="AE8" s="1">
        <v>1</v>
      </c>
      <c r="AF8" s="1">
        <v>1</v>
      </c>
      <c r="AG8" s="1">
        <v>17</v>
      </c>
      <c r="AH8" s="4">
        <v>1</v>
      </c>
      <c r="AI8" s="1">
        <v>1</v>
      </c>
      <c r="AJ8" s="1">
        <v>1</v>
      </c>
      <c r="AK8" s="4">
        <v>0</v>
      </c>
      <c r="AL8" s="1">
        <v>18</v>
      </c>
      <c r="AM8" s="4">
        <v>0</v>
      </c>
      <c r="AN8" s="1">
        <v>1</v>
      </c>
      <c r="AO8" s="1">
        <v>9</v>
      </c>
      <c r="AP8" s="1">
        <v>1</v>
      </c>
      <c r="AQ8" s="4">
        <v>2</v>
      </c>
      <c r="AR8" s="1">
        <v>1</v>
      </c>
    </row>
    <row r="9" spans="1:44" x14ac:dyDescent="0.3">
      <c r="A9" s="10" t="s">
        <v>621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4">
        <v>1</v>
      </c>
      <c r="L9" s="1">
        <v>1</v>
      </c>
      <c r="M9" s="4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4">
        <v>1</v>
      </c>
      <c r="T9" s="1">
        <v>1</v>
      </c>
      <c r="U9" s="1">
        <v>1</v>
      </c>
      <c r="V9" s="1">
        <v>1</v>
      </c>
      <c r="W9" s="4">
        <v>0</v>
      </c>
      <c r="X9" s="4">
        <v>1</v>
      </c>
      <c r="Y9" s="1">
        <v>1</v>
      </c>
      <c r="Z9" s="1">
        <v>1</v>
      </c>
      <c r="AA9" s="1">
        <v>1</v>
      </c>
      <c r="AB9" s="1">
        <v>1</v>
      </c>
      <c r="AC9" s="1">
        <v>4</v>
      </c>
      <c r="AD9" s="1">
        <v>1</v>
      </c>
      <c r="AE9" s="1">
        <v>1</v>
      </c>
      <c r="AF9" s="1">
        <v>1</v>
      </c>
      <c r="AG9" s="1">
        <v>15</v>
      </c>
      <c r="AH9" s="4">
        <v>1</v>
      </c>
      <c r="AI9" s="1">
        <v>1</v>
      </c>
      <c r="AJ9" s="1">
        <v>1</v>
      </c>
      <c r="AK9" s="4">
        <v>1</v>
      </c>
      <c r="AL9" s="1">
        <v>54</v>
      </c>
      <c r="AM9" s="4">
        <v>1</v>
      </c>
      <c r="AN9" s="1">
        <v>1</v>
      </c>
      <c r="AO9" s="1">
        <v>8</v>
      </c>
      <c r="AP9" s="1">
        <v>1</v>
      </c>
      <c r="AQ9" s="4">
        <v>1</v>
      </c>
      <c r="AR9" s="1">
        <v>1</v>
      </c>
    </row>
    <row r="10" spans="1:44" x14ac:dyDescent="0.3">
      <c r="A10" s="10" t="s">
        <v>622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4">
        <v>1</v>
      </c>
      <c r="L10" s="1">
        <v>1</v>
      </c>
      <c r="M10" s="4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4">
        <v>0</v>
      </c>
      <c r="T10" s="1">
        <v>1</v>
      </c>
      <c r="U10" s="1">
        <v>2</v>
      </c>
      <c r="V10" s="1">
        <v>1</v>
      </c>
      <c r="W10" s="4">
        <v>1</v>
      </c>
      <c r="X10" s="4">
        <v>1</v>
      </c>
      <c r="Y10" s="1">
        <v>1</v>
      </c>
      <c r="Z10" s="1">
        <v>1</v>
      </c>
      <c r="AA10" s="1">
        <v>1</v>
      </c>
      <c r="AB10" s="1">
        <v>1</v>
      </c>
      <c r="AC10" s="1">
        <v>5</v>
      </c>
      <c r="AD10" s="1">
        <v>1</v>
      </c>
      <c r="AE10" s="1">
        <v>1</v>
      </c>
      <c r="AF10" s="1">
        <v>1</v>
      </c>
      <c r="AG10" s="1">
        <v>18</v>
      </c>
      <c r="AH10" s="4">
        <v>3</v>
      </c>
      <c r="AI10" s="1">
        <v>1</v>
      </c>
      <c r="AJ10" s="1">
        <v>1</v>
      </c>
      <c r="AK10" s="4">
        <v>1</v>
      </c>
      <c r="AL10" s="1">
        <v>16</v>
      </c>
      <c r="AM10" s="4">
        <v>1</v>
      </c>
      <c r="AN10" s="1">
        <v>1</v>
      </c>
      <c r="AO10" s="1">
        <v>6</v>
      </c>
      <c r="AP10" s="1">
        <v>1</v>
      </c>
      <c r="AQ10" s="4">
        <v>3</v>
      </c>
      <c r="AR10" s="1">
        <v>1</v>
      </c>
    </row>
    <row r="11" spans="1:44" x14ac:dyDescent="0.3">
      <c r="A11" s="10" t="s">
        <v>623</v>
      </c>
      <c r="B11" s="1">
        <v>1</v>
      </c>
      <c r="C11" s="1">
        <v>2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4">
        <v>1</v>
      </c>
      <c r="L11" s="1">
        <v>1</v>
      </c>
      <c r="M11" s="4">
        <v>1</v>
      </c>
      <c r="N11" s="1">
        <v>1</v>
      </c>
      <c r="O11" s="1">
        <v>1</v>
      </c>
      <c r="P11" s="1">
        <v>1</v>
      </c>
      <c r="Q11" s="1">
        <v>1</v>
      </c>
      <c r="R11" s="1">
        <v>4</v>
      </c>
      <c r="S11" s="4">
        <v>1</v>
      </c>
      <c r="T11" s="1">
        <v>1</v>
      </c>
      <c r="U11" s="1">
        <v>2</v>
      </c>
      <c r="V11" s="1">
        <v>1</v>
      </c>
      <c r="W11" s="4">
        <v>1</v>
      </c>
      <c r="X11" s="4">
        <v>2</v>
      </c>
      <c r="Y11" s="1">
        <v>1</v>
      </c>
      <c r="Z11" s="1">
        <v>1</v>
      </c>
      <c r="AA11" s="1">
        <v>1</v>
      </c>
      <c r="AB11" s="1">
        <v>1</v>
      </c>
      <c r="AC11" s="1">
        <v>4</v>
      </c>
      <c r="AD11" s="1">
        <v>1</v>
      </c>
      <c r="AE11" s="1">
        <v>1</v>
      </c>
      <c r="AF11" s="1">
        <v>2</v>
      </c>
      <c r="AG11" s="1">
        <v>16</v>
      </c>
      <c r="AH11" s="4">
        <v>2</v>
      </c>
      <c r="AI11" s="1">
        <v>1</v>
      </c>
      <c r="AJ11" s="1">
        <v>1</v>
      </c>
      <c r="AK11" s="4">
        <v>1</v>
      </c>
      <c r="AL11" s="1">
        <v>15</v>
      </c>
      <c r="AM11" s="4">
        <v>1</v>
      </c>
      <c r="AN11" s="1">
        <v>1</v>
      </c>
      <c r="AO11" s="1">
        <v>6</v>
      </c>
      <c r="AP11" s="1">
        <v>1</v>
      </c>
      <c r="AQ11" s="4">
        <v>2</v>
      </c>
      <c r="AR11" s="1">
        <v>1</v>
      </c>
    </row>
    <row r="12" spans="1:44" x14ac:dyDescent="0.3">
      <c r="A12" s="10" t="s">
        <v>624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4">
        <v>1</v>
      </c>
      <c r="L12" s="1">
        <v>1</v>
      </c>
      <c r="M12" s="4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4">
        <v>1</v>
      </c>
      <c r="T12" s="1">
        <v>1</v>
      </c>
      <c r="U12" s="1">
        <v>1</v>
      </c>
      <c r="V12" s="1">
        <v>1</v>
      </c>
      <c r="W12" s="4">
        <v>1</v>
      </c>
      <c r="X12" s="4">
        <v>1</v>
      </c>
      <c r="Y12" s="1">
        <v>1</v>
      </c>
      <c r="Z12" s="1">
        <v>1</v>
      </c>
      <c r="AA12" s="1">
        <v>1</v>
      </c>
      <c r="AB12" s="1">
        <v>1</v>
      </c>
      <c r="AC12" s="1">
        <v>3</v>
      </c>
      <c r="AD12" s="1">
        <v>1</v>
      </c>
      <c r="AE12" s="1">
        <v>1</v>
      </c>
      <c r="AF12" s="1">
        <v>1</v>
      </c>
      <c r="AG12" s="1">
        <v>8</v>
      </c>
      <c r="AH12" s="4">
        <v>1</v>
      </c>
      <c r="AI12" s="1">
        <v>1</v>
      </c>
      <c r="AJ12" s="1">
        <v>1</v>
      </c>
      <c r="AK12" s="4">
        <v>1</v>
      </c>
      <c r="AL12" s="1">
        <v>27</v>
      </c>
      <c r="AM12" s="4">
        <v>1</v>
      </c>
      <c r="AN12" s="1">
        <v>1</v>
      </c>
      <c r="AO12" s="1">
        <v>4</v>
      </c>
      <c r="AP12" s="1">
        <v>1</v>
      </c>
      <c r="AQ12" s="4">
        <v>0</v>
      </c>
      <c r="AR12" s="1">
        <v>1</v>
      </c>
    </row>
    <row r="13" spans="1:44" x14ac:dyDescent="0.3">
      <c r="A13" s="10" t="s">
        <v>625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4">
        <v>1</v>
      </c>
      <c r="L13" s="1">
        <v>1</v>
      </c>
      <c r="M13" s="4">
        <v>1</v>
      </c>
      <c r="N13" s="1">
        <v>1</v>
      </c>
      <c r="O13" s="1">
        <v>1</v>
      </c>
      <c r="P13" s="1">
        <v>1</v>
      </c>
      <c r="Q13" s="1">
        <v>1</v>
      </c>
      <c r="R13" s="1">
        <v>2</v>
      </c>
      <c r="S13" s="4">
        <v>1</v>
      </c>
      <c r="T13" s="1">
        <v>1</v>
      </c>
      <c r="U13" s="1">
        <v>1</v>
      </c>
      <c r="V13" s="1">
        <v>1</v>
      </c>
      <c r="W13" s="4">
        <v>1</v>
      </c>
      <c r="X13" s="4">
        <v>1</v>
      </c>
      <c r="Y13" s="1">
        <v>1</v>
      </c>
      <c r="Z13" s="1">
        <v>1</v>
      </c>
      <c r="AA13" s="1">
        <v>1</v>
      </c>
      <c r="AB13" s="1">
        <v>1</v>
      </c>
      <c r="AC13" s="1">
        <v>4</v>
      </c>
      <c r="AD13" s="1">
        <v>1</v>
      </c>
      <c r="AE13" s="1">
        <v>1</v>
      </c>
      <c r="AF13" s="1">
        <v>1</v>
      </c>
      <c r="AG13" s="1">
        <v>17</v>
      </c>
      <c r="AH13" s="4">
        <v>2</v>
      </c>
      <c r="AI13" s="1">
        <v>1</v>
      </c>
      <c r="AJ13" s="1">
        <v>1</v>
      </c>
      <c r="AK13" s="4">
        <v>1</v>
      </c>
      <c r="AL13" s="1">
        <v>14</v>
      </c>
      <c r="AM13" s="4">
        <v>1</v>
      </c>
      <c r="AN13" s="1">
        <v>1</v>
      </c>
      <c r="AO13" s="1">
        <v>8</v>
      </c>
      <c r="AP13" s="1">
        <v>2</v>
      </c>
      <c r="AQ13" s="4">
        <v>2</v>
      </c>
      <c r="AR13" s="1">
        <v>1</v>
      </c>
    </row>
    <row r="14" spans="1:44" x14ac:dyDescent="0.3">
      <c r="A14" s="10" t="s">
        <v>626</v>
      </c>
      <c r="B14" s="1">
        <v>1</v>
      </c>
      <c r="C14" s="1">
        <v>2</v>
      </c>
      <c r="D14" s="1">
        <v>1</v>
      </c>
      <c r="E14" s="1">
        <v>1</v>
      </c>
      <c r="F14" s="1">
        <v>1</v>
      </c>
      <c r="G14" s="1">
        <v>2</v>
      </c>
      <c r="H14" s="1">
        <v>1</v>
      </c>
      <c r="I14" s="1">
        <v>1</v>
      </c>
      <c r="J14" s="1">
        <v>1</v>
      </c>
      <c r="K14" s="4">
        <v>1</v>
      </c>
      <c r="L14" s="1">
        <v>1</v>
      </c>
      <c r="M14" s="4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4">
        <v>1</v>
      </c>
      <c r="T14" s="1">
        <v>1</v>
      </c>
      <c r="U14" s="1">
        <v>2</v>
      </c>
      <c r="V14" s="1">
        <v>1</v>
      </c>
      <c r="W14" s="4">
        <v>1</v>
      </c>
      <c r="X14" s="4">
        <v>1</v>
      </c>
      <c r="Y14" s="1">
        <v>1</v>
      </c>
      <c r="Z14" s="1">
        <v>1</v>
      </c>
      <c r="AA14" s="1">
        <v>1</v>
      </c>
      <c r="AB14" s="1">
        <v>1</v>
      </c>
      <c r="AC14" s="1">
        <v>5</v>
      </c>
      <c r="AD14" s="1">
        <v>1</v>
      </c>
      <c r="AE14" s="1">
        <v>1</v>
      </c>
      <c r="AF14" s="1">
        <v>1</v>
      </c>
      <c r="AG14" s="1">
        <v>18</v>
      </c>
      <c r="AH14" s="4">
        <v>1</v>
      </c>
      <c r="AI14" s="1">
        <v>1</v>
      </c>
      <c r="AJ14" s="1">
        <v>1</v>
      </c>
      <c r="AK14" s="4">
        <v>1</v>
      </c>
      <c r="AL14" s="1">
        <v>7</v>
      </c>
      <c r="AM14" s="4">
        <v>1</v>
      </c>
      <c r="AN14" s="1">
        <v>1</v>
      </c>
      <c r="AO14" s="1">
        <v>7</v>
      </c>
      <c r="AP14" s="1">
        <v>1</v>
      </c>
      <c r="AQ14" s="4">
        <v>4</v>
      </c>
      <c r="AR14" s="1">
        <v>1</v>
      </c>
    </row>
    <row r="15" spans="1:44" x14ac:dyDescent="0.3">
      <c r="A15" s="10" t="s">
        <v>627</v>
      </c>
      <c r="B15" s="1">
        <v>1</v>
      </c>
      <c r="C15" s="1">
        <v>2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4">
        <v>1</v>
      </c>
      <c r="L15" s="1">
        <v>1</v>
      </c>
      <c r="M15" s="4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4">
        <v>1</v>
      </c>
      <c r="T15" s="1">
        <v>1</v>
      </c>
      <c r="U15" s="1">
        <v>1</v>
      </c>
      <c r="V15" s="1">
        <v>1</v>
      </c>
      <c r="W15" s="4">
        <v>1</v>
      </c>
      <c r="X15" s="4">
        <v>1</v>
      </c>
      <c r="Y15" s="1">
        <v>1</v>
      </c>
      <c r="Z15" s="1">
        <v>1</v>
      </c>
      <c r="AA15" s="1">
        <v>1</v>
      </c>
      <c r="AB15" s="1">
        <v>1</v>
      </c>
      <c r="AC15" s="1">
        <v>5</v>
      </c>
      <c r="AD15" s="1">
        <v>2</v>
      </c>
      <c r="AE15" s="1">
        <v>1</v>
      </c>
      <c r="AF15" s="1">
        <v>1</v>
      </c>
      <c r="AG15" s="1">
        <v>21</v>
      </c>
      <c r="AH15" s="4">
        <v>1</v>
      </c>
      <c r="AI15" s="1">
        <v>1</v>
      </c>
      <c r="AJ15" s="1">
        <v>1</v>
      </c>
      <c r="AK15" s="4">
        <v>1</v>
      </c>
      <c r="AL15" s="1">
        <v>42</v>
      </c>
      <c r="AM15" s="4">
        <v>1</v>
      </c>
      <c r="AN15" s="1">
        <v>1</v>
      </c>
      <c r="AO15" s="1">
        <v>7</v>
      </c>
      <c r="AP15" s="1">
        <v>1</v>
      </c>
      <c r="AQ15" s="4">
        <v>2</v>
      </c>
      <c r="AR15" s="1">
        <v>1</v>
      </c>
    </row>
    <row r="16" spans="1:44" x14ac:dyDescent="0.3">
      <c r="A16" s="10" t="s">
        <v>628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4">
        <v>1</v>
      </c>
      <c r="L16" s="1">
        <v>1</v>
      </c>
      <c r="M16" s="4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4">
        <v>1</v>
      </c>
      <c r="T16" s="1">
        <v>1</v>
      </c>
      <c r="U16" s="1">
        <v>1</v>
      </c>
      <c r="V16" s="1">
        <v>1</v>
      </c>
      <c r="W16" s="4">
        <v>0</v>
      </c>
      <c r="X16" s="4">
        <v>0</v>
      </c>
      <c r="Y16" s="1">
        <v>1</v>
      </c>
      <c r="Z16" s="1">
        <v>1</v>
      </c>
      <c r="AA16" s="1">
        <v>1</v>
      </c>
      <c r="AB16" s="1">
        <v>1</v>
      </c>
      <c r="AC16" s="1">
        <v>4</v>
      </c>
      <c r="AD16" s="1">
        <v>1</v>
      </c>
      <c r="AE16" s="1">
        <v>1</v>
      </c>
      <c r="AF16" s="1">
        <v>1</v>
      </c>
      <c r="AG16" s="1">
        <v>10</v>
      </c>
      <c r="AH16" s="4">
        <v>1</v>
      </c>
      <c r="AI16" s="1">
        <v>1</v>
      </c>
      <c r="AJ16" s="1">
        <v>1</v>
      </c>
      <c r="AK16" s="4">
        <v>1</v>
      </c>
      <c r="AL16" s="1">
        <v>5</v>
      </c>
      <c r="AM16" s="4">
        <v>1</v>
      </c>
      <c r="AN16" s="1">
        <v>1</v>
      </c>
      <c r="AO16" s="1">
        <v>5</v>
      </c>
      <c r="AP16" s="1">
        <v>1</v>
      </c>
      <c r="AQ16" s="4">
        <v>1</v>
      </c>
      <c r="AR16" s="1">
        <v>1</v>
      </c>
    </row>
    <row r="17" spans="1:44" x14ac:dyDescent="0.3">
      <c r="A17" s="10" t="s">
        <v>629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4">
        <v>1</v>
      </c>
      <c r="L17" s="1">
        <v>1</v>
      </c>
      <c r="M17" s="4">
        <v>1</v>
      </c>
      <c r="N17" s="1">
        <v>1</v>
      </c>
      <c r="O17" s="1">
        <v>1</v>
      </c>
      <c r="P17" s="1">
        <v>1</v>
      </c>
      <c r="Q17" s="1">
        <v>1</v>
      </c>
      <c r="R17" s="1">
        <v>2</v>
      </c>
      <c r="S17" s="4">
        <v>1</v>
      </c>
      <c r="T17" s="1">
        <v>1</v>
      </c>
      <c r="U17" s="1">
        <v>1</v>
      </c>
      <c r="V17" s="1">
        <v>1</v>
      </c>
      <c r="W17" s="4">
        <v>1</v>
      </c>
      <c r="X17" s="4">
        <v>1</v>
      </c>
      <c r="Y17" s="1">
        <v>1</v>
      </c>
      <c r="Z17" s="1">
        <v>1</v>
      </c>
      <c r="AA17" s="1">
        <v>1</v>
      </c>
      <c r="AB17" s="1">
        <v>1</v>
      </c>
      <c r="AC17" s="1">
        <v>3</v>
      </c>
      <c r="AD17" s="1">
        <v>1</v>
      </c>
      <c r="AE17" s="1">
        <v>1</v>
      </c>
      <c r="AF17" s="1">
        <v>1</v>
      </c>
      <c r="AG17" s="1">
        <v>16</v>
      </c>
      <c r="AH17" s="4">
        <v>1</v>
      </c>
      <c r="AI17" s="1">
        <v>1</v>
      </c>
      <c r="AJ17" s="1">
        <v>1</v>
      </c>
      <c r="AK17" s="4">
        <v>1</v>
      </c>
      <c r="AL17" s="1">
        <v>15</v>
      </c>
      <c r="AM17" s="4">
        <v>1</v>
      </c>
      <c r="AN17" s="1">
        <v>1</v>
      </c>
      <c r="AO17" s="1">
        <v>5</v>
      </c>
      <c r="AP17" s="1">
        <v>1</v>
      </c>
      <c r="AQ17" s="4">
        <v>2</v>
      </c>
      <c r="AR17" s="1">
        <v>1</v>
      </c>
    </row>
    <row r="18" spans="1:44" x14ac:dyDescent="0.3">
      <c r="A18" s="10" t="s">
        <v>630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4">
        <v>1</v>
      </c>
      <c r="L18" s="1">
        <v>1</v>
      </c>
      <c r="M18" s="4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4">
        <v>2</v>
      </c>
      <c r="T18" s="1">
        <v>1</v>
      </c>
      <c r="U18" s="1">
        <v>1</v>
      </c>
      <c r="V18" s="1">
        <v>1</v>
      </c>
      <c r="W18" s="4">
        <v>1</v>
      </c>
      <c r="X18" s="4">
        <v>1</v>
      </c>
      <c r="Y18" s="1">
        <v>1</v>
      </c>
      <c r="Z18" s="1">
        <v>1</v>
      </c>
      <c r="AA18" s="1">
        <v>1</v>
      </c>
      <c r="AB18" s="1">
        <v>1</v>
      </c>
      <c r="AC18" s="1">
        <v>2</v>
      </c>
      <c r="AD18" s="1">
        <v>2</v>
      </c>
      <c r="AE18" s="1">
        <v>1</v>
      </c>
      <c r="AF18" s="1">
        <v>2</v>
      </c>
      <c r="AG18" s="1">
        <v>16</v>
      </c>
      <c r="AH18" s="4">
        <v>1</v>
      </c>
      <c r="AI18" s="1">
        <v>1</v>
      </c>
      <c r="AJ18" s="1">
        <v>1</v>
      </c>
      <c r="AK18" s="4">
        <v>1</v>
      </c>
      <c r="AL18" s="1">
        <v>6</v>
      </c>
      <c r="AM18" s="4">
        <v>1</v>
      </c>
      <c r="AN18" s="1">
        <v>1</v>
      </c>
      <c r="AO18" s="1">
        <v>5</v>
      </c>
      <c r="AP18" s="1">
        <v>1</v>
      </c>
      <c r="AQ18" s="4">
        <v>5</v>
      </c>
      <c r="AR18" s="1">
        <v>1</v>
      </c>
    </row>
    <row r="19" spans="1:44" x14ac:dyDescent="0.3">
      <c r="A19" s="10" t="s">
        <v>631</v>
      </c>
      <c r="B19" s="1">
        <v>2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4">
        <v>1</v>
      </c>
      <c r="L19" s="1">
        <v>1</v>
      </c>
      <c r="M19" s="4">
        <v>1</v>
      </c>
      <c r="N19" s="1">
        <v>1</v>
      </c>
      <c r="O19" s="1">
        <v>1</v>
      </c>
      <c r="P19" s="1">
        <v>1</v>
      </c>
      <c r="Q19" s="1">
        <v>1</v>
      </c>
      <c r="R19" s="1">
        <v>2</v>
      </c>
      <c r="S19" s="4">
        <v>1</v>
      </c>
      <c r="T19" s="1">
        <v>1</v>
      </c>
      <c r="U19" s="1">
        <v>2</v>
      </c>
      <c r="V19" s="1">
        <v>1</v>
      </c>
      <c r="W19" s="4">
        <v>0</v>
      </c>
      <c r="X19" s="4">
        <v>1</v>
      </c>
      <c r="Y19" s="1">
        <v>1</v>
      </c>
      <c r="Z19" s="1">
        <v>1</v>
      </c>
      <c r="AA19" s="1">
        <v>1</v>
      </c>
      <c r="AB19" s="1">
        <v>1</v>
      </c>
      <c r="AC19" s="1">
        <v>3</v>
      </c>
      <c r="AD19" s="1">
        <v>1</v>
      </c>
      <c r="AE19" s="1">
        <v>1</v>
      </c>
      <c r="AF19" s="1">
        <v>1</v>
      </c>
      <c r="AG19" s="1">
        <v>16</v>
      </c>
      <c r="AH19" s="4">
        <v>2</v>
      </c>
      <c r="AI19" s="1">
        <v>1</v>
      </c>
      <c r="AJ19" s="1">
        <v>1</v>
      </c>
      <c r="AK19" s="4">
        <v>1</v>
      </c>
      <c r="AL19" s="1">
        <v>30</v>
      </c>
      <c r="AM19" s="4">
        <v>1</v>
      </c>
      <c r="AN19" s="1">
        <v>1</v>
      </c>
      <c r="AO19" s="1">
        <v>7</v>
      </c>
      <c r="AP19" s="1">
        <v>1</v>
      </c>
      <c r="AQ19" s="4">
        <v>2</v>
      </c>
      <c r="AR19" s="1">
        <v>1</v>
      </c>
    </row>
    <row r="20" spans="1:44" x14ac:dyDescent="0.3">
      <c r="A20" s="10" t="s">
        <v>632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4">
        <v>1</v>
      </c>
      <c r="L20" s="1">
        <v>1</v>
      </c>
      <c r="M20" s="4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4">
        <v>1</v>
      </c>
      <c r="T20" s="1">
        <v>1</v>
      </c>
      <c r="U20" s="1">
        <v>2</v>
      </c>
      <c r="V20" s="1">
        <v>1</v>
      </c>
      <c r="W20" s="4">
        <v>1</v>
      </c>
      <c r="X20" s="4">
        <v>1</v>
      </c>
      <c r="Y20" s="1">
        <v>1</v>
      </c>
      <c r="Z20" s="1">
        <v>1</v>
      </c>
      <c r="AA20" s="1">
        <v>1</v>
      </c>
      <c r="AB20" s="1">
        <v>1</v>
      </c>
      <c r="AC20" s="1">
        <v>4</v>
      </c>
      <c r="AD20" s="1">
        <v>1</v>
      </c>
      <c r="AE20" s="1">
        <v>1</v>
      </c>
      <c r="AF20" s="1">
        <v>1</v>
      </c>
      <c r="AG20" s="1">
        <v>13</v>
      </c>
      <c r="AH20" s="4">
        <v>1</v>
      </c>
      <c r="AI20" s="1">
        <v>1</v>
      </c>
      <c r="AJ20" s="1">
        <v>1</v>
      </c>
      <c r="AK20" s="4">
        <v>1</v>
      </c>
      <c r="AL20" s="1">
        <v>12</v>
      </c>
      <c r="AM20" s="4">
        <v>1</v>
      </c>
      <c r="AN20" s="1">
        <v>1</v>
      </c>
      <c r="AO20" s="1">
        <v>7</v>
      </c>
      <c r="AP20" s="1">
        <v>2</v>
      </c>
      <c r="AQ20" s="4">
        <v>2</v>
      </c>
      <c r="AR20" s="1">
        <v>1</v>
      </c>
    </row>
    <row r="21" spans="1:44" x14ac:dyDescent="0.3">
      <c r="A21" s="10" t="s">
        <v>633</v>
      </c>
      <c r="B21" s="1">
        <v>2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4">
        <v>1</v>
      </c>
      <c r="L21" s="1">
        <v>1</v>
      </c>
      <c r="M21" s="4">
        <v>1</v>
      </c>
      <c r="N21" s="1">
        <v>1</v>
      </c>
      <c r="O21" s="1">
        <v>1</v>
      </c>
      <c r="P21" s="1">
        <v>2</v>
      </c>
      <c r="Q21" s="1">
        <v>1</v>
      </c>
      <c r="R21" s="1">
        <v>2</v>
      </c>
      <c r="S21" s="4">
        <v>1</v>
      </c>
      <c r="T21" s="1">
        <v>1</v>
      </c>
      <c r="U21" s="1">
        <v>2</v>
      </c>
      <c r="V21" s="1">
        <v>1</v>
      </c>
      <c r="W21" s="4">
        <v>0</v>
      </c>
      <c r="X21" s="4">
        <v>1</v>
      </c>
      <c r="Y21" s="1">
        <v>1</v>
      </c>
      <c r="Z21" s="1">
        <v>1</v>
      </c>
      <c r="AA21" s="1">
        <v>1</v>
      </c>
      <c r="AB21" s="1">
        <v>1</v>
      </c>
      <c r="AC21" s="1">
        <v>3</v>
      </c>
      <c r="AD21" s="1">
        <v>1</v>
      </c>
      <c r="AE21" s="1">
        <v>1</v>
      </c>
      <c r="AF21" s="1">
        <v>1</v>
      </c>
      <c r="AG21" s="1">
        <v>18</v>
      </c>
      <c r="AH21" s="4">
        <v>3</v>
      </c>
      <c r="AI21" s="1">
        <v>1</v>
      </c>
      <c r="AJ21" s="1">
        <v>1</v>
      </c>
      <c r="AK21" s="4">
        <v>1</v>
      </c>
      <c r="AL21" s="1">
        <v>12</v>
      </c>
      <c r="AM21" s="4">
        <v>1</v>
      </c>
      <c r="AN21" s="1">
        <v>1</v>
      </c>
      <c r="AO21" s="1">
        <v>7</v>
      </c>
      <c r="AP21" s="1">
        <v>1</v>
      </c>
      <c r="AQ21" s="4">
        <v>5</v>
      </c>
      <c r="AR21" s="1">
        <v>1</v>
      </c>
    </row>
    <row r="22" spans="1:44" x14ac:dyDescent="0.3">
      <c r="A22" s="10" t="s">
        <v>634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4">
        <v>1</v>
      </c>
      <c r="L22" s="1">
        <v>1</v>
      </c>
      <c r="M22" s="4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4">
        <v>1</v>
      </c>
      <c r="T22" s="1">
        <v>1</v>
      </c>
      <c r="U22" s="1">
        <v>2</v>
      </c>
      <c r="V22" s="1">
        <v>1</v>
      </c>
      <c r="W22" s="4">
        <v>1</v>
      </c>
      <c r="X22" s="4">
        <v>0</v>
      </c>
      <c r="Y22" s="1">
        <v>1</v>
      </c>
      <c r="Z22" s="1">
        <v>1</v>
      </c>
      <c r="AA22" s="1">
        <v>1</v>
      </c>
      <c r="AB22" s="1">
        <v>1</v>
      </c>
      <c r="AC22" s="1">
        <v>3</v>
      </c>
      <c r="AD22" s="1">
        <v>1</v>
      </c>
      <c r="AE22" s="1">
        <v>1</v>
      </c>
      <c r="AF22" s="1">
        <v>1</v>
      </c>
      <c r="AG22" s="1">
        <v>15</v>
      </c>
      <c r="AH22" s="4">
        <v>1</v>
      </c>
      <c r="AI22" s="1">
        <v>1</v>
      </c>
      <c r="AJ22" s="1">
        <v>1</v>
      </c>
      <c r="AK22" s="4">
        <v>1</v>
      </c>
      <c r="AL22" s="1">
        <v>9</v>
      </c>
      <c r="AM22" s="4">
        <v>1</v>
      </c>
      <c r="AN22" s="1">
        <v>1</v>
      </c>
      <c r="AO22" s="1">
        <v>5</v>
      </c>
      <c r="AP22" s="1">
        <v>1</v>
      </c>
      <c r="AQ22" s="4">
        <v>2</v>
      </c>
      <c r="AR22" s="1">
        <v>1</v>
      </c>
    </row>
    <row r="23" spans="1:44" x14ac:dyDescent="0.3">
      <c r="A23" s="10" t="s">
        <v>635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4">
        <v>1</v>
      </c>
      <c r="L23" s="1">
        <v>1</v>
      </c>
      <c r="M23" s="4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4">
        <v>1</v>
      </c>
      <c r="T23" s="1">
        <v>1</v>
      </c>
      <c r="U23" s="1">
        <v>1</v>
      </c>
      <c r="V23" s="1">
        <v>1</v>
      </c>
      <c r="W23" s="4">
        <v>1</v>
      </c>
      <c r="X23" s="4">
        <v>1</v>
      </c>
      <c r="Y23" s="1">
        <v>1</v>
      </c>
      <c r="Z23" s="1">
        <v>1</v>
      </c>
      <c r="AA23" s="1">
        <v>1</v>
      </c>
      <c r="AB23" s="1">
        <v>0</v>
      </c>
      <c r="AC23" s="1">
        <v>4</v>
      </c>
      <c r="AD23" s="1">
        <v>1</v>
      </c>
      <c r="AE23" s="1">
        <v>1</v>
      </c>
      <c r="AF23" s="1">
        <v>1</v>
      </c>
      <c r="AG23" s="1">
        <v>9</v>
      </c>
      <c r="AH23" s="4">
        <v>2</v>
      </c>
      <c r="AI23" s="1">
        <v>1</v>
      </c>
      <c r="AJ23" s="1">
        <v>1</v>
      </c>
      <c r="AK23" s="4">
        <v>1</v>
      </c>
      <c r="AL23" s="1">
        <v>3</v>
      </c>
      <c r="AM23" s="4">
        <v>1</v>
      </c>
      <c r="AN23" s="1">
        <v>1</v>
      </c>
      <c r="AO23" s="1">
        <v>10</v>
      </c>
      <c r="AP23" s="1">
        <v>1</v>
      </c>
      <c r="AQ23" s="4">
        <v>0</v>
      </c>
      <c r="AR23" s="1">
        <v>0</v>
      </c>
    </row>
    <row r="24" spans="1:44" x14ac:dyDescent="0.3">
      <c r="A24" s="10" t="s">
        <v>636</v>
      </c>
      <c r="B24" s="1">
        <v>2</v>
      </c>
      <c r="C24" s="1">
        <v>2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4">
        <v>1</v>
      </c>
      <c r="L24" s="1">
        <v>1</v>
      </c>
      <c r="M24" s="4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4">
        <v>1</v>
      </c>
      <c r="T24" s="1">
        <v>1</v>
      </c>
      <c r="U24" s="1">
        <v>2</v>
      </c>
      <c r="V24" s="1">
        <v>1</v>
      </c>
      <c r="W24" s="4">
        <v>0</v>
      </c>
      <c r="X24" s="4">
        <v>2</v>
      </c>
      <c r="Y24" s="1">
        <v>1</v>
      </c>
      <c r="Z24" s="1">
        <v>1</v>
      </c>
      <c r="AA24" s="1">
        <v>1</v>
      </c>
      <c r="AB24" s="1">
        <v>1</v>
      </c>
      <c r="AC24" s="1">
        <v>5</v>
      </c>
      <c r="AD24" s="1">
        <v>1</v>
      </c>
      <c r="AE24" s="1">
        <v>1</v>
      </c>
      <c r="AF24" s="1">
        <v>1</v>
      </c>
      <c r="AG24" s="1">
        <v>16</v>
      </c>
      <c r="AH24" s="4">
        <v>1</v>
      </c>
      <c r="AI24" s="1">
        <v>1</v>
      </c>
      <c r="AJ24" s="1">
        <v>1</v>
      </c>
      <c r="AK24" s="4">
        <v>1</v>
      </c>
      <c r="AL24" s="1">
        <v>6</v>
      </c>
      <c r="AM24" s="4">
        <v>1</v>
      </c>
      <c r="AN24" s="1">
        <v>1</v>
      </c>
      <c r="AO24" s="1">
        <v>7</v>
      </c>
      <c r="AP24" s="1">
        <v>1</v>
      </c>
      <c r="AQ24" s="4">
        <v>1</v>
      </c>
      <c r="AR24" s="1">
        <v>1</v>
      </c>
    </row>
    <row r="25" spans="1:44" x14ac:dyDescent="0.3">
      <c r="A25" s="10" t="s">
        <v>637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4">
        <v>1</v>
      </c>
      <c r="L25" s="1">
        <v>1</v>
      </c>
      <c r="M25" s="4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4">
        <v>1</v>
      </c>
      <c r="T25" s="1">
        <v>1</v>
      </c>
      <c r="U25" s="1">
        <v>2</v>
      </c>
      <c r="V25" s="1">
        <v>1</v>
      </c>
      <c r="W25" s="4">
        <v>1</v>
      </c>
      <c r="X25" s="4">
        <v>1</v>
      </c>
      <c r="Y25" s="1">
        <v>1</v>
      </c>
      <c r="Z25" s="1">
        <v>1</v>
      </c>
      <c r="AA25" s="1">
        <v>0</v>
      </c>
      <c r="AB25" s="1">
        <v>1</v>
      </c>
      <c r="AC25" s="1">
        <v>3</v>
      </c>
      <c r="AD25" s="1">
        <v>1</v>
      </c>
      <c r="AE25" s="1">
        <v>1</v>
      </c>
      <c r="AF25" s="1">
        <v>2</v>
      </c>
      <c r="AG25" s="1">
        <v>13</v>
      </c>
      <c r="AH25" s="4">
        <v>2</v>
      </c>
      <c r="AI25" s="1">
        <v>1</v>
      </c>
      <c r="AJ25" s="1">
        <v>1</v>
      </c>
      <c r="AK25" s="4">
        <v>1</v>
      </c>
      <c r="AL25" s="1">
        <v>15</v>
      </c>
      <c r="AM25" s="4">
        <v>1</v>
      </c>
      <c r="AN25" s="1">
        <v>1</v>
      </c>
      <c r="AO25" s="1">
        <v>9</v>
      </c>
      <c r="AP25" s="1">
        <v>1</v>
      </c>
      <c r="AQ25" s="4">
        <v>3</v>
      </c>
      <c r="AR25" s="1">
        <v>1</v>
      </c>
    </row>
    <row r="26" spans="1:44" x14ac:dyDescent="0.3">
      <c r="A26" s="10" t="s">
        <v>638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4">
        <v>1</v>
      </c>
      <c r="L26" s="1">
        <v>1</v>
      </c>
      <c r="M26" s="4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4">
        <v>1</v>
      </c>
      <c r="T26" s="1">
        <v>1</v>
      </c>
      <c r="U26" s="1">
        <v>1</v>
      </c>
      <c r="V26" s="1">
        <v>1</v>
      </c>
      <c r="W26" s="4">
        <v>1</v>
      </c>
      <c r="X26" s="4">
        <v>1</v>
      </c>
      <c r="Y26" s="1">
        <v>1</v>
      </c>
      <c r="Z26" s="1">
        <v>1</v>
      </c>
      <c r="AA26" s="1">
        <v>1</v>
      </c>
      <c r="AB26" s="1">
        <v>1</v>
      </c>
      <c r="AC26" s="1">
        <v>3</v>
      </c>
      <c r="AD26" s="1">
        <v>1</v>
      </c>
      <c r="AE26" s="1">
        <v>1</v>
      </c>
      <c r="AF26" s="1">
        <v>1</v>
      </c>
      <c r="AG26" s="1">
        <v>18</v>
      </c>
      <c r="AH26" s="4">
        <v>1</v>
      </c>
      <c r="AI26" s="1">
        <v>1</v>
      </c>
      <c r="AJ26" s="1">
        <v>1</v>
      </c>
      <c r="AK26" s="4">
        <v>1</v>
      </c>
      <c r="AL26" s="1">
        <v>8</v>
      </c>
      <c r="AM26" s="4">
        <v>1</v>
      </c>
      <c r="AN26" s="1">
        <v>1</v>
      </c>
      <c r="AO26" s="1">
        <v>4</v>
      </c>
      <c r="AP26" s="1">
        <v>2</v>
      </c>
      <c r="AQ26" s="4">
        <v>2</v>
      </c>
      <c r="AR26" s="1">
        <v>1</v>
      </c>
    </row>
    <row r="27" spans="1:44" x14ac:dyDescent="0.3">
      <c r="A27" s="10" t="s">
        <v>639</v>
      </c>
      <c r="B27" s="1">
        <v>2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4">
        <v>1</v>
      </c>
      <c r="L27" s="1">
        <v>1</v>
      </c>
      <c r="M27" s="4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4">
        <v>1</v>
      </c>
      <c r="T27" s="1">
        <v>2</v>
      </c>
      <c r="U27" s="1">
        <v>2</v>
      </c>
      <c r="V27" s="1">
        <v>1</v>
      </c>
      <c r="W27" s="4">
        <v>0</v>
      </c>
      <c r="X27" s="4">
        <v>1</v>
      </c>
      <c r="Y27" s="1">
        <v>1</v>
      </c>
      <c r="Z27" s="1">
        <v>1</v>
      </c>
      <c r="AA27" s="1">
        <v>1</v>
      </c>
      <c r="AB27" s="1">
        <v>1</v>
      </c>
      <c r="AC27" s="1">
        <v>2</v>
      </c>
      <c r="AD27" s="1">
        <v>1</v>
      </c>
      <c r="AE27" s="1">
        <v>1</v>
      </c>
      <c r="AF27" s="1">
        <v>1</v>
      </c>
      <c r="AG27" s="1">
        <v>15</v>
      </c>
      <c r="AH27" s="4">
        <v>1</v>
      </c>
      <c r="AI27" s="1">
        <v>1</v>
      </c>
      <c r="AJ27" s="1">
        <v>1</v>
      </c>
      <c r="AK27" s="4">
        <v>1</v>
      </c>
      <c r="AL27" s="1">
        <v>12</v>
      </c>
      <c r="AM27" s="4">
        <v>1</v>
      </c>
      <c r="AN27" s="1">
        <v>2</v>
      </c>
      <c r="AO27" s="1">
        <v>3</v>
      </c>
      <c r="AP27" s="1">
        <v>1</v>
      </c>
      <c r="AQ27" s="4">
        <v>2</v>
      </c>
      <c r="AR27" s="1">
        <v>1</v>
      </c>
    </row>
    <row r="28" spans="1:44" x14ac:dyDescent="0.3">
      <c r="A28" s="10" t="s">
        <v>640</v>
      </c>
      <c r="B28" s="1">
        <v>1</v>
      </c>
      <c r="C28" s="1">
        <v>2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4">
        <v>1</v>
      </c>
      <c r="L28" s="1">
        <v>1</v>
      </c>
      <c r="M28" s="4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4">
        <v>1</v>
      </c>
      <c r="T28" s="1">
        <v>1</v>
      </c>
      <c r="U28" s="1">
        <v>2</v>
      </c>
      <c r="V28" s="1">
        <v>1</v>
      </c>
      <c r="W28" s="4">
        <v>1</v>
      </c>
      <c r="X28" s="4">
        <v>1</v>
      </c>
      <c r="Y28" s="1">
        <v>1</v>
      </c>
      <c r="Z28" s="1">
        <v>1</v>
      </c>
      <c r="AA28" s="1">
        <v>1</v>
      </c>
      <c r="AB28" s="1">
        <v>1</v>
      </c>
      <c r="AC28" s="1">
        <v>2</v>
      </c>
      <c r="AD28" s="1">
        <v>1</v>
      </c>
      <c r="AE28" s="1">
        <v>1</v>
      </c>
      <c r="AF28" s="1">
        <v>1</v>
      </c>
      <c r="AG28" s="1">
        <v>15</v>
      </c>
      <c r="AH28" s="4">
        <v>1</v>
      </c>
      <c r="AI28" s="1">
        <v>1</v>
      </c>
      <c r="AJ28" s="1">
        <v>1</v>
      </c>
      <c r="AK28" s="4">
        <v>1</v>
      </c>
      <c r="AL28" s="1">
        <v>14</v>
      </c>
      <c r="AM28" s="4">
        <v>1</v>
      </c>
      <c r="AN28" s="1">
        <v>1</v>
      </c>
      <c r="AO28" s="1">
        <v>4</v>
      </c>
      <c r="AP28" s="1">
        <v>1</v>
      </c>
      <c r="AQ28" s="4">
        <v>2</v>
      </c>
      <c r="AR28" s="1">
        <v>1</v>
      </c>
    </row>
    <row r="29" spans="1:44" x14ac:dyDescent="0.3">
      <c r="A29" s="10" t="s">
        <v>641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4">
        <v>1</v>
      </c>
      <c r="L29" s="1">
        <v>1</v>
      </c>
      <c r="M29" s="4">
        <v>1</v>
      </c>
      <c r="N29" s="1">
        <v>2</v>
      </c>
      <c r="O29" s="1">
        <v>1</v>
      </c>
      <c r="P29" s="1">
        <v>1</v>
      </c>
      <c r="Q29" s="1">
        <v>1</v>
      </c>
      <c r="R29" s="1">
        <v>2</v>
      </c>
      <c r="S29" s="4">
        <v>1</v>
      </c>
      <c r="T29" s="1">
        <v>2</v>
      </c>
      <c r="U29" s="1">
        <v>1</v>
      </c>
      <c r="V29" s="1">
        <v>1</v>
      </c>
      <c r="W29" s="4">
        <v>1</v>
      </c>
      <c r="X29" s="4">
        <v>1</v>
      </c>
      <c r="Y29" s="1">
        <v>0</v>
      </c>
      <c r="Z29" s="1">
        <v>1</v>
      </c>
      <c r="AA29" s="1">
        <v>1</v>
      </c>
      <c r="AB29" s="1">
        <v>1</v>
      </c>
      <c r="AC29" s="1">
        <v>3</v>
      </c>
      <c r="AD29" s="1">
        <v>1</v>
      </c>
      <c r="AE29" s="1">
        <v>1</v>
      </c>
      <c r="AF29" s="1">
        <v>1</v>
      </c>
      <c r="AG29" s="1">
        <v>9</v>
      </c>
      <c r="AH29" s="4">
        <v>1</v>
      </c>
      <c r="AI29" s="1">
        <v>1</v>
      </c>
      <c r="AJ29" s="1">
        <v>1</v>
      </c>
      <c r="AK29" s="4">
        <v>1</v>
      </c>
      <c r="AL29" s="1">
        <v>6</v>
      </c>
      <c r="AM29" s="4">
        <v>1</v>
      </c>
      <c r="AN29" s="1">
        <v>1</v>
      </c>
      <c r="AO29" s="1">
        <v>7</v>
      </c>
      <c r="AP29" s="1">
        <v>1</v>
      </c>
      <c r="AQ29" s="4">
        <v>1</v>
      </c>
      <c r="AR29" s="1">
        <v>1</v>
      </c>
    </row>
    <row r="30" spans="1:44" x14ac:dyDescent="0.3">
      <c r="A30" s="10" t="s">
        <v>642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4">
        <v>1</v>
      </c>
      <c r="L30" s="1">
        <v>1</v>
      </c>
      <c r="M30" s="4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4">
        <v>1</v>
      </c>
      <c r="T30" s="1">
        <v>1</v>
      </c>
      <c r="U30" s="1">
        <v>2</v>
      </c>
      <c r="V30" s="1">
        <v>1</v>
      </c>
      <c r="W30" s="4">
        <v>1</v>
      </c>
      <c r="X30" s="4">
        <v>1</v>
      </c>
      <c r="Y30" s="1">
        <v>1</v>
      </c>
      <c r="Z30" s="1">
        <v>1</v>
      </c>
      <c r="AA30" s="1">
        <v>1</v>
      </c>
      <c r="AB30" s="1">
        <v>0</v>
      </c>
      <c r="AC30" s="1">
        <v>3</v>
      </c>
      <c r="AD30" s="1">
        <v>1</v>
      </c>
      <c r="AE30" s="1">
        <v>1</v>
      </c>
      <c r="AF30" s="1">
        <v>1</v>
      </c>
      <c r="AG30" s="1">
        <v>6</v>
      </c>
      <c r="AH30" s="4">
        <v>2</v>
      </c>
      <c r="AI30" s="1">
        <v>1</v>
      </c>
      <c r="AJ30" s="1">
        <v>1</v>
      </c>
      <c r="AK30" s="4">
        <v>1</v>
      </c>
      <c r="AL30" s="1">
        <v>1</v>
      </c>
      <c r="AM30" s="4">
        <v>1</v>
      </c>
      <c r="AN30" s="1">
        <v>1</v>
      </c>
      <c r="AO30" s="1">
        <v>3</v>
      </c>
      <c r="AP30" s="1">
        <v>1</v>
      </c>
      <c r="AQ30" s="4">
        <v>2</v>
      </c>
      <c r="AR30" s="1">
        <v>0</v>
      </c>
    </row>
    <row r="31" spans="1:44" x14ac:dyDescent="0.3">
      <c r="A31" s="10" t="s">
        <v>643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4">
        <v>1</v>
      </c>
      <c r="L31" s="1">
        <v>1</v>
      </c>
      <c r="M31" s="4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4">
        <v>1</v>
      </c>
      <c r="T31" s="1">
        <v>1</v>
      </c>
      <c r="U31" s="1">
        <v>1</v>
      </c>
      <c r="V31" s="1">
        <v>1</v>
      </c>
      <c r="W31" s="4">
        <v>1</v>
      </c>
      <c r="X31" s="4">
        <v>1</v>
      </c>
      <c r="Y31" s="1">
        <v>1</v>
      </c>
      <c r="Z31" s="1">
        <v>1</v>
      </c>
      <c r="AA31" s="1">
        <v>0</v>
      </c>
      <c r="AB31" s="1">
        <v>1</v>
      </c>
      <c r="AC31" s="1">
        <v>2</v>
      </c>
      <c r="AD31" s="1">
        <v>1</v>
      </c>
      <c r="AE31" s="1">
        <v>1</v>
      </c>
      <c r="AF31" s="1">
        <v>1</v>
      </c>
      <c r="AG31" s="1">
        <v>16</v>
      </c>
      <c r="AH31" s="4">
        <v>1</v>
      </c>
      <c r="AI31" s="1">
        <v>1</v>
      </c>
      <c r="AJ31" s="1">
        <v>1</v>
      </c>
      <c r="AK31" s="4">
        <v>1</v>
      </c>
      <c r="AL31" s="1">
        <v>1</v>
      </c>
      <c r="AM31" s="4">
        <v>1</v>
      </c>
      <c r="AN31" s="1">
        <v>1</v>
      </c>
      <c r="AO31" s="1">
        <v>5</v>
      </c>
      <c r="AP31" s="1">
        <v>1</v>
      </c>
      <c r="AQ31" s="4">
        <v>1</v>
      </c>
      <c r="AR31" s="1">
        <v>1</v>
      </c>
    </row>
    <row r="32" spans="1:44" x14ac:dyDescent="0.3">
      <c r="A32" s="10" t="s">
        <v>644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4">
        <v>1</v>
      </c>
      <c r="L32" s="1">
        <v>1</v>
      </c>
      <c r="M32" s="4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4">
        <v>1</v>
      </c>
      <c r="T32" s="1">
        <v>1</v>
      </c>
      <c r="U32" s="1">
        <v>1</v>
      </c>
      <c r="V32" s="1">
        <v>1</v>
      </c>
      <c r="W32" s="4">
        <v>1</v>
      </c>
      <c r="X32" s="4">
        <v>1</v>
      </c>
      <c r="Y32" s="1">
        <v>1</v>
      </c>
      <c r="Z32" s="1">
        <v>1</v>
      </c>
      <c r="AA32" s="1">
        <v>1</v>
      </c>
      <c r="AB32" s="1">
        <v>1</v>
      </c>
      <c r="AC32" s="1">
        <v>5</v>
      </c>
      <c r="AD32" s="1">
        <v>1</v>
      </c>
      <c r="AE32" s="1">
        <v>1</v>
      </c>
      <c r="AF32" s="1">
        <v>1</v>
      </c>
      <c r="AG32" s="1">
        <v>14</v>
      </c>
      <c r="AH32" s="4">
        <v>1</v>
      </c>
      <c r="AI32" s="1">
        <v>1</v>
      </c>
      <c r="AJ32" s="1">
        <v>1</v>
      </c>
      <c r="AK32" s="4">
        <v>1</v>
      </c>
      <c r="AL32" s="1">
        <v>3</v>
      </c>
      <c r="AM32" s="4">
        <v>1</v>
      </c>
      <c r="AN32" s="1">
        <v>1</v>
      </c>
      <c r="AO32" s="1">
        <v>3</v>
      </c>
      <c r="AP32" s="1">
        <v>1</v>
      </c>
      <c r="AQ32" s="4">
        <v>2</v>
      </c>
      <c r="AR32" s="1">
        <v>1</v>
      </c>
    </row>
    <row r="33" spans="1:44" x14ac:dyDescent="0.3">
      <c r="A33" s="10" t="s">
        <v>645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2</v>
      </c>
      <c r="I33" s="1">
        <v>1</v>
      </c>
      <c r="J33" s="1">
        <v>1</v>
      </c>
      <c r="K33" s="4">
        <v>1</v>
      </c>
      <c r="L33" s="1">
        <v>1</v>
      </c>
      <c r="M33" s="4">
        <v>1</v>
      </c>
      <c r="N33" s="1">
        <v>1</v>
      </c>
      <c r="O33" s="1">
        <v>2</v>
      </c>
      <c r="P33" s="1">
        <v>1</v>
      </c>
      <c r="Q33" s="1">
        <v>1</v>
      </c>
      <c r="R33" s="1">
        <v>1</v>
      </c>
      <c r="S33" s="4">
        <v>1</v>
      </c>
      <c r="T33" s="1">
        <v>1</v>
      </c>
      <c r="U33" s="1">
        <v>2</v>
      </c>
      <c r="V33" s="1">
        <v>0</v>
      </c>
      <c r="W33" s="4">
        <v>2</v>
      </c>
      <c r="X33" s="4">
        <v>2</v>
      </c>
      <c r="Y33" s="1">
        <v>1</v>
      </c>
      <c r="Z33" s="1">
        <v>1</v>
      </c>
      <c r="AA33" s="1">
        <v>1</v>
      </c>
      <c r="AB33" s="1">
        <v>1</v>
      </c>
      <c r="AC33" s="1">
        <v>4</v>
      </c>
      <c r="AD33" s="1">
        <v>1</v>
      </c>
      <c r="AE33" s="1">
        <v>1</v>
      </c>
      <c r="AF33" s="1">
        <v>1</v>
      </c>
      <c r="AG33" s="1">
        <v>11</v>
      </c>
      <c r="AH33" s="4">
        <v>1</v>
      </c>
      <c r="AI33" s="1">
        <v>1</v>
      </c>
      <c r="AJ33" s="1">
        <v>1</v>
      </c>
      <c r="AK33" s="4">
        <v>1</v>
      </c>
      <c r="AL33" s="1">
        <v>4</v>
      </c>
      <c r="AM33" s="4">
        <v>1</v>
      </c>
      <c r="AN33" s="1">
        <v>1</v>
      </c>
      <c r="AO33" s="1">
        <v>0</v>
      </c>
      <c r="AP33" s="1">
        <v>1</v>
      </c>
      <c r="AQ33" s="4">
        <v>2</v>
      </c>
      <c r="AR33" s="1">
        <v>0</v>
      </c>
    </row>
    <row r="34" spans="1:44" x14ac:dyDescent="0.3">
      <c r="A34" s="10" t="s">
        <v>646</v>
      </c>
      <c r="B34" s="1">
        <v>1</v>
      </c>
      <c r="C34" s="1">
        <v>2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4">
        <v>1</v>
      </c>
      <c r="L34" s="1">
        <v>1</v>
      </c>
      <c r="M34" s="4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4">
        <v>1</v>
      </c>
      <c r="T34" s="1">
        <v>2</v>
      </c>
      <c r="U34" s="1">
        <v>2</v>
      </c>
      <c r="V34" s="1">
        <v>1</v>
      </c>
      <c r="W34" s="4">
        <v>1</v>
      </c>
      <c r="X34" s="4">
        <v>1</v>
      </c>
      <c r="Y34" s="1">
        <v>1</v>
      </c>
      <c r="Z34" s="1">
        <v>1</v>
      </c>
      <c r="AA34" s="1">
        <v>0</v>
      </c>
      <c r="AB34" s="1">
        <v>1</v>
      </c>
      <c r="AC34" s="1">
        <v>3</v>
      </c>
      <c r="AD34" s="1">
        <v>1</v>
      </c>
      <c r="AE34" s="1">
        <v>1</v>
      </c>
      <c r="AF34" s="1">
        <v>1</v>
      </c>
      <c r="AG34" s="1">
        <v>8</v>
      </c>
      <c r="AH34" s="4">
        <v>1</v>
      </c>
      <c r="AI34" s="1">
        <v>1</v>
      </c>
      <c r="AJ34" s="1">
        <v>1</v>
      </c>
      <c r="AK34" s="4">
        <v>1</v>
      </c>
      <c r="AL34" s="1">
        <v>6</v>
      </c>
      <c r="AM34" s="4">
        <v>1</v>
      </c>
      <c r="AN34" s="1">
        <v>1</v>
      </c>
      <c r="AO34" s="1">
        <v>7</v>
      </c>
      <c r="AP34" s="1">
        <v>1</v>
      </c>
      <c r="AQ34" s="4">
        <v>1</v>
      </c>
      <c r="AR34" s="1">
        <v>0</v>
      </c>
    </row>
    <row r="35" spans="1:44" x14ac:dyDescent="0.3">
      <c r="A35" s="10" t="s">
        <v>649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4">
        <v>1</v>
      </c>
      <c r="L35" s="1">
        <v>1</v>
      </c>
      <c r="M35" s="4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4">
        <v>1</v>
      </c>
      <c r="T35" s="1">
        <v>1</v>
      </c>
      <c r="U35" s="1">
        <v>2</v>
      </c>
      <c r="V35" s="1">
        <v>1</v>
      </c>
      <c r="W35" s="4">
        <v>1</v>
      </c>
      <c r="X35" s="4">
        <v>1</v>
      </c>
      <c r="Y35" s="1">
        <v>1</v>
      </c>
      <c r="Z35" s="1">
        <v>1</v>
      </c>
      <c r="AA35" s="1">
        <v>1</v>
      </c>
      <c r="AB35" s="1">
        <v>1</v>
      </c>
      <c r="AC35" s="1">
        <v>4</v>
      </c>
      <c r="AD35" s="1">
        <v>1</v>
      </c>
      <c r="AE35" s="1">
        <v>1</v>
      </c>
      <c r="AF35" s="1">
        <v>1</v>
      </c>
      <c r="AG35" s="1">
        <v>17</v>
      </c>
      <c r="AH35" s="4">
        <v>1</v>
      </c>
      <c r="AI35" s="1">
        <v>1</v>
      </c>
      <c r="AJ35" s="1">
        <v>1</v>
      </c>
      <c r="AK35" s="4">
        <v>1</v>
      </c>
      <c r="AL35" s="1">
        <v>13</v>
      </c>
      <c r="AM35" s="4">
        <v>1</v>
      </c>
      <c r="AN35" s="1">
        <v>1</v>
      </c>
      <c r="AO35" s="1">
        <v>5</v>
      </c>
      <c r="AP35" s="1">
        <v>1</v>
      </c>
      <c r="AQ35" s="4">
        <v>2</v>
      </c>
      <c r="AR35" s="1">
        <v>1</v>
      </c>
    </row>
    <row r="36" spans="1:44" x14ac:dyDescent="0.3">
      <c r="A36" s="10" t="s">
        <v>650</v>
      </c>
      <c r="B36" s="1">
        <v>1</v>
      </c>
      <c r="C36" s="1">
        <v>2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4">
        <v>1</v>
      </c>
      <c r="L36" s="1">
        <v>1</v>
      </c>
      <c r="M36" s="4">
        <v>1</v>
      </c>
      <c r="N36" s="1">
        <v>1</v>
      </c>
      <c r="O36" s="1">
        <v>1</v>
      </c>
      <c r="P36" s="1">
        <v>1</v>
      </c>
      <c r="Q36" s="1">
        <v>1</v>
      </c>
      <c r="R36" s="1">
        <v>2</v>
      </c>
      <c r="S36" s="4">
        <v>1</v>
      </c>
      <c r="T36" s="1">
        <v>1</v>
      </c>
      <c r="U36" s="1">
        <v>1</v>
      </c>
      <c r="V36" s="1">
        <v>1</v>
      </c>
      <c r="W36" s="4">
        <v>1</v>
      </c>
      <c r="X36" s="4">
        <v>1</v>
      </c>
      <c r="Y36" s="1">
        <v>1</v>
      </c>
      <c r="Z36" s="1">
        <v>1</v>
      </c>
      <c r="AA36" s="1">
        <v>1</v>
      </c>
      <c r="AB36" s="1">
        <v>1</v>
      </c>
      <c r="AC36" s="1">
        <v>5</v>
      </c>
      <c r="AD36" s="1">
        <v>1</v>
      </c>
      <c r="AE36" s="1">
        <v>1</v>
      </c>
      <c r="AF36" s="1">
        <v>1</v>
      </c>
      <c r="AG36" s="1">
        <v>11</v>
      </c>
      <c r="AH36" s="4">
        <v>1</v>
      </c>
      <c r="AI36" s="1">
        <v>1</v>
      </c>
      <c r="AJ36" s="1">
        <v>1</v>
      </c>
      <c r="AK36" s="4">
        <v>1</v>
      </c>
      <c r="AL36" s="1">
        <v>16</v>
      </c>
      <c r="AM36" s="4">
        <v>1</v>
      </c>
      <c r="AN36" s="1">
        <v>1</v>
      </c>
      <c r="AO36" s="1">
        <v>4</v>
      </c>
      <c r="AP36" s="1">
        <v>1</v>
      </c>
      <c r="AQ36" s="4">
        <v>2</v>
      </c>
      <c r="AR36" s="1">
        <v>1</v>
      </c>
    </row>
    <row r="37" spans="1:44" x14ac:dyDescent="0.3">
      <c r="A37" s="10" t="s">
        <v>647</v>
      </c>
      <c r="B37" s="1">
        <v>1</v>
      </c>
      <c r="C37" s="1">
        <v>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4">
        <v>1</v>
      </c>
      <c r="L37" s="1">
        <v>1</v>
      </c>
      <c r="M37" s="4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4">
        <v>1</v>
      </c>
      <c r="T37" s="1">
        <v>1</v>
      </c>
      <c r="U37" s="1">
        <v>0</v>
      </c>
      <c r="V37" s="1">
        <v>1</v>
      </c>
      <c r="W37" s="4">
        <v>1</v>
      </c>
      <c r="X37" s="4">
        <v>2</v>
      </c>
      <c r="Y37" s="1">
        <v>1</v>
      </c>
      <c r="Z37" s="1">
        <v>1</v>
      </c>
      <c r="AA37" s="1">
        <v>1</v>
      </c>
      <c r="AB37" s="1">
        <v>1</v>
      </c>
      <c r="AC37" s="1">
        <v>2</v>
      </c>
      <c r="AD37" s="1">
        <v>1</v>
      </c>
      <c r="AE37" s="1">
        <v>1</v>
      </c>
      <c r="AF37" s="1">
        <v>1</v>
      </c>
      <c r="AG37" s="1">
        <v>10</v>
      </c>
      <c r="AH37" s="4">
        <v>1</v>
      </c>
      <c r="AI37" s="1">
        <v>1</v>
      </c>
      <c r="AJ37" s="1">
        <v>1</v>
      </c>
      <c r="AK37" s="4">
        <v>1</v>
      </c>
      <c r="AL37" s="1">
        <v>7</v>
      </c>
      <c r="AM37" s="4">
        <v>1</v>
      </c>
      <c r="AN37" s="1">
        <v>1</v>
      </c>
      <c r="AO37" s="1">
        <v>1</v>
      </c>
      <c r="AP37" s="1">
        <v>1</v>
      </c>
      <c r="AQ37" s="4">
        <v>1</v>
      </c>
      <c r="AR37" s="1">
        <v>1</v>
      </c>
    </row>
    <row r="38" spans="1:44" x14ac:dyDescent="0.3">
      <c r="A38" s="10" t="s">
        <v>648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4">
        <v>1</v>
      </c>
      <c r="L38" s="1">
        <v>1</v>
      </c>
      <c r="M38" s="4">
        <v>1</v>
      </c>
      <c r="N38" s="1">
        <v>1</v>
      </c>
      <c r="O38" s="1">
        <v>1</v>
      </c>
      <c r="P38" s="1">
        <v>1</v>
      </c>
      <c r="Q38" s="1">
        <v>1</v>
      </c>
      <c r="R38" s="1">
        <v>0</v>
      </c>
      <c r="S38" s="4">
        <v>1</v>
      </c>
      <c r="T38" s="1">
        <v>0</v>
      </c>
      <c r="U38" s="1">
        <v>2</v>
      </c>
      <c r="V38" s="1">
        <v>1</v>
      </c>
      <c r="W38" s="4">
        <v>1</v>
      </c>
      <c r="X38" s="4">
        <v>2</v>
      </c>
      <c r="Y38" s="1">
        <v>1</v>
      </c>
      <c r="Z38" s="1">
        <v>1</v>
      </c>
      <c r="AA38" s="1">
        <v>0</v>
      </c>
      <c r="AB38" s="1">
        <v>0</v>
      </c>
      <c r="AC38" s="1">
        <v>2</v>
      </c>
      <c r="AD38" s="1">
        <v>1</v>
      </c>
      <c r="AE38" s="1">
        <v>1</v>
      </c>
      <c r="AF38" s="1">
        <v>1</v>
      </c>
      <c r="AG38" s="1">
        <v>6</v>
      </c>
      <c r="AH38" s="4">
        <v>2</v>
      </c>
      <c r="AI38" s="1">
        <v>1</v>
      </c>
      <c r="AJ38" s="1">
        <v>1</v>
      </c>
      <c r="AK38" s="4">
        <v>1</v>
      </c>
      <c r="AL38" s="1">
        <v>7</v>
      </c>
      <c r="AM38" s="4">
        <v>1</v>
      </c>
      <c r="AN38" s="1">
        <v>1</v>
      </c>
      <c r="AO38" s="1">
        <v>4</v>
      </c>
      <c r="AP38" s="1">
        <v>1</v>
      </c>
      <c r="AQ38" s="4">
        <v>1</v>
      </c>
      <c r="AR38" s="1">
        <v>0</v>
      </c>
    </row>
    <row r="39" spans="1:44" x14ac:dyDescent="0.3">
      <c r="A39" s="10" t="s">
        <v>651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4">
        <v>1</v>
      </c>
      <c r="L39" s="1">
        <v>1</v>
      </c>
      <c r="M39" s="4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4">
        <v>2</v>
      </c>
      <c r="T39" s="1">
        <v>1</v>
      </c>
      <c r="U39" s="1">
        <v>1</v>
      </c>
      <c r="V39" s="1">
        <v>1</v>
      </c>
      <c r="W39" s="4">
        <v>1</v>
      </c>
      <c r="X39" s="4">
        <v>1</v>
      </c>
      <c r="Y39" s="1">
        <v>1</v>
      </c>
      <c r="Z39" s="1">
        <v>1</v>
      </c>
      <c r="AA39" s="1">
        <v>1</v>
      </c>
      <c r="AB39" s="1">
        <v>2</v>
      </c>
      <c r="AC39" s="1">
        <v>3</v>
      </c>
      <c r="AD39" s="1">
        <v>1</v>
      </c>
      <c r="AE39" s="1">
        <v>1</v>
      </c>
      <c r="AF39" s="1">
        <v>1</v>
      </c>
      <c r="AG39" s="1">
        <v>12</v>
      </c>
      <c r="AH39" s="4">
        <v>1</v>
      </c>
      <c r="AI39" s="1">
        <v>1</v>
      </c>
      <c r="AJ39" s="1">
        <v>1</v>
      </c>
      <c r="AK39" s="4">
        <v>1</v>
      </c>
      <c r="AL39" s="1">
        <v>7</v>
      </c>
      <c r="AM39" s="4">
        <v>1</v>
      </c>
      <c r="AN39" s="1">
        <v>1</v>
      </c>
      <c r="AO39" s="1">
        <v>8</v>
      </c>
      <c r="AP39" s="1">
        <v>1</v>
      </c>
      <c r="AQ39" s="4">
        <v>1</v>
      </c>
      <c r="AR39" s="1">
        <v>1</v>
      </c>
    </row>
    <row r="40" spans="1:44" x14ac:dyDescent="0.3">
      <c r="A40" s="10" t="s">
        <v>652</v>
      </c>
      <c r="B40" s="1">
        <v>1</v>
      </c>
      <c r="C40" s="1">
        <v>2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4">
        <v>1</v>
      </c>
      <c r="L40" s="1">
        <v>1</v>
      </c>
      <c r="M40" s="4">
        <v>1</v>
      </c>
      <c r="N40" s="1">
        <v>1</v>
      </c>
      <c r="O40" s="1">
        <v>2</v>
      </c>
      <c r="P40" s="1">
        <v>1</v>
      </c>
      <c r="Q40" s="1">
        <v>1</v>
      </c>
      <c r="R40" s="1">
        <v>1</v>
      </c>
      <c r="S40" s="4">
        <v>1</v>
      </c>
      <c r="T40" s="1">
        <v>1</v>
      </c>
      <c r="U40" s="1">
        <v>2</v>
      </c>
      <c r="V40" s="1">
        <v>1</v>
      </c>
      <c r="W40" s="4">
        <v>1</v>
      </c>
      <c r="X40" s="4">
        <v>2</v>
      </c>
      <c r="Y40" s="1">
        <v>1</v>
      </c>
      <c r="Z40" s="1">
        <v>1</v>
      </c>
      <c r="AA40" s="1">
        <v>1</v>
      </c>
      <c r="AB40" s="1">
        <v>1</v>
      </c>
      <c r="AC40" s="1">
        <v>2</v>
      </c>
      <c r="AD40" s="1">
        <v>1</v>
      </c>
      <c r="AE40" s="1">
        <v>1</v>
      </c>
      <c r="AF40" s="1">
        <v>1</v>
      </c>
      <c r="AG40" s="1">
        <v>1</v>
      </c>
      <c r="AH40" s="4">
        <v>1</v>
      </c>
      <c r="AI40" s="1">
        <v>1</v>
      </c>
      <c r="AJ40" s="1">
        <v>1</v>
      </c>
      <c r="AK40" s="4">
        <v>1</v>
      </c>
      <c r="AL40" s="1">
        <v>4</v>
      </c>
      <c r="AM40" s="4">
        <v>1</v>
      </c>
      <c r="AN40" s="1">
        <v>0</v>
      </c>
      <c r="AO40" s="1">
        <v>5</v>
      </c>
      <c r="AP40" s="1">
        <v>1</v>
      </c>
      <c r="AQ40" s="4">
        <v>0</v>
      </c>
      <c r="AR40" s="1">
        <v>1</v>
      </c>
    </row>
    <row r="41" spans="1:44" x14ac:dyDescent="0.3">
      <c r="A41" s="10" t="s">
        <v>653</v>
      </c>
      <c r="B41" s="1">
        <v>2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4">
        <v>1</v>
      </c>
      <c r="L41" s="1">
        <v>1</v>
      </c>
      <c r="M41" s="4">
        <v>1</v>
      </c>
      <c r="N41" s="1">
        <v>1</v>
      </c>
      <c r="O41" s="1">
        <v>1</v>
      </c>
      <c r="P41" s="1">
        <v>1</v>
      </c>
      <c r="Q41" s="1">
        <v>1</v>
      </c>
      <c r="R41" s="1">
        <v>2</v>
      </c>
      <c r="S41" s="4">
        <v>1</v>
      </c>
      <c r="T41" s="1">
        <v>1</v>
      </c>
      <c r="U41" s="1">
        <v>1</v>
      </c>
      <c r="V41" s="1">
        <v>1</v>
      </c>
      <c r="W41" s="4">
        <v>0</v>
      </c>
      <c r="X41" s="4">
        <v>1</v>
      </c>
      <c r="Y41" s="1">
        <v>1</v>
      </c>
      <c r="Z41" s="1">
        <v>1</v>
      </c>
      <c r="AA41" s="1">
        <v>1</v>
      </c>
      <c r="AB41" s="1">
        <v>1</v>
      </c>
      <c r="AC41" s="1">
        <v>3</v>
      </c>
      <c r="AD41" s="1">
        <v>1</v>
      </c>
      <c r="AE41" s="1">
        <v>1</v>
      </c>
      <c r="AF41" s="1">
        <v>1</v>
      </c>
      <c r="AG41" s="1">
        <v>18</v>
      </c>
      <c r="AH41" s="4">
        <v>1</v>
      </c>
      <c r="AI41" s="1">
        <v>1</v>
      </c>
      <c r="AJ41" s="1">
        <v>1</v>
      </c>
      <c r="AK41" s="4">
        <v>1</v>
      </c>
      <c r="AL41" s="1">
        <v>23</v>
      </c>
      <c r="AM41" s="4">
        <v>1</v>
      </c>
      <c r="AN41" s="1">
        <v>1</v>
      </c>
      <c r="AO41" s="1">
        <v>4</v>
      </c>
      <c r="AP41" s="1">
        <v>2</v>
      </c>
      <c r="AQ41" s="4">
        <v>2</v>
      </c>
      <c r="AR41" s="1">
        <v>1</v>
      </c>
    </row>
    <row r="42" spans="1:44" x14ac:dyDescent="0.3">
      <c r="A42" s="10" t="s">
        <v>654</v>
      </c>
      <c r="B42" s="1">
        <v>1</v>
      </c>
      <c r="C42" s="1">
        <v>3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4">
        <v>1</v>
      </c>
      <c r="L42" s="1">
        <v>1</v>
      </c>
      <c r="M42" s="4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4">
        <v>1</v>
      </c>
      <c r="T42" s="1">
        <v>1</v>
      </c>
      <c r="U42" s="1">
        <v>1</v>
      </c>
      <c r="V42" s="1">
        <v>1</v>
      </c>
      <c r="W42" s="4">
        <v>1</v>
      </c>
      <c r="X42" s="4">
        <v>1</v>
      </c>
      <c r="Y42" s="1">
        <v>1</v>
      </c>
      <c r="Z42" s="1">
        <v>1</v>
      </c>
      <c r="AA42" s="1">
        <v>1</v>
      </c>
      <c r="AB42" s="1">
        <v>1</v>
      </c>
      <c r="AC42" s="1">
        <v>2</v>
      </c>
      <c r="AD42" s="1">
        <v>1</v>
      </c>
      <c r="AE42" s="1">
        <v>1</v>
      </c>
      <c r="AF42" s="1">
        <v>1</v>
      </c>
      <c r="AG42" s="1">
        <v>9</v>
      </c>
      <c r="AH42" s="4">
        <v>1</v>
      </c>
      <c r="AI42" s="1">
        <v>1</v>
      </c>
      <c r="AJ42" s="1">
        <v>1</v>
      </c>
      <c r="AK42" s="4">
        <v>1</v>
      </c>
      <c r="AL42" s="1">
        <v>4</v>
      </c>
      <c r="AM42" s="4">
        <v>1</v>
      </c>
      <c r="AN42" s="1">
        <v>1</v>
      </c>
      <c r="AO42" s="1">
        <v>6</v>
      </c>
      <c r="AP42" s="1">
        <v>1</v>
      </c>
      <c r="AQ42" s="4">
        <v>2</v>
      </c>
      <c r="AR42" s="1">
        <v>1</v>
      </c>
    </row>
    <row r="43" spans="1:44" x14ac:dyDescent="0.3">
      <c r="A43" s="10" t="s">
        <v>655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4">
        <v>1</v>
      </c>
      <c r="L43" s="1">
        <v>2</v>
      </c>
      <c r="M43" s="4">
        <v>1</v>
      </c>
      <c r="N43" s="1">
        <v>1</v>
      </c>
      <c r="O43" s="1">
        <v>1</v>
      </c>
      <c r="P43" s="1">
        <v>1</v>
      </c>
      <c r="Q43" s="1">
        <v>1</v>
      </c>
      <c r="R43" s="1">
        <v>3</v>
      </c>
      <c r="S43" s="4">
        <v>1</v>
      </c>
      <c r="T43" s="1">
        <v>1</v>
      </c>
      <c r="U43" s="1">
        <v>2</v>
      </c>
      <c r="V43" s="1">
        <v>1</v>
      </c>
      <c r="W43" s="4">
        <v>1</v>
      </c>
      <c r="X43" s="4">
        <v>1</v>
      </c>
      <c r="Y43" s="1">
        <v>1</v>
      </c>
      <c r="Z43" s="1">
        <v>1</v>
      </c>
      <c r="AA43" s="1">
        <v>1</v>
      </c>
      <c r="AB43" s="1">
        <v>1</v>
      </c>
      <c r="AC43" s="1">
        <v>4</v>
      </c>
      <c r="AD43" s="1">
        <v>2</v>
      </c>
      <c r="AE43" s="1">
        <v>1</v>
      </c>
      <c r="AF43" s="1">
        <v>1</v>
      </c>
      <c r="AG43" s="1">
        <v>18</v>
      </c>
      <c r="AH43" s="4">
        <v>1</v>
      </c>
      <c r="AI43" s="1">
        <v>1</v>
      </c>
      <c r="AJ43" s="1">
        <v>1</v>
      </c>
      <c r="AK43" s="4">
        <v>1</v>
      </c>
      <c r="AL43" s="1">
        <v>44</v>
      </c>
      <c r="AM43" s="4">
        <v>1</v>
      </c>
      <c r="AN43" s="1">
        <v>1</v>
      </c>
      <c r="AO43" s="1">
        <v>7</v>
      </c>
      <c r="AP43" s="1">
        <v>1</v>
      </c>
      <c r="AQ43" s="4">
        <v>4</v>
      </c>
      <c r="AR43" s="1">
        <v>1</v>
      </c>
    </row>
    <row r="44" spans="1:44" x14ac:dyDescent="0.3">
      <c r="A44" s="10" t="s">
        <v>656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4">
        <v>1</v>
      </c>
      <c r="L44" s="1">
        <v>1</v>
      </c>
      <c r="M44" s="4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4">
        <v>1</v>
      </c>
      <c r="T44" s="1">
        <v>1</v>
      </c>
      <c r="U44" s="1">
        <v>1</v>
      </c>
      <c r="V44" s="1">
        <v>1</v>
      </c>
      <c r="W44" s="4">
        <v>1</v>
      </c>
      <c r="X44" s="4">
        <v>1</v>
      </c>
      <c r="Y44" s="1">
        <v>1</v>
      </c>
      <c r="Z44" s="1">
        <v>1</v>
      </c>
      <c r="AA44" s="1">
        <v>0</v>
      </c>
      <c r="AB44" s="1">
        <v>1</v>
      </c>
      <c r="AC44" s="1">
        <v>4</v>
      </c>
      <c r="AD44" s="1">
        <v>1</v>
      </c>
      <c r="AE44" s="1">
        <v>1</v>
      </c>
      <c r="AF44" s="1">
        <v>1</v>
      </c>
      <c r="AG44" s="1">
        <v>13</v>
      </c>
      <c r="AH44" s="4">
        <v>2</v>
      </c>
      <c r="AI44" s="1">
        <v>1</v>
      </c>
      <c r="AJ44" s="1">
        <v>1</v>
      </c>
      <c r="AK44" s="4">
        <v>1</v>
      </c>
      <c r="AL44" s="1">
        <v>12</v>
      </c>
      <c r="AM44" s="4">
        <v>1</v>
      </c>
      <c r="AN44" s="1">
        <v>1</v>
      </c>
      <c r="AO44" s="1">
        <v>4</v>
      </c>
      <c r="AP44" s="1">
        <v>1</v>
      </c>
      <c r="AQ44" s="4">
        <v>1</v>
      </c>
      <c r="AR44" s="1">
        <v>1</v>
      </c>
    </row>
    <row r="45" spans="1:44" x14ac:dyDescent="0.3">
      <c r="A45" s="10" t="s">
        <v>657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4">
        <v>1</v>
      </c>
      <c r="L45" s="1">
        <v>1</v>
      </c>
      <c r="M45" s="4">
        <v>1</v>
      </c>
      <c r="N45" s="1">
        <v>1</v>
      </c>
      <c r="O45" s="1">
        <v>1</v>
      </c>
      <c r="P45" s="1">
        <v>1</v>
      </c>
      <c r="Q45" s="1">
        <v>1</v>
      </c>
      <c r="R45" s="1">
        <v>2</v>
      </c>
      <c r="S45" s="4">
        <v>1</v>
      </c>
      <c r="T45" s="1">
        <v>1</v>
      </c>
      <c r="U45" s="1">
        <v>3</v>
      </c>
      <c r="V45" s="1">
        <v>1</v>
      </c>
      <c r="W45" s="4">
        <v>1</v>
      </c>
      <c r="X45" s="4">
        <v>1</v>
      </c>
      <c r="Y45" s="1">
        <v>1</v>
      </c>
      <c r="Z45" s="1">
        <v>1</v>
      </c>
      <c r="AA45" s="1">
        <v>1</v>
      </c>
      <c r="AB45" s="1">
        <v>2</v>
      </c>
      <c r="AC45" s="1">
        <v>4</v>
      </c>
      <c r="AD45" s="1">
        <v>1</v>
      </c>
      <c r="AE45" s="1">
        <v>1</v>
      </c>
      <c r="AF45" s="1">
        <v>2</v>
      </c>
      <c r="AG45" s="1">
        <v>6</v>
      </c>
      <c r="AH45" s="4">
        <v>1</v>
      </c>
      <c r="AI45" s="1">
        <v>1</v>
      </c>
      <c r="AJ45" s="1">
        <v>1</v>
      </c>
      <c r="AK45" s="4">
        <v>1</v>
      </c>
      <c r="AL45" s="1">
        <v>7</v>
      </c>
      <c r="AM45" s="4">
        <v>1</v>
      </c>
      <c r="AN45" s="1">
        <v>1</v>
      </c>
      <c r="AO45" s="1">
        <v>3</v>
      </c>
      <c r="AP45" s="1">
        <v>1</v>
      </c>
      <c r="AQ45" s="4">
        <v>5</v>
      </c>
      <c r="AR45" s="4">
        <v>0</v>
      </c>
    </row>
    <row r="46" spans="1:44" x14ac:dyDescent="0.3">
      <c r="A46" s="10" t="s">
        <v>658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4">
        <v>1</v>
      </c>
      <c r="L46" s="1">
        <v>1</v>
      </c>
      <c r="M46" s="4">
        <v>1</v>
      </c>
      <c r="N46" s="1">
        <v>1</v>
      </c>
      <c r="O46" s="1">
        <v>1</v>
      </c>
      <c r="P46" s="1">
        <v>1</v>
      </c>
      <c r="Q46" s="1">
        <v>1</v>
      </c>
      <c r="R46" s="1">
        <v>2</v>
      </c>
      <c r="S46" s="4">
        <v>1</v>
      </c>
      <c r="T46" s="1">
        <v>1</v>
      </c>
      <c r="U46" s="1">
        <v>1</v>
      </c>
      <c r="V46" s="1">
        <v>1</v>
      </c>
      <c r="W46" s="4">
        <v>1</v>
      </c>
      <c r="X46" s="4">
        <v>1</v>
      </c>
      <c r="Y46" s="1">
        <v>1</v>
      </c>
      <c r="Z46" s="1">
        <v>1</v>
      </c>
      <c r="AA46" s="1">
        <v>1</v>
      </c>
      <c r="AB46" s="1">
        <v>1</v>
      </c>
      <c r="AC46" s="1">
        <v>3</v>
      </c>
      <c r="AD46" s="1">
        <v>1</v>
      </c>
      <c r="AE46" s="1">
        <v>1</v>
      </c>
      <c r="AF46" s="1">
        <v>1</v>
      </c>
      <c r="AG46" s="1">
        <v>18</v>
      </c>
      <c r="AH46" s="4">
        <v>1</v>
      </c>
      <c r="AI46" s="1">
        <v>1</v>
      </c>
      <c r="AJ46" s="1">
        <v>1</v>
      </c>
      <c r="AK46" s="4">
        <v>1</v>
      </c>
      <c r="AL46" s="1">
        <v>9</v>
      </c>
      <c r="AM46" s="4">
        <v>1</v>
      </c>
      <c r="AN46" s="1">
        <v>1</v>
      </c>
      <c r="AO46" s="1">
        <v>6</v>
      </c>
      <c r="AP46" s="1">
        <v>1</v>
      </c>
      <c r="AQ46" s="4">
        <v>3</v>
      </c>
      <c r="AR46" s="1">
        <v>2</v>
      </c>
    </row>
    <row r="47" spans="1:44" x14ac:dyDescent="0.3">
      <c r="A47" s="10" t="s">
        <v>659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4">
        <v>1</v>
      </c>
      <c r="L47" s="1">
        <v>1</v>
      </c>
      <c r="M47" s="4">
        <v>1</v>
      </c>
      <c r="N47" s="1">
        <v>1</v>
      </c>
      <c r="O47" s="1">
        <v>2</v>
      </c>
      <c r="P47" s="1">
        <v>1</v>
      </c>
      <c r="Q47" s="1">
        <v>1</v>
      </c>
      <c r="R47" s="1">
        <v>1</v>
      </c>
      <c r="S47" s="4">
        <v>1</v>
      </c>
      <c r="T47" s="1">
        <v>1</v>
      </c>
      <c r="U47" s="1">
        <v>1</v>
      </c>
      <c r="V47" s="1">
        <v>1</v>
      </c>
      <c r="W47" s="4">
        <v>1</v>
      </c>
      <c r="X47" s="4">
        <v>2</v>
      </c>
      <c r="Y47" s="1">
        <v>1</v>
      </c>
      <c r="Z47" s="1">
        <v>1</v>
      </c>
      <c r="AA47" s="1">
        <v>1</v>
      </c>
      <c r="AB47" s="1">
        <v>1</v>
      </c>
      <c r="AC47" s="1">
        <v>3</v>
      </c>
      <c r="AD47" s="1">
        <v>1</v>
      </c>
      <c r="AE47" s="1">
        <v>1</v>
      </c>
      <c r="AF47" s="1">
        <v>1</v>
      </c>
      <c r="AG47" s="1">
        <v>15</v>
      </c>
      <c r="AH47" s="4">
        <v>1</v>
      </c>
      <c r="AI47" s="1">
        <v>1</v>
      </c>
      <c r="AJ47" s="1">
        <v>1</v>
      </c>
      <c r="AK47" s="4">
        <v>1</v>
      </c>
      <c r="AL47" s="1">
        <v>6</v>
      </c>
      <c r="AM47" s="4">
        <v>1</v>
      </c>
      <c r="AN47" s="1">
        <v>1</v>
      </c>
      <c r="AO47" s="1">
        <v>9</v>
      </c>
      <c r="AP47" s="1">
        <v>1</v>
      </c>
      <c r="AQ47" s="4">
        <v>2</v>
      </c>
      <c r="AR47" s="1">
        <v>1</v>
      </c>
    </row>
    <row r="48" spans="1:44" x14ac:dyDescent="0.3">
      <c r="A48" s="10" t="s">
        <v>660</v>
      </c>
      <c r="B48" s="1">
        <v>1</v>
      </c>
      <c r="C48" s="1">
        <v>1</v>
      </c>
      <c r="D48" s="1">
        <v>1</v>
      </c>
      <c r="E48" s="1">
        <v>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4">
        <v>1</v>
      </c>
      <c r="L48" s="1">
        <v>1</v>
      </c>
      <c r="M48" s="4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4">
        <v>1</v>
      </c>
      <c r="T48" s="1">
        <v>1</v>
      </c>
      <c r="U48" s="1">
        <v>7</v>
      </c>
      <c r="V48" s="1">
        <v>1</v>
      </c>
      <c r="W48" s="4">
        <v>1</v>
      </c>
      <c r="X48" s="4">
        <v>1</v>
      </c>
      <c r="Y48" s="1">
        <v>1</v>
      </c>
      <c r="Z48" s="1">
        <v>1</v>
      </c>
      <c r="AA48" s="4">
        <v>0</v>
      </c>
      <c r="AB48" s="1">
        <v>1</v>
      </c>
      <c r="AC48" s="1">
        <v>3</v>
      </c>
      <c r="AD48" s="1">
        <v>1</v>
      </c>
      <c r="AE48" s="1">
        <v>1</v>
      </c>
      <c r="AF48" s="1">
        <v>1</v>
      </c>
      <c r="AG48" s="1">
        <v>15</v>
      </c>
      <c r="AH48" s="4">
        <v>1</v>
      </c>
      <c r="AI48" s="1">
        <v>1</v>
      </c>
      <c r="AJ48" s="1">
        <v>1</v>
      </c>
      <c r="AK48" s="4">
        <v>1</v>
      </c>
      <c r="AL48" s="1">
        <v>13</v>
      </c>
      <c r="AM48" s="4">
        <v>1</v>
      </c>
      <c r="AN48" s="1">
        <v>1</v>
      </c>
      <c r="AO48" s="1">
        <v>4</v>
      </c>
      <c r="AP48" s="1">
        <v>0</v>
      </c>
      <c r="AQ48" s="4">
        <v>3</v>
      </c>
      <c r="AR48" s="1">
        <v>1</v>
      </c>
    </row>
    <row r="49" spans="1:44" x14ac:dyDescent="0.3">
      <c r="A49" s="10" t="s">
        <v>661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4">
        <v>1</v>
      </c>
      <c r="L49" s="1">
        <v>1</v>
      </c>
      <c r="M49" s="4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4">
        <v>1</v>
      </c>
      <c r="T49" s="1">
        <v>1</v>
      </c>
      <c r="U49" s="1">
        <v>2</v>
      </c>
      <c r="V49" s="1">
        <v>1</v>
      </c>
      <c r="W49" s="4">
        <v>1</v>
      </c>
      <c r="X49" s="4">
        <v>2</v>
      </c>
      <c r="Y49" s="1">
        <v>1</v>
      </c>
      <c r="Z49" s="1">
        <v>1</v>
      </c>
      <c r="AA49" s="1">
        <v>1</v>
      </c>
      <c r="AB49" s="1">
        <v>1</v>
      </c>
      <c r="AC49" s="1">
        <v>3</v>
      </c>
      <c r="AD49" s="1">
        <v>1</v>
      </c>
      <c r="AE49" s="1">
        <v>1</v>
      </c>
      <c r="AF49" s="1">
        <v>1</v>
      </c>
      <c r="AG49" s="1">
        <v>15</v>
      </c>
      <c r="AH49" s="4">
        <v>1</v>
      </c>
      <c r="AI49" s="1">
        <v>1</v>
      </c>
      <c r="AJ49" s="1">
        <v>1</v>
      </c>
      <c r="AK49" s="4">
        <v>1</v>
      </c>
      <c r="AL49" s="1">
        <v>7</v>
      </c>
      <c r="AM49" s="4">
        <v>1</v>
      </c>
      <c r="AN49" s="1">
        <v>1</v>
      </c>
      <c r="AO49" s="1">
        <v>3</v>
      </c>
      <c r="AP49" s="1">
        <v>1</v>
      </c>
      <c r="AQ49" s="4">
        <v>2</v>
      </c>
      <c r="AR49" s="1">
        <v>1</v>
      </c>
    </row>
    <row r="50" spans="1:44" x14ac:dyDescent="0.3">
      <c r="A50" s="10" t="s">
        <v>662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4">
        <v>1</v>
      </c>
      <c r="L50" s="1">
        <v>1</v>
      </c>
      <c r="M50" s="4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4">
        <v>1</v>
      </c>
      <c r="T50" s="1">
        <v>1</v>
      </c>
      <c r="U50" s="1">
        <v>1</v>
      </c>
      <c r="V50" s="1">
        <v>1</v>
      </c>
      <c r="W50" s="4">
        <v>1</v>
      </c>
      <c r="X50" s="4">
        <v>2</v>
      </c>
      <c r="Y50" s="1">
        <v>1</v>
      </c>
      <c r="Z50" s="1">
        <v>1</v>
      </c>
      <c r="AA50" s="1">
        <v>1</v>
      </c>
      <c r="AB50" s="1">
        <v>1</v>
      </c>
      <c r="AC50" s="1">
        <v>2</v>
      </c>
      <c r="AD50" s="1">
        <v>1</v>
      </c>
      <c r="AE50" s="1">
        <v>1</v>
      </c>
      <c r="AF50" s="1">
        <v>1</v>
      </c>
      <c r="AG50" s="1">
        <v>7</v>
      </c>
      <c r="AH50" s="4">
        <v>1</v>
      </c>
      <c r="AI50" s="1">
        <v>1</v>
      </c>
      <c r="AJ50" s="1">
        <v>1</v>
      </c>
      <c r="AK50" s="4">
        <v>1</v>
      </c>
      <c r="AL50" s="1">
        <v>4</v>
      </c>
      <c r="AM50" s="4">
        <v>1</v>
      </c>
      <c r="AN50" s="1">
        <v>1</v>
      </c>
      <c r="AO50" s="1">
        <v>6</v>
      </c>
      <c r="AP50" s="1">
        <v>1</v>
      </c>
      <c r="AQ50" s="4">
        <v>1</v>
      </c>
      <c r="AR50" s="1">
        <v>1</v>
      </c>
    </row>
    <row r="51" spans="1:44" x14ac:dyDescent="0.3">
      <c r="A51" s="10" t="s">
        <v>663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4">
        <v>1</v>
      </c>
      <c r="L51" s="1">
        <v>1</v>
      </c>
      <c r="M51" s="4">
        <v>1</v>
      </c>
      <c r="N51" s="1">
        <v>1</v>
      </c>
      <c r="O51" s="1">
        <v>2</v>
      </c>
      <c r="P51" s="1">
        <v>1</v>
      </c>
      <c r="Q51" s="1">
        <v>1</v>
      </c>
      <c r="R51" s="1">
        <v>1</v>
      </c>
      <c r="S51" s="4">
        <v>1</v>
      </c>
      <c r="T51" s="1">
        <v>1</v>
      </c>
      <c r="U51" s="1">
        <v>2</v>
      </c>
      <c r="V51" s="1">
        <v>1</v>
      </c>
      <c r="W51" s="4">
        <v>1</v>
      </c>
      <c r="X51" s="4">
        <v>1</v>
      </c>
      <c r="Y51" s="1">
        <v>1</v>
      </c>
      <c r="Z51" s="1">
        <v>1</v>
      </c>
      <c r="AA51" s="1">
        <v>1</v>
      </c>
      <c r="AB51" s="1">
        <v>1</v>
      </c>
      <c r="AC51" s="1">
        <v>5</v>
      </c>
      <c r="AD51" s="1">
        <v>1</v>
      </c>
      <c r="AE51" s="1">
        <v>1</v>
      </c>
      <c r="AF51" s="1">
        <v>1</v>
      </c>
      <c r="AG51" s="1">
        <v>20</v>
      </c>
      <c r="AH51" s="4">
        <v>1</v>
      </c>
      <c r="AI51" s="1">
        <v>1</v>
      </c>
      <c r="AJ51" s="1">
        <v>1</v>
      </c>
      <c r="AK51" s="4">
        <v>1</v>
      </c>
      <c r="AL51" s="1">
        <v>13</v>
      </c>
      <c r="AM51" s="4">
        <v>1</v>
      </c>
      <c r="AN51" s="1">
        <v>1</v>
      </c>
      <c r="AO51" s="1">
        <v>4</v>
      </c>
      <c r="AP51" s="1">
        <v>2</v>
      </c>
      <c r="AQ51" s="4">
        <v>2</v>
      </c>
      <c r="AR51" s="1">
        <v>1</v>
      </c>
    </row>
    <row r="52" spans="1:44" x14ac:dyDescent="0.3">
      <c r="A52" s="10" t="s">
        <v>664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4">
        <v>1</v>
      </c>
      <c r="L52" s="1">
        <v>1</v>
      </c>
      <c r="M52" s="4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4">
        <v>1</v>
      </c>
      <c r="T52" s="1">
        <v>1</v>
      </c>
      <c r="U52" s="1">
        <v>1</v>
      </c>
      <c r="V52" s="1">
        <v>1</v>
      </c>
      <c r="W52" s="4">
        <v>1</v>
      </c>
      <c r="X52" s="4">
        <v>1</v>
      </c>
      <c r="Y52" s="1">
        <v>1</v>
      </c>
      <c r="Z52" s="1">
        <v>1</v>
      </c>
      <c r="AA52" s="1">
        <v>1</v>
      </c>
      <c r="AB52" s="1">
        <v>1</v>
      </c>
      <c r="AC52" s="1">
        <v>3</v>
      </c>
      <c r="AD52" s="1">
        <v>1</v>
      </c>
      <c r="AE52" s="1">
        <v>1</v>
      </c>
      <c r="AF52" s="1">
        <v>1</v>
      </c>
      <c r="AG52" s="1">
        <v>12</v>
      </c>
      <c r="AH52" s="4">
        <v>1</v>
      </c>
      <c r="AI52" s="1">
        <v>1</v>
      </c>
      <c r="AJ52" s="1">
        <v>1</v>
      </c>
      <c r="AK52" s="4">
        <v>1</v>
      </c>
      <c r="AL52" s="1">
        <v>4</v>
      </c>
      <c r="AM52" s="4">
        <v>0</v>
      </c>
      <c r="AN52" s="1">
        <v>1</v>
      </c>
      <c r="AO52" s="1">
        <v>4</v>
      </c>
      <c r="AP52" s="1">
        <v>2</v>
      </c>
      <c r="AQ52" s="4">
        <v>2</v>
      </c>
      <c r="AR52" s="1">
        <v>1</v>
      </c>
    </row>
    <row r="53" spans="1:44" x14ac:dyDescent="0.3">
      <c r="A53" s="10" t="s">
        <v>665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4">
        <v>1</v>
      </c>
      <c r="L53" s="1">
        <v>1</v>
      </c>
      <c r="M53" s="4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4">
        <v>1</v>
      </c>
      <c r="T53" s="1">
        <v>1</v>
      </c>
      <c r="U53" s="1">
        <v>1</v>
      </c>
      <c r="V53" s="1">
        <v>1</v>
      </c>
      <c r="W53" s="4">
        <v>1</v>
      </c>
      <c r="X53" s="4">
        <v>2</v>
      </c>
      <c r="Y53" s="1">
        <v>1</v>
      </c>
      <c r="Z53" s="1">
        <v>1</v>
      </c>
      <c r="AA53" s="1">
        <v>1</v>
      </c>
      <c r="AB53" s="1">
        <v>1</v>
      </c>
      <c r="AC53" s="1">
        <v>4</v>
      </c>
      <c r="AD53" s="1">
        <v>1</v>
      </c>
      <c r="AE53" s="1">
        <v>1</v>
      </c>
      <c r="AF53" s="1">
        <v>1</v>
      </c>
      <c r="AG53" s="1">
        <v>17</v>
      </c>
      <c r="AH53" s="4">
        <v>1</v>
      </c>
      <c r="AI53" s="1">
        <v>1</v>
      </c>
      <c r="AJ53" s="1">
        <v>1</v>
      </c>
      <c r="AK53" s="4">
        <v>1</v>
      </c>
      <c r="AL53" s="1">
        <v>10</v>
      </c>
      <c r="AM53" s="4">
        <v>1</v>
      </c>
      <c r="AN53" s="1">
        <v>1</v>
      </c>
      <c r="AO53" s="1">
        <v>4</v>
      </c>
      <c r="AP53" s="1">
        <v>1</v>
      </c>
      <c r="AQ53" s="4">
        <v>2</v>
      </c>
      <c r="AR53" s="1">
        <v>1</v>
      </c>
    </row>
    <row r="54" spans="1:44" x14ac:dyDescent="0.3">
      <c r="A54" s="10" t="s">
        <v>666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2</v>
      </c>
      <c r="H54" s="1">
        <v>1</v>
      </c>
      <c r="I54" s="1">
        <v>1</v>
      </c>
      <c r="J54" s="1">
        <v>1</v>
      </c>
      <c r="K54" s="4">
        <v>1</v>
      </c>
      <c r="L54" s="1">
        <v>2</v>
      </c>
      <c r="M54" s="4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4">
        <v>0</v>
      </c>
      <c r="T54" s="1">
        <v>1</v>
      </c>
      <c r="U54" s="1">
        <v>3</v>
      </c>
      <c r="V54" s="1">
        <v>1</v>
      </c>
      <c r="W54" s="4">
        <v>1</v>
      </c>
      <c r="X54" s="4">
        <v>1</v>
      </c>
      <c r="Y54" s="1">
        <v>1</v>
      </c>
      <c r="Z54" s="1">
        <v>1</v>
      </c>
      <c r="AA54" s="1">
        <v>1</v>
      </c>
      <c r="AB54" s="1">
        <v>1</v>
      </c>
      <c r="AC54" s="1">
        <v>4</v>
      </c>
      <c r="AD54" s="1">
        <v>1</v>
      </c>
      <c r="AE54" s="1">
        <v>1</v>
      </c>
      <c r="AF54" s="1">
        <v>1</v>
      </c>
      <c r="AG54" s="1">
        <v>11</v>
      </c>
      <c r="AH54" s="4">
        <v>1</v>
      </c>
      <c r="AI54" s="1">
        <v>1</v>
      </c>
      <c r="AJ54" s="1">
        <v>1</v>
      </c>
      <c r="AK54" s="4">
        <v>1</v>
      </c>
      <c r="AL54" s="1">
        <v>4</v>
      </c>
      <c r="AM54" s="4">
        <v>1</v>
      </c>
      <c r="AN54" s="1">
        <v>1</v>
      </c>
      <c r="AO54" s="1">
        <v>3</v>
      </c>
      <c r="AP54" s="1">
        <v>1</v>
      </c>
      <c r="AQ54" s="4">
        <v>1</v>
      </c>
      <c r="AR54" s="1">
        <v>1</v>
      </c>
    </row>
    <row r="55" spans="1:44" x14ac:dyDescent="0.3">
      <c r="A55" s="10" t="s">
        <v>670</v>
      </c>
      <c r="B55" s="1">
        <v>1</v>
      </c>
      <c r="C55" s="1">
        <v>2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4">
        <v>1</v>
      </c>
      <c r="L55" s="1">
        <v>1</v>
      </c>
      <c r="M55" s="4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4">
        <v>1</v>
      </c>
      <c r="T55" s="1">
        <v>1</v>
      </c>
      <c r="U55" s="1">
        <v>1</v>
      </c>
      <c r="V55" s="1">
        <v>1</v>
      </c>
      <c r="W55" s="4">
        <v>1</v>
      </c>
      <c r="X55" s="4">
        <v>1</v>
      </c>
      <c r="Y55" s="1">
        <v>1</v>
      </c>
      <c r="Z55" s="1">
        <v>0</v>
      </c>
      <c r="AA55" s="1">
        <v>1</v>
      </c>
      <c r="AB55" s="1">
        <v>1</v>
      </c>
      <c r="AC55" s="1">
        <v>2</v>
      </c>
      <c r="AD55" s="1">
        <v>1</v>
      </c>
      <c r="AE55" s="1">
        <v>1</v>
      </c>
      <c r="AF55" s="1">
        <v>3</v>
      </c>
      <c r="AG55" s="1">
        <v>8</v>
      </c>
      <c r="AH55" s="4">
        <v>1</v>
      </c>
      <c r="AI55" s="1">
        <v>1</v>
      </c>
      <c r="AJ55" s="1">
        <v>1</v>
      </c>
      <c r="AK55" s="4">
        <v>1</v>
      </c>
      <c r="AL55" s="1">
        <v>2</v>
      </c>
      <c r="AM55" s="4">
        <v>1</v>
      </c>
      <c r="AN55" s="1">
        <v>1</v>
      </c>
      <c r="AO55" s="1">
        <v>3</v>
      </c>
      <c r="AP55" s="1">
        <v>1</v>
      </c>
      <c r="AQ55" s="4">
        <v>1</v>
      </c>
      <c r="AR55" s="1">
        <v>1</v>
      </c>
    </row>
    <row r="56" spans="1:44" x14ac:dyDescent="0.3">
      <c r="A56" s="10" t="s">
        <v>669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4">
        <v>1</v>
      </c>
      <c r="L56" s="1">
        <v>1</v>
      </c>
      <c r="M56" s="4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4">
        <v>1</v>
      </c>
      <c r="T56" s="1">
        <v>1</v>
      </c>
      <c r="U56" s="1">
        <v>1</v>
      </c>
      <c r="V56" s="1">
        <v>1</v>
      </c>
      <c r="W56" s="4">
        <v>1</v>
      </c>
      <c r="X56" s="4">
        <v>2</v>
      </c>
      <c r="Y56" s="1">
        <v>1</v>
      </c>
      <c r="Z56" s="1">
        <v>1</v>
      </c>
      <c r="AA56" s="1">
        <v>1</v>
      </c>
      <c r="AB56" s="1">
        <v>1</v>
      </c>
      <c r="AC56" s="1">
        <v>2</v>
      </c>
      <c r="AD56" s="1">
        <v>1</v>
      </c>
      <c r="AE56" s="1">
        <v>1</v>
      </c>
      <c r="AF56" s="1">
        <v>1</v>
      </c>
      <c r="AG56" s="1">
        <v>7</v>
      </c>
      <c r="AH56" s="4">
        <v>1</v>
      </c>
      <c r="AI56" s="1">
        <v>1</v>
      </c>
      <c r="AJ56" s="1">
        <v>1</v>
      </c>
      <c r="AK56" s="4">
        <v>1</v>
      </c>
      <c r="AL56" s="1">
        <v>3</v>
      </c>
      <c r="AM56" s="4">
        <v>1</v>
      </c>
      <c r="AN56" s="1">
        <v>1</v>
      </c>
      <c r="AO56" s="1">
        <v>4</v>
      </c>
      <c r="AP56" s="1">
        <v>1</v>
      </c>
      <c r="AQ56" s="4">
        <v>1</v>
      </c>
      <c r="AR56" s="1">
        <v>1</v>
      </c>
    </row>
    <row r="57" spans="1:44" x14ac:dyDescent="0.3">
      <c r="A57" s="10" t="s">
        <v>668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4">
        <v>1</v>
      </c>
      <c r="L57" s="1">
        <v>1</v>
      </c>
      <c r="M57" s="4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4">
        <v>1</v>
      </c>
      <c r="T57" s="1">
        <v>1</v>
      </c>
      <c r="U57" s="1">
        <v>2</v>
      </c>
      <c r="V57" s="1">
        <v>1</v>
      </c>
      <c r="W57" s="4">
        <v>1</v>
      </c>
      <c r="X57" s="4">
        <v>1</v>
      </c>
      <c r="Y57" s="1">
        <v>1</v>
      </c>
      <c r="Z57" s="1">
        <v>1</v>
      </c>
      <c r="AA57" s="1">
        <v>1</v>
      </c>
      <c r="AB57" s="1">
        <v>1</v>
      </c>
      <c r="AC57" s="1">
        <v>5</v>
      </c>
      <c r="AD57" s="1">
        <v>1</v>
      </c>
      <c r="AE57" s="1">
        <v>1</v>
      </c>
      <c r="AF57" s="1">
        <v>1</v>
      </c>
      <c r="AG57" s="1">
        <v>16</v>
      </c>
      <c r="AH57" s="4">
        <v>1</v>
      </c>
      <c r="AI57" s="1">
        <v>1</v>
      </c>
      <c r="AJ57" s="1">
        <v>1</v>
      </c>
      <c r="AK57" s="4">
        <v>2</v>
      </c>
      <c r="AL57" s="1">
        <v>14</v>
      </c>
      <c r="AM57" s="4">
        <v>1</v>
      </c>
      <c r="AN57" s="1">
        <v>1</v>
      </c>
      <c r="AO57" s="1">
        <v>3</v>
      </c>
      <c r="AP57" s="1">
        <v>1</v>
      </c>
      <c r="AQ57" s="4">
        <v>2</v>
      </c>
      <c r="AR57" s="1">
        <v>1</v>
      </c>
    </row>
    <row r="58" spans="1:44" x14ac:dyDescent="0.3">
      <c r="A58" s="10" t="s">
        <v>667</v>
      </c>
      <c r="B58" s="1">
        <v>2</v>
      </c>
      <c r="C58" s="1">
        <v>3</v>
      </c>
      <c r="D58" s="1">
        <v>1</v>
      </c>
      <c r="E58" s="1">
        <v>2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4">
        <v>1</v>
      </c>
      <c r="L58" s="1">
        <v>1</v>
      </c>
      <c r="M58" s="4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4">
        <v>1</v>
      </c>
      <c r="T58" s="1">
        <v>2</v>
      </c>
      <c r="U58" s="1">
        <v>2</v>
      </c>
      <c r="V58" s="1">
        <v>0</v>
      </c>
      <c r="W58" s="4">
        <v>1</v>
      </c>
      <c r="X58" s="4">
        <v>1</v>
      </c>
      <c r="Y58" s="1">
        <v>1</v>
      </c>
      <c r="Z58" s="1">
        <v>0</v>
      </c>
      <c r="AA58" s="1">
        <v>1</v>
      </c>
      <c r="AB58" s="4">
        <v>0</v>
      </c>
      <c r="AC58" s="1">
        <v>1</v>
      </c>
      <c r="AD58" s="1">
        <v>1</v>
      </c>
      <c r="AE58" s="1">
        <v>1</v>
      </c>
      <c r="AF58" s="1">
        <v>1</v>
      </c>
      <c r="AG58" s="1">
        <v>10</v>
      </c>
      <c r="AH58" s="4">
        <v>1</v>
      </c>
      <c r="AI58" s="1">
        <v>1</v>
      </c>
      <c r="AJ58" s="1">
        <v>1</v>
      </c>
      <c r="AK58" s="4">
        <v>1</v>
      </c>
      <c r="AL58" s="1">
        <v>0</v>
      </c>
      <c r="AM58" s="4">
        <v>1</v>
      </c>
      <c r="AN58" s="1">
        <v>1</v>
      </c>
      <c r="AO58" s="1">
        <v>7</v>
      </c>
      <c r="AP58" s="1">
        <v>1</v>
      </c>
      <c r="AQ58" s="4">
        <v>0</v>
      </c>
      <c r="AR58" s="4">
        <v>0</v>
      </c>
    </row>
    <row r="59" spans="1:44" x14ac:dyDescent="0.3">
      <c r="A59" s="10" t="s">
        <v>671</v>
      </c>
      <c r="B59" s="1">
        <v>1</v>
      </c>
      <c r="C59" s="1">
        <v>2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4">
        <v>1</v>
      </c>
      <c r="L59" s="1">
        <v>1</v>
      </c>
      <c r="M59" s="4">
        <v>1</v>
      </c>
      <c r="N59" s="1">
        <v>1</v>
      </c>
      <c r="O59" s="1">
        <v>2</v>
      </c>
      <c r="P59" s="1">
        <v>1</v>
      </c>
      <c r="Q59" s="1">
        <v>1</v>
      </c>
      <c r="R59" s="1">
        <v>1</v>
      </c>
      <c r="S59" s="4">
        <v>1</v>
      </c>
      <c r="T59" s="1">
        <v>0</v>
      </c>
      <c r="U59" s="1">
        <v>8</v>
      </c>
      <c r="V59" s="1">
        <v>1</v>
      </c>
      <c r="W59" s="4">
        <v>1</v>
      </c>
      <c r="X59" s="4">
        <v>1</v>
      </c>
      <c r="Y59" s="1">
        <v>1</v>
      </c>
      <c r="Z59" s="1">
        <v>1</v>
      </c>
      <c r="AA59" s="1">
        <v>1</v>
      </c>
      <c r="AB59" s="1">
        <v>1</v>
      </c>
      <c r="AC59" s="1">
        <v>3</v>
      </c>
      <c r="AD59" s="1">
        <v>1</v>
      </c>
      <c r="AE59" s="1">
        <v>1</v>
      </c>
      <c r="AF59" s="1">
        <v>3</v>
      </c>
      <c r="AG59" s="1">
        <v>18</v>
      </c>
      <c r="AH59" s="4">
        <v>2</v>
      </c>
      <c r="AI59" s="1">
        <v>1</v>
      </c>
      <c r="AJ59" s="1">
        <v>1</v>
      </c>
      <c r="AK59" s="4">
        <v>1</v>
      </c>
      <c r="AL59" s="1">
        <v>3</v>
      </c>
      <c r="AM59" s="4">
        <v>1</v>
      </c>
      <c r="AN59" s="1">
        <v>1</v>
      </c>
      <c r="AO59" s="1">
        <v>8</v>
      </c>
      <c r="AP59" s="1">
        <v>1</v>
      </c>
      <c r="AQ59" s="4">
        <v>2</v>
      </c>
      <c r="AR59" s="1">
        <v>1</v>
      </c>
    </row>
    <row r="60" spans="1:44" x14ac:dyDescent="0.3">
      <c r="A60" s="10" t="s">
        <v>672</v>
      </c>
      <c r="B60" s="1">
        <v>1</v>
      </c>
      <c r="C60" s="1">
        <v>2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4">
        <v>1</v>
      </c>
      <c r="L60" s="1">
        <v>1</v>
      </c>
      <c r="M60" s="4">
        <v>1</v>
      </c>
      <c r="N60" s="1">
        <v>1</v>
      </c>
      <c r="O60" s="1">
        <v>1</v>
      </c>
      <c r="P60" s="1">
        <v>1</v>
      </c>
      <c r="Q60" s="1">
        <v>0</v>
      </c>
      <c r="R60" s="1">
        <v>3</v>
      </c>
      <c r="S60" s="4">
        <v>1</v>
      </c>
      <c r="T60" s="1">
        <v>1</v>
      </c>
      <c r="U60" s="1">
        <v>1</v>
      </c>
      <c r="V60" s="1">
        <v>1</v>
      </c>
      <c r="W60" s="4">
        <v>1</v>
      </c>
      <c r="X60" s="4">
        <v>0</v>
      </c>
      <c r="Y60" s="1">
        <v>1</v>
      </c>
      <c r="Z60" s="1">
        <v>0</v>
      </c>
      <c r="AA60" s="1">
        <v>1</v>
      </c>
      <c r="AB60" s="4">
        <v>0</v>
      </c>
      <c r="AC60" s="1">
        <v>3</v>
      </c>
      <c r="AD60" s="1">
        <v>1</v>
      </c>
      <c r="AE60" s="1">
        <v>1</v>
      </c>
      <c r="AF60" s="1">
        <v>1</v>
      </c>
      <c r="AG60" s="1">
        <v>8</v>
      </c>
      <c r="AH60" s="4">
        <v>1</v>
      </c>
      <c r="AI60" s="1">
        <v>1</v>
      </c>
      <c r="AJ60" s="1">
        <v>1</v>
      </c>
      <c r="AK60" s="4">
        <v>1</v>
      </c>
      <c r="AL60" s="1">
        <v>6</v>
      </c>
      <c r="AM60" s="4">
        <v>1</v>
      </c>
      <c r="AN60" s="1">
        <v>1</v>
      </c>
      <c r="AO60" s="1">
        <v>0</v>
      </c>
      <c r="AP60" s="1">
        <v>1</v>
      </c>
      <c r="AQ60" s="4">
        <v>1</v>
      </c>
      <c r="AR60" s="4">
        <v>0</v>
      </c>
    </row>
    <row r="61" spans="1:44" x14ac:dyDescent="0.3">
      <c r="A61" s="10" t="s">
        <v>673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4">
        <v>1</v>
      </c>
      <c r="L61" s="1">
        <v>2</v>
      </c>
      <c r="M61" s="4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4">
        <v>2</v>
      </c>
      <c r="T61" s="1">
        <v>1</v>
      </c>
      <c r="U61" s="1">
        <v>2</v>
      </c>
      <c r="V61" s="1">
        <v>1</v>
      </c>
      <c r="W61" s="4">
        <v>1</v>
      </c>
      <c r="X61" s="4">
        <v>1</v>
      </c>
      <c r="Y61" s="1">
        <v>1</v>
      </c>
      <c r="Z61" s="1">
        <v>1</v>
      </c>
      <c r="AA61" s="4">
        <v>0</v>
      </c>
      <c r="AB61" s="1">
        <v>1</v>
      </c>
      <c r="AC61" s="1">
        <v>4</v>
      </c>
      <c r="AD61" s="1">
        <v>1</v>
      </c>
      <c r="AE61" s="1">
        <v>1</v>
      </c>
      <c r="AF61" s="1">
        <v>1</v>
      </c>
      <c r="AG61" s="1">
        <v>10</v>
      </c>
      <c r="AH61" s="4">
        <v>1</v>
      </c>
      <c r="AI61" s="1">
        <v>1</v>
      </c>
      <c r="AJ61" s="1">
        <v>1</v>
      </c>
      <c r="AK61" s="4">
        <v>1</v>
      </c>
      <c r="AL61" s="1">
        <v>1</v>
      </c>
      <c r="AM61" s="4">
        <v>1</v>
      </c>
      <c r="AN61" s="1">
        <v>1</v>
      </c>
      <c r="AO61" s="1">
        <v>4</v>
      </c>
      <c r="AP61" s="1">
        <v>2</v>
      </c>
      <c r="AQ61" s="4">
        <v>1</v>
      </c>
      <c r="AR61" s="1">
        <v>1</v>
      </c>
    </row>
    <row r="62" spans="1:44" x14ac:dyDescent="0.3">
      <c r="A62" s="10" t="s">
        <v>674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4">
        <v>1</v>
      </c>
      <c r="L62" s="1">
        <v>1</v>
      </c>
      <c r="M62" s="4">
        <v>1</v>
      </c>
      <c r="N62" s="1">
        <v>1</v>
      </c>
      <c r="O62" s="1">
        <v>1</v>
      </c>
      <c r="P62" s="1">
        <v>1</v>
      </c>
      <c r="Q62" s="1">
        <v>1</v>
      </c>
      <c r="R62" s="1">
        <v>2</v>
      </c>
      <c r="S62" s="4">
        <v>1</v>
      </c>
      <c r="T62" s="1">
        <v>0</v>
      </c>
      <c r="U62" s="1">
        <v>2</v>
      </c>
      <c r="V62" s="1">
        <v>1</v>
      </c>
      <c r="W62" s="4">
        <v>1</v>
      </c>
      <c r="X62" s="4">
        <v>1</v>
      </c>
      <c r="Y62" s="1">
        <v>1</v>
      </c>
      <c r="Z62" s="1">
        <v>1</v>
      </c>
      <c r="AA62" s="4">
        <v>0</v>
      </c>
      <c r="AB62" s="1">
        <v>1</v>
      </c>
      <c r="AC62" s="1">
        <v>3</v>
      </c>
      <c r="AD62" s="1">
        <v>1</v>
      </c>
      <c r="AE62" s="1">
        <v>1</v>
      </c>
      <c r="AF62" s="1">
        <v>1</v>
      </c>
      <c r="AG62" s="1">
        <v>15</v>
      </c>
      <c r="AH62" s="4">
        <v>1</v>
      </c>
      <c r="AI62" s="1">
        <v>1</v>
      </c>
      <c r="AJ62" s="1">
        <v>1</v>
      </c>
      <c r="AK62" s="4">
        <v>1</v>
      </c>
      <c r="AL62" s="1">
        <v>8</v>
      </c>
      <c r="AM62" s="4">
        <v>1</v>
      </c>
      <c r="AN62" s="1">
        <v>1</v>
      </c>
      <c r="AO62" s="1">
        <v>4</v>
      </c>
      <c r="AP62" s="1">
        <v>1</v>
      </c>
      <c r="AQ62" s="4">
        <v>1</v>
      </c>
      <c r="AR62" s="1">
        <v>1</v>
      </c>
    </row>
    <row r="63" spans="1:44" x14ac:dyDescent="0.3">
      <c r="A63" s="10" t="s">
        <v>675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4">
        <v>1</v>
      </c>
      <c r="L63" s="1">
        <v>2</v>
      </c>
      <c r="M63" s="4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4">
        <v>1</v>
      </c>
      <c r="T63" s="1">
        <v>1</v>
      </c>
      <c r="U63" s="1">
        <v>1</v>
      </c>
      <c r="V63" s="1">
        <v>1</v>
      </c>
      <c r="W63" s="4">
        <v>1</v>
      </c>
      <c r="X63" s="4">
        <v>1</v>
      </c>
      <c r="Y63" s="1">
        <v>1</v>
      </c>
      <c r="Z63" s="1">
        <v>1</v>
      </c>
      <c r="AA63" s="4">
        <v>0</v>
      </c>
      <c r="AB63" s="1">
        <v>1</v>
      </c>
      <c r="AC63" s="1">
        <v>3</v>
      </c>
      <c r="AD63" s="1">
        <v>1</v>
      </c>
      <c r="AE63" s="1">
        <v>1</v>
      </c>
      <c r="AF63" s="1">
        <v>1</v>
      </c>
      <c r="AG63" s="1">
        <v>7</v>
      </c>
      <c r="AH63" s="4">
        <v>1</v>
      </c>
      <c r="AI63" s="1">
        <v>1</v>
      </c>
      <c r="AJ63" s="1">
        <v>1</v>
      </c>
      <c r="AK63" s="4">
        <v>2</v>
      </c>
      <c r="AL63" s="1">
        <v>3</v>
      </c>
      <c r="AM63" s="4">
        <v>1</v>
      </c>
      <c r="AN63" s="1">
        <v>1</v>
      </c>
      <c r="AO63" s="1">
        <v>4</v>
      </c>
      <c r="AP63" s="1">
        <v>1</v>
      </c>
      <c r="AQ63" s="4">
        <v>0</v>
      </c>
      <c r="AR63" s="1">
        <v>1</v>
      </c>
    </row>
    <row r="64" spans="1:44" x14ac:dyDescent="0.3">
      <c r="A64" s="10" t="s">
        <v>676</v>
      </c>
      <c r="B64" s="1">
        <v>2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4">
        <v>1</v>
      </c>
      <c r="L64" s="1">
        <v>1</v>
      </c>
      <c r="M64" s="4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4">
        <v>1</v>
      </c>
      <c r="T64" s="1">
        <v>1</v>
      </c>
      <c r="U64" s="1">
        <v>2</v>
      </c>
      <c r="V64" s="1">
        <v>1</v>
      </c>
      <c r="W64" s="4">
        <v>0</v>
      </c>
      <c r="X64" s="4">
        <v>1</v>
      </c>
      <c r="Y64" s="1">
        <v>1</v>
      </c>
      <c r="Z64" s="1">
        <v>0</v>
      </c>
      <c r="AA64" s="1">
        <v>1</v>
      </c>
      <c r="AB64" s="1">
        <v>1</v>
      </c>
      <c r="AC64" s="1">
        <v>3</v>
      </c>
      <c r="AD64" s="1">
        <v>1</v>
      </c>
      <c r="AE64" s="1">
        <v>1</v>
      </c>
      <c r="AF64" s="1">
        <v>1</v>
      </c>
      <c r="AG64" s="1">
        <v>11</v>
      </c>
      <c r="AH64" s="4">
        <v>1</v>
      </c>
      <c r="AI64" s="1">
        <v>1</v>
      </c>
      <c r="AJ64" s="1">
        <v>1</v>
      </c>
      <c r="AK64" s="4">
        <v>1</v>
      </c>
      <c r="AL64" s="1">
        <v>3</v>
      </c>
      <c r="AM64" s="4">
        <v>1</v>
      </c>
      <c r="AN64" s="1">
        <v>1</v>
      </c>
      <c r="AO64" s="1">
        <v>4</v>
      </c>
      <c r="AP64" s="1">
        <v>0</v>
      </c>
      <c r="AQ64" s="4">
        <v>0</v>
      </c>
      <c r="AR64" s="1">
        <v>1</v>
      </c>
    </row>
    <row r="65" spans="1:44" x14ac:dyDescent="0.3">
      <c r="A65" s="10" t="s">
        <v>677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4">
        <v>1</v>
      </c>
      <c r="L65" s="1">
        <v>1</v>
      </c>
      <c r="M65" s="4">
        <v>1</v>
      </c>
      <c r="N65" s="1">
        <v>1</v>
      </c>
      <c r="O65" s="1">
        <v>1</v>
      </c>
      <c r="P65" s="1">
        <v>1</v>
      </c>
      <c r="Q65" s="1">
        <v>0</v>
      </c>
      <c r="R65" s="1">
        <v>1</v>
      </c>
      <c r="S65" s="4">
        <v>1</v>
      </c>
      <c r="T65" s="1">
        <v>1</v>
      </c>
      <c r="U65" s="1">
        <v>1</v>
      </c>
      <c r="V65" s="1">
        <v>1</v>
      </c>
      <c r="W65" s="4">
        <v>1</v>
      </c>
      <c r="X65" s="4">
        <v>0</v>
      </c>
      <c r="Y65" s="1">
        <v>1</v>
      </c>
      <c r="Z65" s="1">
        <v>0</v>
      </c>
      <c r="AA65" s="1">
        <v>1</v>
      </c>
      <c r="AB65" s="4">
        <v>0</v>
      </c>
      <c r="AC65" s="1">
        <v>3</v>
      </c>
      <c r="AD65" s="1">
        <v>1</v>
      </c>
      <c r="AE65" s="1">
        <v>1</v>
      </c>
      <c r="AF65" s="1">
        <v>2</v>
      </c>
      <c r="AG65" s="1">
        <v>12</v>
      </c>
      <c r="AH65" s="4">
        <v>2</v>
      </c>
      <c r="AI65" s="1">
        <v>1</v>
      </c>
      <c r="AJ65" s="1">
        <v>1</v>
      </c>
      <c r="AK65" s="4">
        <v>1</v>
      </c>
      <c r="AL65" s="1">
        <v>10</v>
      </c>
      <c r="AM65" s="4">
        <v>1</v>
      </c>
      <c r="AN65" s="1">
        <v>1</v>
      </c>
      <c r="AO65" s="1">
        <v>0</v>
      </c>
      <c r="AP65" s="1">
        <v>0</v>
      </c>
      <c r="AQ65" s="4">
        <v>1</v>
      </c>
      <c r="AR65" s="4">
        <v>0</v>
      </c>
    </row>
    <row r="66" spans="1:44" x14ac:dyDescent="0.3">
      <c r="A66" s="10" t="s">
        <v>678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4">
        <v>1</v>
      </c>
      <c r="L66" s="1">
        <v>1</v>
      </c>
      <c r="M66" s="4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4">
        <v>1</v>
      </c>
      <c r="T66" s="1">
        <v>1</v>
      </c>
      <c r="U66" s="1">
        <v>1</v>
      </c>
      <c r="V66" s="1">
        <v>1</v>
      </c>
      <c r="W66" s="4">
        <v>1</v>
      </c>
      <c r="X66" s="4">
        <v>1</v>
      </c>
      <c r="Y66" s="1">
        <v>1</v>
      </c>
      <c r="Z66" s="1">
        <v>0</v>
      </c>
      <c r="AA66" s="1">
        <v>1</v>
      </c>
      <c r="AB66" s="1">
        <v>1</v>
      </c>
      <c r="AC66" s="1">
        <v>4</v>
      </c>
      <c r="AD66" s="1">
        <v>1</v>
      </c>
      <c r="AE66" s="1">
        <v>1</v>
      </c>
      <c r="AF66" s="1">
        <v>1</v>
      </c>
      <c r="AG66" s="1">
        <v>12</v>
      </c>
      <c r="AH66" s="4">
        <v>1</v>
      </c>
      <c r="AI66" s="1">
        <v>1</v>
      </c>
      <c r="AJ66" s="1">
        <v>1</v>
      </c>
      <c r="AK66" s="4">
        <v>1</v>
      </c>
      <c r="AL66" s="1">
        <v>13</v>
      </c>
      <c r="AM66" s="4">
        <v>1</v>
      </c>
      <c r="AN66" s="1">
        <v>1</v>
      </c>
      <c r="AO66" s="1">
        <v>4</v>
      </c>
      <c r="AP66" s="1">
        <v>0</v>
      </c>
      <c r="AQ66" s="4">
        <v>2</v>
      </c>
      <c r="AR66" s="1">
        <v>1</v>
      </c>
    </row>
    <row r="67" spans="1:44" x14ac:dyDescent="0.3">
      <c r="A67" s="10" t="s">
        <v>679</v>
      </c>
      <c r="B67" s="1">
        <v>1</v>
      </c>
      <c r="C67" s="1">
        <v>2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4">
        <v>1</v>
      </c>
      <c r="L67" s="1">
        <v>1</v>
      </c>
      <c r="M67" s="4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4">
        <v>1</v>
      </c>
      <c r="T67" s="1">
        <v>1</v>
      </c>
      <c r="U67" s="1">
        <v>2</v>
      </c>
      <c r="V67" s="1">
        <v>1</v>
      </c>
      <c r="W67" s="4">
        <v>1</v>
      </c>
      <c r="X67" s="4">
        <v>1</v>
      </c>
      <c r="Y67" s="1">
        <v>0</v>
      </c>
      <c r="Z67" s="1">
        <v>1</v>
      </c>
      <c r="AA67" s="1">
        <v>1</v>
      </c>
      <c r="AB67" s="1">
        <v>1</v>
      </c>
      <c r="AC67" s="1">
        <v>2</v>
      </c>
      <c r="AD67" s="1">
        <v>1</v>
      </c>
      <c r="AE67" s="1">
        <v>1</v>
      </c>
      <c r="AF67" s="1">
        <v>1</v>
      </c>
      <c r="AG67" s="1">
        <v>14</v>
      </c>
      <c r="AH67" s="4">
        <v>1</v>
      </c>
      <c r="AI67" s="1">
        <v>1</v>
      </c>
      <c r="AJ67" s="1">
        <v>1</v>
      </c>
      <c r="AK67" s="4">
        <v>1</v>
      </c>
      <c r="AL67" s="1">
        <v>7</v>
      </c>
      <c r="AM67" s="4">
        <v>1</v>
      </c>
      <c r="AN67" s="1">
        <v>1</v>
      </c>
      <c r="AO67" s="1">
        <v>3</v>
      </c>
      <c r="AP67" s="1">
        <v>1</v>
      </c>
      <c r="AQ67" s="4">
        <v>1</v>
      </c>
      <c r="AR67" s="1">
        <v>1</v>
      </c>
    </row>
    <row r="68" spans="1:44" x14ac:dyDescent="0.3">
      <c r="A68" s="10" t="s">
        <v>680</v>
      </c>
      <c r="B68" s="1">
        <v>2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4">
        <v>1</v>
      </c>
      <c r="L68" s="1">
        <v>1</v>
      </c>
      <c r="M68" s="4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4">
        <v>1</v>
      </c>
      <c r="T68" s="1">
        <v>1</v>
      </c>
      <c r="U68" s="1">
        <v>2</v>
      </c>
      <c r="V68" s="1">
        <v>1</v>
      </c>
      <c r="W68" s="4">
        <v>1</v>
      </c>
      <c r="X68" s="4">
        <v>3</v>
      </c>
      <c r="Y68" s="1">
        <v>1</v>
      </c>
      <c r="Z68" s="1">
        <v>1</v>
      </c>
      <c r="AA68" s="4">
        <v>0</v>
      </c>
      <c r="AB68" s="1">
        <v>1</v>
      </c>
      <c r="AC68" s="1">
        <v>2</v>
      </c>
      <c r="AD68" s="1">
        <v>1</v>
      </c>
      <c r="AE68" s="1">
        <v>1</v>
      </c>
      <c r="AF68" s="1">
        <v>1</v>
      </c>
      <c r="AG68" s="1">
        <v>10</v>
      </c>
      <c r="AH68" s="4">
        <v>1</v>
      </c>
      <c r="AI68" s="1">
        <v>1</v>
      </c>
      <c r="AJ68" s="1">
        <v>1</v>
      </c>
      <c r="AK68" s="4">
        <v>1</v>
      </c>
      <c r="AL68" s="1">
        <v>4</v>
      </c>
      <c r="AM68" s="4">
        <v>1</v>
      </c>
      <c r="AN68" s="1">
        <v>1</v>
      </c>
      <c r="AO68" s="1">
        <v>7</v>
      </c>
      <c r="AP68" s="1">
        <v>1</v>
      </c>
      <c r="AQ68" s="4">
        <v>2</v>
      </c>
      <c r="AR68" s="1">
        <v>1</v>
      </c>
    </row>
    <row r="69" spans="1:44" x14ac:dyDescent="0.3">
      <c r="A69" s="10" t="s">
        <v>681</v>
      </c>
      <c r="B69" s="1">
        <v>1</v>
      </c>
      <c r="C69" s="1">
        <v>2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4">
        <v>1</v>
      </c>
      <c r="L69" s="1">
        <v>1</v>
      </c>
      <c r="M69" s="4">
        <v>1</v>
      </c>
      <c r="N69" s="1">
        <v>1</v>
      </c>
      <c r="O69" s="1">
        <v>1</v>
      </c>
      <c r="P69" s="1">
        <v>1</v>
      </c>
      <c r="Q69" s="1">
        <v>1</v>
      </c>
      <c r="R69" s="1">
        <v>2</v>
      </c>
      <c r="S69" s="4">
        <v>1</v>
      </c>
      <c r="T69" s="1">
        <v>1</v>
      </c>
      <c r="U69" s="1">
        <v>1</v>
      </c>
      <c r="V69" s="1">
        <v>0</v>
      </c>
      <c r="W69" s="4">
        <v>1</v>
      </c>
      <c r="X69" s="4">
        <v>1</v>
      </c>
      <c r="Y69" s="1">
        <v>1</v>
      </c>
      <c r="Z69" s="1">
        <v>1</v>
      </c>
      <c r="AA69" s="1">
        <v>1</v>
      </c>
      <c r="AB69" s="1">
        <v>1</v>
      </c>
      <c r="AC69" s="1">
        <v>2</v>
      </c>
      <c r="AD69" s="1">
        <v>1</v>
      </c>
      <c r="AE69" s="1">
        <v>1</v>
      </c>
      <c r="AF69" s="1">
        <v>1</v>
      </c>
      <c r="AG69" s="1">
        <v>19</v>
      </c>
      <c r="AH69" s="4">
        <v>2</v>
      </c>
      <c r="AI69" s="1">
        <v>1</v>
      </c>
      <c r="AJ69" s="1">
        <v>1</v>
      </c>
      <c r="AK69" s="4">
        <v>1</v>
      </c>
      <c r="AL69" s="1">
        <v>5</v>
      </c>
      <c r="AM69" s="4">
        <v>1</v>
      </c>
      <c r="AN69" s="1">
        <v>1</v>
      </c>
      <c r="AO69" s="1">
        <v>4</v>
      </c>
      <c r="AP69" s="1">
        <v>1</v>
      </c>
      <c r="AQ69" s="4">
        <v>2</v>
      </c>
      <c r="AR69" s="1">
        <v>1</v>
      </c>
    </row>
    <row r="70" spans="1:44" x14ac:dyDescent="0.3">
      <c r="A70" s="10" t="s">
        <v>682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4">
        <v>1</v>
      </c>
      <c r="L70" s="1">
        <v>1</v>
      </c>
      <c r="M70" s="4">
        <v>1</v>
      </c>
      <c r="N70" s="1">
        <v>1</v>
      </c>
      <c r="O70" s="1">
        <v>1</v>
      </c>
      <c r="P70" s="1">
        <v>1</v>
      </c>
      <c r="Q70" s="1">
        <v>1</v>
      </c>
      <c r="R70" s="1">
        <v>2</v>
      </c>
      <c r="S70" s="4">
        <v>1</v>
      </c>
      <c r="T70" s="1">
        <v>1</v>
      </c>
      <c r="U70" s="1">
        <v>0</v>
      </c>
      <c r="V70" s="1">
        <v>1</v>
      </c>
      <c r="W70" s="4">
        <v>1</v>
      </c>
      <c r="X70" s="4">
        <v>2</v>
      </c>
      <c r="Y70" s="1">
        <v>1</v>
      </c>
      <c r="Z70" s="1">
        <v>1</v>
      </c>
      <c r="AA70" s="1">
        <v>1</v>
      </c>
      <c r="AB70" s="1">
        <v>1</v>
      </c>
      <c r="AC70" s="1">
        <v>3</v>
      </c>
      <c r="AD70" s="1">
        <v>1</v>
      </c>
      <c r="AE70" s="1">
        <v>1</v>
      </c>
      <c r="AF70" s="1">
        <v>1</v>
      </c>
      <c r="AG70" s="1">
        <v>14</v>
      </c>
      <c r="AH70" s="4">
        <v>1</v>
      </c>
      <c r="AI70" s="1">
        <v>1</v>
      </c>
      <c r="AJ70" s="1">
        <v>1</v>
      </c>
      <c r="AK70" s="4">
        <v>1</v>
      </c>
      <c r="AL70" s="1">
        <v>4</v>
      </c>
      <c r="AM70" s="4">
        <v>1</v>
      </c>
      <c r="AN70" s="1">
        <v>1</v>
      </c>
      <c r="AO70" s="1">
        <v>5</v>
      </c>
      <c r="AP70" s="1">
        <v>1</v>
      </c>
      <c r="AQ70" s="4">
        <v>4</v>
      </c>
      <c r="AR70" s="1">
        <v>1</v>
      </c>
    </row>
    <row r="71" spans="1:44" x14ac:dyDescent="0.3">
      <c r="A71" s="10" t="s">
        <v>683</v>
      </c>
      <c r="B71" s="1">
        <v>2</v>
      </c>
      <c r="C71" s="1">
        <v>2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4">
        <v>1</v>
      </c>
      <c r="L71" s="1">
        <v>1</v>
      </c>
      <c r="M71" s="4">
        <v>1</v>
      </c>
      <c r="N71" s="1">
        <v>1</v>
      </c>
      <c r="O71" s="1">
        <v>1</v>
      </c>
      <c r="P71" s="1">
        <v>1</v>
      </c>
      <c r="Q71" s="1">
        <v>1</v>
      </c>
      <c r="R71" s="1">
        <v>3</v>
      </c>
      <c r="S71" s="4">
        <v>1</v>
      </c>
      <c r="T71" s="1">
        <v>1</v>
      </c>
      <c r="U71" s="1">
        <v>1</v>
      </c>
      <c r="V71" s="1">
        <v>1</v>
      </c>
      <c r="W71" s="4">
        <v>2</v>
      </c>
      <c r="X71" s="4">
        <v>2</v>
      </c>
      <c r="Y71" s="1">
        <v>1</v>
      </c>
      <c r="Z71" s="1">
        <v>1</v>
      </c>
      <c r="AA71" s="1">
        <v>1</v>
      </c>
      <c r="AB71" s="1">
        <v>1</v>
      </c>
      <c r="AC71" s="1">
        <v>5</v>
      </c>
      <c r="AD71" s="1">
        <v>1</v>
      </c>
      <c r="AE71" s="1">
        <v>1</v>
      </c>
      <c r="AF71" s="1">
        <v>1</v>
      </c>
      <c r="AG71" s="1">
        <v>14</v>
      </c>
      <c r="AH71" s="4">
        <v>1</v>
      </c>
      <c r="AI71" s="1">
        <v>1</v>
      </c>
      <c r="AJ71" s="1">
        <v>1</v>
      </c>
      <c r="AK71" s="4">
        <v>1</v>
      </c>
      <c r="AL71" s="1">
        <v>12</v>
      </c>
      <c r="AM71" s="4">
        <v>1</v>
      </c>
      <c r="AN71" s="1">
        <v>1</v>
      </c>
      <c r="AO71" s="1">
        <v>3</v>
      </c>
      <c r="AP71" s="1">
        <v>1</v>
      </c>
      <c r="AQ71" s="4">
        <v>1</v>
      </c>
      <c r="AR71" s="1">
        <v>1</v>
      </c>
    </row>
    <row r="72" spans="1:44" x14ac:dyDescent="0.3">
      <c r="A72" s="10" t="s">
        <v>684</v>
      </c>
      <c r="B72" s="1">
        <v>1</v>
      </c>
      <c r="C72" s="1">
        <v>2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4">
        <v>1</v>
      </c>
      <c r="L72" s="1">
        <v>1</v>
      </c>
      <c r="M72" s="4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4">
        <v>1</v>
      </c>
      <c r="T72" s="1">
        <v>1</v>
      </c>
      <c r="U72" s="1">
        <v>2</v>
      </c>
      <c r="V72" s="1">
        <v>1</v>
      </c>
      <c r="W72" s="4">
        <v>1</v>
      </c>
      <c r="X72" s="4">
        <v>1</v>
      </c>
      <c r="Y72" s="1">
        <v>1</v>
      </c>
      <c r="Z72" s="1">
        <v>1</v>
      </c>
      <c r="AA72" s="1">
        <v>1</v>
      </c>
      <c r="AB72" s="1">
        <v>1</v>
      </c>
      <c r="AC72" s="1">
        <v>2</v>
      </c>
      <c r="AD72" s="1">
        <v>1</v>
      </c>
      <c r="AE72" s="1">
        <v>1</v>
      </c>
      <c r="AF72" s="1">
        <v>1</v>
      </c>
      <c r="AG72" s="1">
        <v>14</v>
      </c>
      <c r="AH72" s="4">
        <v>1</v>
      </c>
      <c r="AI72" s="1">
        <v>1</v>
      </c>
      <c r="AJ72" s="1">
        <v>1</v>
      </c>
      <c r="AK72" s="4">
        <v>1</v>
      </c>
      <c r="AL72" s="1">
        <v>8</v>
      </c>
      <c r="AM72" s="4">
        <v>1</v>
      </c>
      <c r="AN72" s="1">
        <v>1</v>
      </c>
      <c r="AO72" s="1">
        <v>4</v>
      </c>
      <c r="AP72" s="1">
        <v>3</v>
      </c>
      <c r="AQ72" s="4">
        <v>2</v>
      </c>
      <c r="AR72" s="1">
        <v>1</v>
      </c>
    </row>
    <row r="73" spans="1:44" x14ac:dyDescent="0.3">
      <c r="A73" s="10" t="s">
        <v>685</v>
      </c>
      <c r="B73" s="1">
        <v>1</v>
      </c>
      <c r="C73" s="1">
        <v>2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4">
        <v>1</v>
      </c>
      <c r="L73" s="1">
        <v>1</v>
      </c>
      <c r="M73" s="4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4">
        <v>1</v>
      </c>
      <c r="T73" s="1">
        <v>1</v>
      </c>
      <c r="U73" s="1">
        <v>0</v>
      </c>
      <c r="V73" s="1">
        <v>1</v>
      </c>
      <c r="W73" s="4">
        <v>1</v>
      </c>
      <c r="X73" s="4">
        <v>2</v>
      </c>
      <c r="Y73" s="1">
        <v>1</v>
      </c>
      <c r="Z73" s="1">
        <v>2</v>
      </c>
      <c r="AA73" s="1">
        <v>1</v>
      </c>
      <c r="AB73" s="1">
        <v>1</v>
      </c>
      <c r="AC73" s="1">
        <v>4</v>
      </c>
      <c r="AD73" s="1">
        <v>1</v>
      </c>
      <c r="AE73" s="1">
        <v>1</v>
      </c>
      <c r="AF73" s="1">
        <v>1</v>
      </c>
      <c r="AG73" s="1">
        <v>6</v>
      </c>
      <c r="AH73" s="4">
        <v>4</v>
      </c>
      <c r="AI73" s="1">
        <v>1</v>
      </c>
      <c r="AJ73" s="1">
        <v>1</v>
      </c>
      <c r="AK73" s="4">
        <v>1</v>
      </c>
      <c r="AL73" s="1">
        <v>28</v>
      </c>
      <c r="AM73" s="4">
        <v>1</v>
      </c>
      <c r="AN73" s="1">
        <v>1</v>
      </c>
      <c r="AO73" s="1">
        <v>5</v>
      </c>
      <c r="AP73" s="1">
        <v>2</v>
      </c>
      <c r="AQ73" s="4">
        <v>2</v>
      </c>
      <c r="AR73" s="1">
        <v>1</v>
      </c>
    </row>
    <row r="74" spans="1:44" x14ac:dyDescent="0.3">
      <c r="A74" s="10" t="s">
        <v>686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4">
        <v>1</v>
      </c>
      <c r="L74" s="1">
        <v>1</v>
      </c>
      <c r="M74" s="4">
        <v>1</v>
      </c>
      <c r="N74" s="1">
        <v>1</v>
      </c>
      <c r="O74" s="1">
        <v>1</v>
      </c>
      <c r="P74" s="1">
        <v>1</v>
      </c>
      <c r="Q74" s="1">
        <v>1</v>
      </c>
      <c r="R74" s="1">
        <v>2</v>
      </c>
      <c r="S74" s="4">
        <v>1</v>
      </c>
      <c r="T74" s="1">
        <v>1</v>
      </c>
      <c r="U74" s="1">
        <v>1</v>
      </c>
      <c r="V74" s="1">
        <v>1</v>
      </c>
      <c r="W74" s="4">
        <v>1</v>
      </c>
      <c r="X74" s="4">
        <v>0</v>
      </c>
      <c r="Y74" s="1">
        <v>0</v>
      </c>
      <c r="Z74" s="1">
        <v>0</v>
      </c>
      <c r="AA74" s="1">
        <v>1</v>
      </c>
      <c r="AB74" s="4">
        <v>0</v>
      </c>
      <c r="AC74" s="1">
        <v>5</v>
      </c>
      <c r="AD74" s="1">
        <v>1</v>
      </c>
      <c r="AE74" s="1">
        <v>1</v>
      </c>
      <c r="AF74" s="1">
        <v>1</v>
      </c>
      <c r="AG74" s="1">
        <v>4</v>
      </c>
      <c r="AH74" s="4">
        <v>2</v>
      </c>
      <c r="AI74" s="1">
        <v>1</v>
      </c>
      <c r="AJ74" s="1">
        <v>1</v>
      </c>
      <c r="AK74" s="4">
        <v>1</v>
      </c>
      <c r="AL74" s="1">
        <v>11</v>
      </c>
      <c r="AM74" s="4">
        <v>1</v>
      </c>
      <c r="AN74" s="1">
        <v>1</v>
      </c>
      <c r="AO74" s="1">
        <v>0</v>
      </c>
      <c r="AP74" s="1">
        <v>1</v>
      </c>
      <c r="AQ74" s="4">
        <v>3</v>
      </c>
      <c r="AR74" s="1">
        <v>1</v>
      </c>
    </row>
    <row r="75" spans="1:44" x14ac:dyDescent="0.3">
      <c r="A75" s="10" t="s">
        <v>687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4">
        <v>1</v>
      </c>
      <c r="L75" s="1">
        <v>1</v>
      </c>
      <c r="M75" s="4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4">
        <v>1</v>
      </c>
      <c r="T75" s="1">
        <v>1</v>
      </c>
      <c r="U75" s="1">
        <v>1</v>
      </c>
      <c r="V75" s="1">
        <v>1</v>
      </c>
      <c r="W75" s="4">
        <v>1</v>
      </c>
      <c r="X75" s="4">
        <v>2</v>
      </c>
      <c r="Y75" s="1">
        <v>1</v>
      </c>
      <c r="Z75" s="1">
        <v>1</v>
      </c>
      <c r="AA75" s="4">
        <v>0</v>
      </c>
      <c r="AB75" s="4">
        <v>0</v>
      </c>
      <c r="AC75" s="1">
        <v>1</v>
      </c>
      <c r="AD75" s="1">
        <v>1</v>
      </c>
      <c r="AE75" s="1">
        <v>1</v>
      </c>
      <c r="AF75" s="1">
        <v>1</v>
      </c>
      <c r="AG75" s="1">
        <v>5</v>
      </c>
      <c r="AH75" s="4">
        <v>1</v>
      </c>
      <c r="AI75" s="1">
        <v>1</v>
      </c>
      <c r="AJ75" s="1">
        <v>1</v>
      </c>
      <c r="AK75" s="4">
        <v>1</v>
      </c>
      <c r="AL75" s="1">
        <v>7</v>
      </c>
      <c r="AM75" s="4">
        <v>1</v>
      </c>
      <c r="AN75" s="1">
        <v>1</v>
      </c>
      <c r="AO75" s="1">
        <v>0</v>
      </c>
      <c r="AP75" s="1">
        <v>1</v>
      </c>
      <c r="AQ75" s="4">
        <v>0</v>
      </c>
      <c r="AR75" s="1">
        <v>1</v>
      </c>
    </row>
    <row r="76" spans="1:44" x14ac:dyDescent="0.3">
      <c r="A76" s="10" t="s">
        <v>688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4">
        <v>1</v>
      </c>
      <c r="L76" s="1">
        <v>1</v>
      </c>
      <c r="M76" s="4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4">
        <v>1</v>
      </c>
      <c r="T76" s="1">
        <v>1</v>
      </c>
      <c r="U76" s="1">
        <v>3</v>
      </c>
      <c r="V76" s="1">
        <v>1</v>
      </c>
      <c r="W76" s="4">
        <v>1</v>
      </c>
      <c r="X76" s="4">
        <v>1</v>
      </c>
      <c r="Y76" s="1">
        <v>1</v>
      </c>
      <c r="Z76" s="1">
        <v>1</v>
      </c>
      <c r="AA76" s="1">
        <v>1</v>
      </c>
      <c r="AB76" s="4">
        <v>0</v>
      </c>
      <c r="AC76" s="1">
        <v>4</v>
      </c>
      <c r="AD76" s="1">
        <v>2</v>
      </c>
      <c r="AE76" s="1">
        <v>1</v>
      </c>
      <c r="AF76" s="1">
        <v>2</v>
      </c>
      <c r="AG76" s="1">
        <v>13</v>
      </c>
      <c r="AH76" s="4">
        <v>1</v>
      </c>
      <c r="AI76" s="1">
        <v>1</v>
      </c>
      <c r="AJ76" s="1">
        <v>1</v>
      </c>
      <c r="AK76" s="4">
        <v>1</v>
      </c>
      <c r="AL76" s="1">
        <v>3</v>
      </c>
      <c r="AM76" s="4">
        <v>1</v>
      </c>
      <c r="AN76" s="1">
        <v>0</v>
      </c>
      <c r="AO76" s="1">
        <v>8</v>
      </c>
      <c r="AP76" s="1">
        <v>1</v>
      </c>
      <c r="AQ76" s="4">
        <v>1</v>
      </c>
      <c r="AR76" s="1">
        <v>1</v>
      </c>
    </row>
    <row r="77" spans="1:44" x14ac:dyDescent="0.3">
      <c r="A77" s="10" t="s">
        <v>689</v>
      </c>
      <c r="B77" s="1">
        <v>1</v>
      </c>
      <c r="C77" s="1">
        <v>2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4">
        <v>1</v>
      </c>
      <c r="L77" s="1">
        <v>1</v>
      </c>
      <c r="M77" s="4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4">
        <v>1</v>
      </c>
      <c r="T77" s="1">
        <v>1</v>
      </c>
      <c r="U77" s="1">
        <v>1</v>
      </c>
      <c r="V77" s="1">
        <v>0</v>
      </c>
      <c r="W77" s="4">
        <v>1</v>
      </c>
      <c r="X77" s="4">
        <v>1</v>
      </c>
      <c r="Y77" s="1">
        <v>1</v>
      </c>
      <c r="Z77" s="1">
        <v>1</v>
      </c>
      <c r="AA77" s="4">
        <v>1</v>
      </c>
      <c r="AB77" s="4">
        <v>1</v>
      </c>
      <c r="AC77" s="1">
        <v>2</v>
      </c>
      <c r="AD77" s="1">
        <v>1</v>
      </c>
      <c r="AE77" s="1">
        <v>2</v>
      </c>
      <c r="AF77" s="1">
        <v>1</v>
      </c>
      <c r="AG77" s="1">
        <v>11</v>
      </c>
      <c r="AH77" s="4">
        <v>1</v>
      </c>
      <c r="AI77" s="1">
        <v>1</v>
      </c>
      <c r="AJ77" s="1">
        <v>1</v>
      </c>
      <c r="AK77" s="4">
        <v>1</v>
      </c>
      <c r="AL77" s="1">
        <v>6</v>
      </c>
      <c r="AM77" s="4">
        <v>1</v>
      </c>
      <c r="AN77" s="1">
        <v>1</v>
      </c>
      <c r="AO77" s="1">
        <v>4</v>
      </c>
      <c r="AP77" s="1">
        <v>1</v>
      </c>
      <c r="AQ77" s="4">
        <v>1</v>
      </c>
      <c r="AR77" s="4">
        <v>0</v>
      </c>
    </row>
    <row r="78" spans="1:44" x14ac:dyDescent="0.3">
      <c r="A78" s="10" t="s">
        <v>691</v>
      </c>
      <c r="B78" s="1">
        <v>2</v>
      </c>
      <c r="C78" s="1">
        <v>2</v>
      </c>
      <c r="D78" s="1">
        <v>1</v>
      </c>
      <c r="E78" s="1">
        <v>2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4">
        <v>1</v>
      </c>
      <c r="L78" s="1">
        <v>1</v>
      </c>
      <c r="M78" s="4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4">
        <v>1</v>
      </c>
      <c r="T78" s="1">
        <v>1</v>
      </c>
      <c r="U78" s="1">
        <v>2</v>
      </c>
      <c r="V78" s="1">
        <v>1</v>
      </c>
      <c r="W78" s="4">
        <v>1</v>
      </c>
      <c r="X78" s="4">
        <v>2</v>
      </c>
      <c r="Y78" s="1">
        <v>1</v>
      </c>
      <c r="Z78" s="1">
        <v>1</v>
      </c>
      <c r="AA78" s="4">
        <v>1</v>
      </c>
      <c r="AB78" s="4">
        <v>0</v>
      </c>
      <c r="AC78" s="1">
        <v>4</v>
      </c>
      <c r="AD78" s="1">
        <v>1</v>
      </c>
      <c r="AE78" s="1">
        <v>1</v>
      </c>
      <c r="AF78" s="1">
        <v>1</v>
      </c>
      <c r="AG78" s="1">
        <v>9</v>
      </c>
      <c r="AH78" s="4">
        <v>1</v>
      </c>
      <c r="AI78" s="1">
        <v>1</v>
      </c>
      <c r="AJ78" s="1">
        <v>1</v>
      </c>
      <c r="AK78" s="4">
        <v>1</v>
      </c>
      <c r="AL78" s="1">
        <v>1</v>
      </c>
      <c r="AM78" s="4">
        <v>1</v>
      </c>
      <c r="AN78" s="1">
        <v>1</v>
      </c>
      <c r="AO78" s="1">
        <v>7</v>
      </c>
      <c r="AP78" s="1">
        <v>2</v>
      </c>
      <c r="AQ78" s="4">
        <v>3</v>
      </c>
      <c r="AR78" s="4">
        <v>1</v>
      </c>
    </row>
    <row r="79" spans="1:44" x14ac:dyDescent="0.3">
      <c r="A79" s="10" t="s">
        <v>690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4">
        <v>1</v>
      </c>
      <c r="L79" s="1">
        <v>1</v>
      </c>
      <c r="M79" s="4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4">
        <v>1</v>
      </c>
      <c r="T79" s="1">
        <v>1</v>
      </c>
      <c r="U79" s="1">
        <v>2</v>
      </c>
      <c r="V79" s="1">
        <v>1</v>
      </c>
      <c r="W79" s="4">
        <v>1</v>
      </c>
      <c r="X79" s="4">
        <v>1</v>
      </c>
      <c r="Y79" s="1">
        <v>1</v>
      </c>
      <c r="Z79" s="1">
        <v>1</v>
      </c>
      <c r="AA79" s="4">
        <v>0</v>
      </c>
      <c r="AB79" s="4">
        <v>1</v>
      </c>
      <c r="AC79" s="1">
        <v>4</v>
      </c>
      <c r="AD79" s="1">
        <v>1</v>
      </c>
      <c r="AE79" s="1">
        <v>1</v>
      </c>
      <c r="AF79" s="1">
        <v>1</v>
      </c>
      <c r="AG79" s="1">
        <v>14</v>
      </c>
      <c r="AH79" s="4">
        <v>1</v>
      </c>
      <c r="AI79" s="1">
        <v>1</v>
      </c>
      <c r="AJ79" s="1">
        <v>1</v>
      </c>
      <c r="AK79" s="4">
        <v>1</v>
      </c>
      <c r="AL79" s="1">
        <v>11</v>
      </c>
      <c r="AM79" s="4">
        <v>2</v>
      </c>
      <c r="AN79" s="1">
        <v>1</v>
      </c>
      <c r="AO79" s="1">
        <v>6</v>
      </c>
      <c r="AP79" s="1">
        <v>1</v>
      </c>
      <c r="AQ79" s="4">
        <v>2</v>
      </c>
      <c r="AR79" s="4">
        <v>1</v>
      </c>
    </row>
    <row r="80" spans="1:44" x14ac:dyDescent="0.3">
      <c r="A80" s="10" t="s">
        <v>694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4">
        <v>1</v>
      </c>
      <c r="L80" s="1">
        <v>1</v>
      </c>
      <c r="M80" s="4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4">
        <v>1</v>
      </c>
      <c r="T80" s="1">
        <v>1</v>
      </c>
      <c r="U80" s="1">
        <v>1</v>
      </c>
      <c r="V80" s="1">
        <v>1</v>
      </c>
      <c r="W80" s="4">
        <v>1</v>
      </c>
      <c r="X80" s="4">
        <v>2</v>
      </c>
      <c r="Y80" s="1">
        <v>0</v>
      </c>
      <c r="Z80" s="1">
        <v>1</v>
      </c>
      <c r="AA80" s="4">
        <v>1</v>
      </c>
      <c r="AB80" s="4">
        <v>0</v>
      </c>
      <c r="AC80" s="1">
        <v>1</v>
      </c>
      <c r="AD80" s="1">
        <v>1</v>
      </c>
      <c r="AE80" s="1">
        <v>1</v>
      </c>
      <c r="AF80" s="1">
        <v>1</v>
      </c>
      <c r="AG80" s="1">
        <v>9</v>
      </c>
      <c r="AH80" s="4">
        <v>1</v>
      </c>
      <c r="AI80" s="1">
        <v>1</v>
      </c>
      <c r="AJ80" s="1">
        <v>1</v>
      </c>
      <c r="AK80" s="4">
        <v>1</v>
      </c>
      <c r="AL80" s="1">
        <v>1</v>
      </c>
      <c r="AM80" s="4">
        <v>1</v>
      </c>
      <c r="AN80" s="1">
        <v>1</v>
      </c>
      <c r="AO80" s="1">
        <v>5</v>
      </c>
      <c r="AP80" s="1">
        <v>1</v>
      </c>
      <c r="AQ80" s="4">
        <v>1</v>
      </c>
      <c r="AR80" s="4">
        <v>0</v>
      </c>
    </row>
    <row r="81" spans="1:44" x14ac:dyDescent="0.3">
      <c r="A81" s="10" t="s">
        <v>693</v>
      </c>
      <c r="B81" s="1">
        <v>1</v>
      </c>
      <c r="C81" s="1">
        <v>2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4">
        <v>1</v>
      </c>
      <c r="L81" s="1">
        <v>1</v>
      </c>
      <c r="M81" s="4">
        <v>1</v>
      </c>
      <c r="N81" s="1">
        <v>1</v>
      </c>
      <c r="O81" s="1">
        <v>1</v>
      </c>
      <c r="P81" s="1">
        <v>1</v>
      </c>
      <c r="Q81" s="1">
        <v>1</v>
      </c>
      <c r="R81" s="1">
        <v>2</v>
      </c>
      <c r="S81" s="4">
        <v>1</v>
      </c>
      <c r="T81" s="1">
        <v>1</v>
      </c>
      <c r="U81" s="1">
        <v>1</v>
      </c>
      <c r="V81" s="1">
        <v>1</v>
      </c>
      <c r="W81" s="4">
        <v>1</v>
      </c>
      <c r="X81" s="4">
        <v>1</v>
      </c>
      <c r="Y81" s="1">
        <v>1</v>
      </c>
      <c r="Z81" s="1">
        <v>1</v>
      </c>
      <c r="AA81" s="4">
        <v>1</v>
      </c>
      <c r="AB81" s="4">
        <v>1</v>
      </c>
      <c r="AC81" s="1">
        <v>1</v>
      </c>
      <c r="AD81" s="1">
        <v>1</v>
      </c>
      <c r="AE81" s="1">
        <v>3</v>
      </c>
      <c r="AF81" s="1">
        <v>1</v>
      </c>
      <c r="AG81" s="1">
        <v>13</v>
      </c>
      <c r="AH81" s="4">
        <v>1</v>
      </c>
      <c r="AI81" s="1">
        <v>1</v>
      </c>
      <c r="AJ81" s="1">
        <v>1</v>
      </c>
      <c r="AK81" s="4">
        <v>1</v>
      </c>
      <c r="AL81" s="1">
        <v>3</v>
      </c>
      <c r="AM81" s="4">
        <v>1</v>
      </c>
      <c r="AN81" s="1">
        <v>0</v>
      </c>
      <c r="AO81" s="1">
        <v>3</v>
      </c>
      <c r="AP81" s="1">
        <v>3</v>
      </c>
      <c r="AQ81" s="4">
        <v>1</v>
      </c>
      <c r="AR81" s="4">
        <v>0</v>
      </c>
    </row>
    <row r="82" spans="1:44" x14ac:dyDescent="0.3">
      <c r="A82" s="10" t="s">
        <v>692</v>
      </c>
      <c r="B82" s="1">
        <v>1</v>
      </c>
      <c r="C82" s="1">
        <v>2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4">
        <v>1</v>
      </c>
      <c r="L82" s="1">
        <v>1</v>
      </c>
      <c r="M82" s="4">
        <v>1</v>
      </c>
      <c r="N82" s="1">
        <v>1</v>
      </c>
      <c r="O82" s="1">
        <v>1</v>
      </c>
      <c r="P82" s="1">
        <v>1</v>
      </c>
      <c r="Q82" s="1">
        <v>1</v>
      </c>
      <c r="R82" s="1">
        <v>2</v>
      </c>
      <c r="S82" s="4">
        <v>0</v>
      </c>
      <c r="T82" s="1">
        <v>1</v>
      </c>
      <c r="U82" s="1">
        <v>1</v>
      </c>
      <c r="V82" s="1">
        <v>1</v>
      </c>
      <c r="W82" s="4">
        <v>1</v>
      </c>
      <c r="X82" s="4">
        <v>1</v>
      </c>
      <c r="Y82" s="1">
        <v>0</v>
      </c>
      <c r="Z82" s="1">
        <v>1</v>
      </c>
      <c r="AA82" s="4">
        <v>1</v>
      </c>
      <c r="AB82" s="4">
        <v>0</v>
      </c>
      <c r="AC82" s="1">
        <v>1</v>
      </c>
      <c r="AD82" s="1">
        <v>1</v>
      </c>
      <c r="AE82" s="1">
        <v>1</v>
      </c>
      <c r="AF82" s="1">
        <v>1</v>
      </c>
      <c r="AG82" s="1">
        <v>8</v>
      </c>
      <c r="AH82" s="4">
        <v>1</v>
      </c>
      <c r="AI82" s="1">
        <v>1</v>
      </c>
      <c r="AJ82" s="1">
        <v>1</v>
      </c>
      <c r="AK82" s="4">
        <v>1</v>
      </c>
      <c r="AL82" s="1">
        <v>2</v>
      </c>
      <c r="AM82" s="4">
        <v>1</v>
      </c>
      <c r="AN82" s="1">
        <v>1</v>
      </c>
      <c r="AO82" s="1">
        <v>6</v>
      </c>
      <c r="AP82" s="1">
        <v>1</v>
      </c>
      <c r="AQ82" s="4">
        <v>0</v>
      </c>
      <c r="AR82" s="4">
        <v>1</v>
      </c>
    </row>
    <row r="83" spans="1:44" x14ac:dyDescent="0.3">
      <c r="A83" s="10" t="s">
        <v>695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4">
        <v>1</v>
      </c>
      <c r="L83" s="1">
        <v>1</v>
      </c>
      <c r="M83" s="4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4">
        <v>1</v>
      </c>
      <c r="T83" s="1">
        <v>0</v>
      </c>
      <c r="U83" s="1">
        <v>3</v>
      </c>
      <c r="V83" s="1">
        <v>1</v>
      </c>
      <c r="W83" s="4">
        <v>1</v>
      </c>
      <c r="X83" s="4">
        <v>1</v>
      </c>
      <c r="Y83" s="1">
        <v>0</v>
      </c>
      <c r="Z83" s="1">
        <v>1</v>
      </c>
      <c r="AA83" s="4">
        <v>0</v>
      </c>
      <c r="AB83" s="4">
        <v>1</v>
      </c>
      <c r="AC83" s="1">
        <v>4</v>
      </c>
      <c r="AD83" s="1">
        <v>1</v>
      </c>
      <c r="AE83" s="1">
        <v>1</v>
      </c>
      <c r="AF83" s="1">
        <v>1</v>
      </c>
      <c r="AG83" s="1">
        <v>17</v>
      </c>
      <c r="AH83" s="4">
        <v>1</v>
      </c>
      <c r="AI83" s="1">
        <v>1</v>
      </c>
      <c r="AJ83" s="1">
        <v>1</v>
      </c>
      <c r="AK83" s="4">
        <v>1</v>
      </c>
      <c r="AL83" s="1">
        <v>9</v>
      </c>
      <c r="AM83" s="4">
        <v>1</v>
      </c>
      <c r="AN83" s="1">
        <v>1</v>
      </c>
      <c r="AO83" s="1">
        <v>4</v>
      </c>
      <c r="AP83" s="1">
        <v>0</v>
      </c>
      <c r="AQ83" s="4">
        <v>2</v>
      </c>
      <c r="AR83" s="4">
        <v>1</v>
      </c>
    </row>
    <row r="84" spans="1:44" x14ac:dyDescent="0.3">
      <c r="A84" s="10" t="s">
        <v>696</v>
      </c>
      <c r="B84" s="1">
        <v>1</v>
      </c>
      <c r="C84" s="1">
        <v>2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4">
        <v>1</v>
      </c>
      <c r="L84" s="1">
        <v>1</v>
      </c>
      <c r="M84" s="4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4">
        <v>1</v>
      </c>
      <c r="T84" s="1">
        <v>1</v>
      </c>
      <c r="U84" s="1">
        <v>2</v>
      </c>
      <c r="V84" s="1">
        <v>1</v>
      </c>
      <c r="W84" s="4">
        <v>1</v>
      </c>
      <c r="X84" s="4">
        <v>1</v>
      </c>
      <c r="Y84" s="1">
        <v>1</v>
      </c>
      <c r="Z84" s="1">
        <v>1</v>
      </c>
      <c r="AA84" s="4">
        <v>1</v>
      </c>
      <c r="AB84" s="4">
        <v>0</v>
      </c>
      <c r="AC84" s="1">
        <v>4</v>
      </c>
      <c r="AD84" s="1">
        <v>1</v>
      </c>
      <c r="AE84" s="1">
        <v>1</v>
      </c>
      <c r="AF84" s="1">
        <v>1</v>
      </c>
      <c r="AG84" s="1">
        <v>19</v>
      </c>
      <c r="AH84" s="4">
        <v>1</v>
      </c>
      <c r="AI84" s="1">
        <v>1</v>
      </c>
      <c r="AJ84" s="1">
        <v>1</v>
      </c>
      <c r="AK84" s="4">
        <v>1</v>
      </c>
      <c r="AL84" s="1">
        <v>4</v>
      </c>
      <c r="AM84" s="4">
        <v>1</v>
      </c>
      <c r="AN84" s="1">
        <v>1</v>
      </c>
      <c r="AO84" s="1">
        <v>10</v>
      </c>
      <c r="AP84" s="1">
        <v>1</v>
      </c>
      <c r="AQ84" s="4">
        <v>19</v>
      </c>
      <c r="AR84" s="4">
        <v>1</v>
      </c>
    </row>
    <row r="85" spans="1:44" x14ac:dyDescent="0.3">
      <c r="A85" s="10" t="s">
        <v>697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4">
        <v>1</v>
      </c>
      <c r="L85" s="1">
        <v>1</v>
      </c>
      <c r="M85" s="4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4">
        <v>1</v>
      </c>
      <c r="T85" s="1">
        <v>1</v>
      </c>
      <c r="U85" s="1">
        <v>1</v>
      </c>
      <c r="V85" s="1">
        <v>1</v>
      </c>
      <c r="W85" s="4">
        <v>1</v>
      </c>
      <c r="X85" s="4">
        <v>1</v>
      </c>
      <c r="Y85" s="1">
        <v>1</v>
      </c>
      <c r="Z85" s="1">
        <v>1</v>
      </c>
      <c r="AA85" s="4">
        <v>0</v>
      </c>
      <c r="AB85" s="4">
        <v>1</v>
      </c>
      <c r="AC85" s="1">
        <v>3</v>
      </c>
      <c r="AD85" s="1">
        <v>2</v>
      </c>
      <c r="AE85" s="1">
        <v>1</v>
      </c>
      <c r="AF85" s="1">
        <v>1</v>
      </c>
      <c r="AG85" s="1">
        <v>9</v>
      </c>
      <c r="AH85" s="4">
        <v>1</v>
      </c>
      <c r="AI85" s="1">
        <v>1</v>
      </c>
      <c r="AJ85" s="1">
        <v>1</v>
      </c>
      <c r="AK85" s="4">
        <v>1</v>
      </c>
      <c r="AL85" s="1">
        <v>2</v>
      </c>
      <c r="AM85" s="4">
        <v>1</v>
      </c>
      <c r="AN85" s="1">
        <v>0</v>
      </c>
      <c r="AO85" s="1">
        <v>4</v>
      </c>
      <c r="AP85" s="1">
        <v>1</v>
      </c>
      <c r="AQ85" s="4">
        <v>1</v>
      </c>
      <c r="AR85" s="4">
        <v>1</v>
      </c>
    </row>
    <row r="86" spans="1:44" x14ac:dyDescent="0.3">
      <c r="A86" s="10" t="s">
        <v>698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4">
        <v>1</v>
      </c>
      <c r="L86" s="1">
        <v>1</v>
      </c>
      <c r="M86" s="4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4">
        <v>1</v>
      </c>
      <c r="T86" s="1">
        <v>1</v>
      </c>
      <c r="U86" s="1">
        <v>1</v>
      </c>
      <c r="V86" s="1">
        <v>1</v>
      </c>
      <c r="W86" s="4">
        <v>1</v>
      </c>
      <c r="X86" s="4">
        <v>1</v>
      </c>
      <c r="Y86" s="1">
        <v>1</v>
      </c>
      <c r="Z86" s="1">
        <v>0</v>
      </c>
      <c r="AA86" s="4">
        <v>1</v>
      </c>
      <c r="AB86" s="4">
        <v>1</v>
      </c>
      <c r="AC86" s="1">
        <v>5</v>
      </c>
      <c r="AD86" s="1">
        <v>2</v>
      </c>
      <c r="AE86" s="1">
        <v>1</v>
      </c>
      <c r="AF86" s="1">
        <v>1</v>
      </c>
      <c r="AG86" s="1">
        <v>16</v>
      </c>
      <c r="AH86" s="4">
        <v>1</v>
      </c>
      <c r="AI86" s="1">
        <v>1</v>
      </c>
      <c r="AJ86" s="1">
        <v>1</v>
      </c>
      <c r="AK86" s="4">
        <v>1</v>
      </c>
      <c r="AL86" s="1">
        <v>5</v>
      </c>
      <c r="AM86" s="4">
        <v>1</v>
      </c>
      <c r="AN86" s="1">
        <v>1</v>
      </c>
      <c r="AO86" s="1">
        <v>4</v>
      </c>
      <c r="AP86" s="1">
        <v>1</v>
      </c>
      <c r="AQ86" s="4">
        <v>2</v>
      </c>
      <c r="AR86" s="4">
        <v>1</v>
      </c>
    </row>
    <row r="87" spans="1:44" x14ac:dyDescent="0.3">
      <c r="A87" s="10" t="s">
        <v>699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4">
        <v>1</v>
      </c>
      <c r="L87" s="1">
        <v>1</v>
      </c>
      <c r="M87" s="4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4">
        <v>0</v>
      </c>
      <c r="T87" s="1">
        <v>1</v>
      </c>
      <c r="U87" s="1">
        <v>1</v>
      </c>
      <c r="V87" s="1">
        <v>1</v>
      </c>
      <c r="W87" s="4">
        <v>1</v>
      </c>
      <c r="X87" s="4">
        <v>2</v>
      </c>
      <c r="Y87" s="1">
        <v>0</v>
      </c>
      <c r="Z87" s="1">
        <v>1</v>
      </c>
      <c r="AA87" s="4">
        <v>0</v>
      </c>
      <c r="AB87" s="4">
        <v>1</v>
      </c>
      <c r="AC87" s="1">
        <v>3</v>
      </c>
      <c r="AD87" s="1">
        <v>1</v>
      </c>
      <c r="AE87" s="1">
        <v>1</v>
      </c>
      <c r="AF87" s="1">
        <v>1</v>
      </c>
      <c r="AG87" s="1">
        <v>13</v>
      </c>
      <c r="AH87" s="4">
        <v>1</v>
      </c>
      <c r="AI87" s="1">
        <v>1</v>
      </c>
      <c r="AJ87" s="1">
        <v>1</v>
      </c>
      <c r="AK87" s="4">
        <v>1</v>
      </c>
      <c r="AL87" s="1">
        <v>3</v>
      </c>
      <c r="AM87" s="4">
        <v>1</v>
      </c>
      <c r="AN87" s="1">
        <v>1</v>
      </c>
      <c r="AO87" s="1">
        <v>5</v>
      </c>
      <c r="AP87" s="1">
        <v>1</v>
      </c>
      <c r="AQ87" s="4">
        <v>1</v>
      </c>
      <c r="AR87" s="4">
        <v>1</v>
      </c>
    </row>
    <row r="88" spans="1:44" x14ac:dyDescent="0.3">
      <c r="A88" s="10" t="s">
        <v>700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4">
        <v>1</v>
      </c>
      <c r="L88" s="1">
        <v>1</v>
      </c>
      <c r="M88" s="4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4">
        <v>1</v>
      </c>
      <c r="T88" s="1">
        <v>1</v>
      </c>
      <c r="U88" s="1">
        <v>3</v>
      </c>
      <c r="V88" s="1">
        <v>1</v>
      </c>
      <c r="W88" s="4">
        <v>1</v>
      </c>
      <c r="X88" s="4">
        <v>1</v>
      </c>
      <c r="Y88" s="1">
        <v>1</v>
      </c>
      <c r="Z88" s="1">
        <v>1</v>
      </c>
      <c r="AA88" s="4">
        <v>0</v>
      </c>
      <c r="AB88" s="4">
        <v>0</v>
      </c>
      <c r="AC88" s="1">
        <v>1</v>
      </c>
      <c r="AD88" s="1">
        <v>1</v>
      </c>
      <c r="AE88" s="1">
        <v>1</v>
      </c>
      <c r="AF88" s="1">
        <v>1</v>
      </c>
      <c r="AG88" s="1">
        <v>7</v>
      </c>
      <c r="AH88" s="4">
        <v>1</v>
      </c>
      <c r="AI88" s="1">
        <v>1</v>
      </c>
      <c r="AJ88" s="1">
        <v>1</v>
      </c>
      <c r="AK88" s="4">
        <v>1</v>
      </c>
      <c r="AL88" s="1">
        <v>4</v>
      </c>
      <c r="AM88" s="4">
        <v>1</v>
      </c>
      <c r="AN88" s="1">
        <v>1</v>
      </c>
      <c r="AO88" s="1">
        <v>9</v>
      </c>
      <c r="AP88" s="1">
        <v>2</v>
      </c>
      <c r="AQ88" s="4">
        <v>2</v>
      </c>
      <c r="AR88" s="4">
        <v>0</v>
      </c>
    </row>
    <row r="89" spans="1:44" x14ac:dyDescent="0.3">
      <c r="A89" s="10" t="s">
        <v>702</v>
      </c>
      <c r="B89" s="1">
        <v>2</v>
      </c>
      <c r="C89" s="1">
        <v>2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4">
        <v>1</v>
      </c>
      <c r="L89" s="1">
        <v>1</v>
      </c>
      <c r="M89" s="4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4">
        <v>1</v>
      </c>
      <c r="T89" s="1">
        <v>1</v>
      </c>
      <c r="U89" s="1">
        <v>4</v>
      </c>
      <c r="V89" s="1">
        <v>1</v>
      </c>
      <c r="W89" s="4">
        <v>2</v>
      </c>
      <c r="X89" s="4">
        <v>2</v>
      </c>
      <c r="Y89" s="1">
        <v>0</v>
      </c>
      <c r="Z89" s="1">
        <v>1</v>
      </c>
      <c r="AA89" s="4">
        <v>1</v>
      </c>
      <c r="AB89" s="4">
        <v>1</v>
      </c>
      <c r="AC89" s="1">
        <v>4</v>
      </c>
      <c r="AD89" s="1">
        <v>1</v>
      </c>
      <c r="AE89" s="1">
        <v>1</v>
      </c>
      <c r="AF89" s="1">
        <v>1</v>
      </c>
      <c r="AG89" s="1">
        <v>16</v>
      </c>
      <c r="AH89" s="4">
        <v>1</v>
      </c>
      <c r="AI89" s="1">
        <v>1</v>
      </c>
      <c r="AJ89" s="1">
        <v>1</v>
      </c>
      <c r="AK89" s="4">
        <v>1</v>
      </c>
      <c r="AL89" s="1">
        <v>3</v>
      </c>
      <c r="AM89" s="4">
        <v>1</v>
      </c>
      <c r="AN89" s="1">
        <v>1</v>
      </c>
      <c r="AO89" s="1">
        <v>3</v>
      </c>
      <c r="AP89" s="1">
        <v>1</v>
      </c>
      <c r="AQ89" s="4">
        <v>1</v>
      </c>
      <c r="AR89" s="4">
        <v>1</v>
      </c>
    </row>
    <row r="90" spans="1:44" x14ac:dyDescent="0.3">
      <c r="A90" s="10" t="s">
        <v>701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4">
        <v>1</v>
      </c>
      <c r="L90" s="1">
        <v>2</v>
      </c>
      <c r="M90" s="4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4">
        <v>1</v>
      </c>
      <c r="T90" s="1">
        <v>1</v>
      </c>
      <c r="U90" s="1">
        <v>1</v>
      </c>
      <c r="V90" s="1">
        <v>1</v>
      </c>
      <c r="W90" s="4">
        <v>1</v>
      </c>
      <c r="X90" s="4">
        <v>1</v>
      </c>
      <c r="Y90" s="1">
        <v>1</v>
      </c>
      <c r="Z90" s="1">
        <v>1</v>
      </c>
      <c r="AA90" s="4">
        <v>0</v>
      </c>
      <c r="AB90" s="4">
        <v>1</v>
      </c>
      <c r="AC90" s="1">
        <v>4</v>
      </c>
      <c r="AD90" s="1">
        <v>1</v>
      </c>
      <c r="AE90" s="1">
        <v>1</v>
      </c>
      <c r="AF90" s="1">
        <v>1</v>
      </c>
      <c r="AG90" s="1">
        <v>14</v>
      </c>
      <c r="AH90" s="4">
        <v>2</v>
      </c>
      <c r="AI90" s="1">
        <v>1</v>
      </c>
      <c r="AJ90" s="1">
        <v>1</v>
      </c>
      <c r="AK90" s="4">
        <v>1</v>
      </c>
      <c r="AL90" s="1">
        <v>6</v>
      </c>
      <c r="AM90" s="4">
        <v>1</v>
      </c>
      <c r="AN90" s="1">
        <v>1</v>
      </c>
      <c r="AO90" s="1">
        <v>7</v>
      </c>
      <c r="AP90" s="1">
        <v>1</v>
      </c>
      <c r="AQ90" s="4">
        <v>1</v>
      </c>
      <c r="AR90" s="4">
        <v>1</v>
      </c>
    </row>
    <row r="91" spans="1:44" x14ac:dyDescent="0.3">
      <c r="A91" s="10" t="s">
        <v>703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4">
        <v>1</v>
      </c>
      <c r="L91" s="1">
        <v>1</v>
      </c>
      <c r="M91" s="4">
        <v>1</v>
      </c>
      <c r="N91" s="1">
        <v>1</v>
      </c>
      <c r="O91" s="1">
        <v>1</v>
      </c>
      <c r="P91" s="1">
        <v>1</v>
      </c>
      <c r="Q91" s="1">
        <v>1</v>
      </c>
      <c r="R91" s="1">
        <v>2</v>
      </c>
      <c r="S91" s="4">
        <v>1</v>
      </c>
      <c r="T91" s="1">
        <v>1</v>
      </c>
      <c r="U91" s="1">
        <v>0</v>
      </c>
      <c r="V91" s="1">
        <v>1</v>
      </c>
      <c r="W91" s="4">
        <v>1</v>
      </c>
      <c r="X91" s="4">
        <v>0</v>
      </c>
      <c r="Y91" s="1">
        <v>0</v>
      </c>
      <c r="Z91" s="1">
        <v>0</v>
      </c>
      <c r="AA91" s="4">
        <v>1</v>
      </c>
      <c r="AB91" s="4">
        <v>0</v>
      </c>
      <c r="AC91" s="1">
        <v>3</v>
      </c>
      <c r="AD91" s="1">
        <v>1</v>
      </c>
      <c r="AE91" s="1">
        <v>1</v>
      </c>
      <c r="AF91" s="1">
        <v>1</v>
      </c>
      <c r="AG91" s="1">
        <v>5</v>
      </c>
      <c r="AH91" s="4">
        <v>1</v>
      </c>
      <c r="AI91" s="1">
        <v>1</v>
      </c>
      <c r="AJ91" s="1">
        <v>1</v>
      </c>
      <c r="AK91" s="4">
        <v>1</v>
      </c>
      <c r="AL91" s="1">
        <v>2</v>
      </c>
      <c r="AM91" s="4">
        <v>1</v>
      </c>
      <c r="AN91" s="1">
        <v>1</v>
      </c>
      <c r="AO91" s="1">
        <v>0</v>
      </c>
      <c r="AP91" s="1">
        <v>1</v>
      </c>
      <c r="AQ91" s="4">
        <v>0</v>
      </c>
      <c r="AR91" s="4">
        <v>0</v>
      </c>
    </row>
    <row r="92" spans="1:44" x14ac:dyDescent="0.3">
      <c r="A92" s="10" t="s">
        <v>704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4">
        <v>1</v>
      </c>
      <c r="L92" s="1">
        <v>1</v>
      </c>
      <c r="M92" s="4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4">
        <v>1</v>
      </c>
      <c r="T92" s="1">
        <v>1</v>
      </c>
      <c r="U92" s="1">
        <v>1</v>
      </c>
      <c r="V92" s="1">
        <v>1</v>
      </c>
      <c r="W92" s="4">
        <v>1</v>
      </c>
      <c r="X92" s="4">
        <v>1</v>
      </c>
      <c r="Y92" s="1">
        <v>0</v>
      </c>
      <c r="Z92" s="1">
        <v>1</v>
      </c>
      <c r="AA92" s="4">
        <v>1</v>
      </c>
      <c r="AB92" s="4">
        <v>1</v>
      </c>
      <c r="AC92" s="1">
        <v>2</v>
      </c>
      <c r="AD92" s="1">
        <v>1</v>
      </c>
      <c r="AE92" s="1">
        <v>1</v>
      </c>
      <c r="AF92" s="1">
        <v>1</v>
      </c>
      <c r="AG92" s="1">
        <v>11</v>
      </c>
      <c r="AH92" s="4">
        <v>2</v>
      </c>
      <c r="AI92" s="1">
        <v>1</v>
      </c>
      <c r="AJ92" s="1">
        <v>1</v>
      </c>
      <c r="AK92" s="4">
        <v>1</v>
      </c>
      <c r="AL92" s="1">
        <v>0</v>
      </c>
      <c r="AM92" s="4">
        <v>1</v>
      </c>
      <c r="AN92" s="1">
        <v>1</v>
      </c>
      <c r="AO92" s="1">
        <v>5</v>
      </c>
      <c r="AP92" s="1">
        <v>0</v>
      </c>
      <c r="AQ92" s="4">
        <v>0</v>
      </c>
      <c r="AR92" s="4">
        <v>1</v>
      </c>
    </row>
    <row r="93" spans="1:44" x14ac:dyDescent="0.3">
      <c r="A93" s="10" t="s">
        <v>705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4">
        <v>1</v>
      </c>
      <c r="L93" s="1">
        <v>1</v>
      </c>
      <c r="M93" s="4">
        <v>1</v>
      </c>
      <c r="N93" s="1">
        <v>1</v>
      </c>
      <c r="O93" s="1">
        <v>1</v>
      </c>
      <c r="P93" s="1">
        <v>1</v>
      </c>
      <c r="Q93" s="1">
        <v>0</v>
      </c>
      <c r="R93" s="1">
        <v>1</v>
      </c>
      <c r="S93" s="4">
        <v>1</v>
      </c>
      <c r="T93" s="1">
        <v>1</v>
      </c>
      <c r="U93" s="1">
        <v>0</v>
      </c>
      <c r="V93" s="1">
        <v>0</v>
      </c>
      <c r="W93" s="4">
        <v>1</v>
      </c>
      <c r="X93" s="4">
        <v>1</v>
      </c>
      <c r="Y93" s="1">
        <v>1</v>
      </c>
      <c r="Z93" s="1">
        <v>1</v>
      </c>
      <c r="AA93" s="4">
        <v>1</v>
      </c>
      <c r="AB93" s="4">
        <v>1</v>
      </c>
      <c r="AC93" s="1">
        <v>2</v>
      </c>
      <c r="AD93" s="1">
        <v>1</v>
      </c>
      <c r="AE93" s="1">
        <v>1</v>
      </c>
      <c r="AF93" s="1">
        <v>1</v>
      </c>
      <c r="AG93" s="1">
        <v>4</v>
      </c>
      <c r="AH93" s="4">
        <v>1</v>
      </c>
      <c r="AI93" s="1">
        <v>1</v>
      </c>
      <c r="AJ93" s="1">
        <v>1</v>
      </c>
      <c r="AK93" s="4">
        <v>1</v>
      </c>
      <c r="AL93" s="1">
        <v>1</v>
      </c>
      <c r="AM93" s="4">
        <v>1</v>
      </c>
      <c r="AN93" s="1">
        <v>0</v>
      </c>
      <c r="AO93" s="1">
        <v>4</v>
      </c>
      <c r="AP93" s="1">
        <v>1</v>
      </c>
      <c r="AQ93" s="4">
        <v>0</v>
      </c>
      <c r="AR93" s="4">
        <v>0</v>
      </c>
    </row>
    <row r="94" spans="1:44" x14ac:dyDescent="0.3">
      <c r="A94" s="10" t="s">
        <v>706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4">
        <v>1</v>
      </c>
      <c r="L94" s="1">
        <v>1</v>
      </c>
      <c r="M94" s="4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4">
        <v>1</v>
      </c>
      <c r="T94" s="1">
        <v>1</v>
      </c>
      <c r="U94" s="1">
        <v>2</v>
      </c>
      <c r="V94" s="1">
        <v>1</v>
      </c>
      <c r="W94" s="4">
        <v>1</v>
      </c>
      <c r="X94" s="4">
        <v>1</v>
      </c>
      <c r="Y94" s="1">
        <v>1</v>
      </c>
      <c r="Z94" s="1">
        <v>1</v>
      </c>
      <c r="AA94" s="4">
        <v>1</v>
      </c>
      <c r="AB94" s="4">
        <v>0</v>
      </c>
      <c r="AC94" s="1">
        <v>2</v>
      </c>
      <c r="AD94" s="1">
        <v>1</v>
      </c>
      <c r="AE94" s="1">
        <v>1</v>
      </c>
      <c r="AF94" s="1">
        <v>1</v>
      </c>
      <c r="AG94" s="1">
        <v>10</v>
      </c>
      <c r="AH94" s="4">
        <v>1</v>
      </c>
      <c r="AI94" s="1">
        <v>1</v>
      </c>
      <c r="AJ94" s="1">
        <v>1</v>
      </c>
      <c r="AK94" s="4">
        <v>2</v>
      </c>
      <c r="AL94" s="1">
        <v>3</v>
      </c>
      <c r="AM94" s="4">
        <v>1</v>
      </c>
      <c r="AN94" s="1">
        <v>1</v>
      </c>
      <c r="AO94" s="1">
        <v>3</v>
      </c>
      <c r="AP94" s="1">
        <v>1</v>
      </c>
      <c r="AQ94" s="4">
        <v>4</v>
      </c>
      <c r="AR94" s="4">
        <v>0</v>
      </c>
    </row>
    <row r="95" spans="1:44" x14ac:dyDescent="0.3">
      <c r="A95" s="10" t="s">
        <v>707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4">
        <v>1</v>
      </c>
      <c r="L95" s="1">
        <v>1</v>
      </c>
      <c r="M95" s="4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4">
        <v>1</v>
      </c>
      <c r="T95" s="1">
        <v>1</v>
      </c>
      <c r="U95" s="1">
        <v>1</v>
      </c>
      <c r="V95" s="1">
        <v>1</v>
      </c>
      <c r="W95" s="4">
        <v>1</v>
      </c>
      <c r="X95" s="4">
        <v>1</v>
      </c>
      <c r="Y95" s="1">
        <v>0</v>
      </c>
      <c r="Z95" s="1">
        <v>1</v>
      </c>
      <c r="AA95" s="4">
        <v>1</v>
      </c>
      <c r="AB95" s="4">
        <v>1</v>
      </c>
      <c r="AC95" s="1">
        <v>2</v>
      </c>
      <c r="AD95" s="1">
        <v>1</v>
      </c>
      <c r="AE95" s="1">
        <v>1</v>
      </c>
      <c r="AF95" s="1">
        <v>1</v>
      </c>
      <c r="AG95" s="1">
        <v>1</v>
      </c>
      <c r="AH95" s="4">
        <v>1</v>
      </c>
      <c r="AI95" s="1">
        <v>1</v>
      </c>
      <c r="AJ95" s="1">
        <v>1</v>
      </c>
      <c r="AK95" s="4">
        <v>1</v>
      </c>
      <c r="AL95" s="1">
        <v>3</v>
      </c>
      <c r="AM95" s="4">
        <v>1</v>
      </c>
      <c r="AN95" s="1">
        <v>1</v>
      </c>
      <c r="AO95" s="1">
        <v>7</v>
      </c>
      <c r="AP95" s="1">
        <v>0</v>
      </c>
      <c r="AQ95" s="4">
        <v>2</v>
      </c>
      <c r="AR95" s="4">
        <v>1</v>
      </c>
    </row>
    <row r="96" spans="1:44" x14ac:dyDescent="0.3">
      <c r="A96" s="10" t="s">
        <v>708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4">
        <v>1</v>
      </c>
      <c r="L96" s="1">
        <v>1</v>
      </c>
      <c r="M96" s="4">
        <v>1</v>
      </c>
      <c r="N96" s="1">
        <v>1</v>
      </c>
      <c r="O96" s="1">
        <v>1</v>
      </c>
      <c r="P96" s="1">
        <v>1</v>
      </c>
      <c r="Q96" s="1">
        <v>1</v>
      </c>
      <c r="R96" s="1">
        <v>0</v>
      </c>
      <c r="S96" s="4">
        <v>1</v>
      </c>
      <c r="T96" s="1">
        <v>1</v>
      </c>
      <c r="U96" s="1">
        <v>2</v>
      </c>
      <c r="V96" s="1">
        <v>1</v>
      </c>
      <c r="W96" s="4">
        <v>1</v>
      </c>
      <c r="X96" s="4">
        <v>4</v>
      </c>
      <c r="Y96" s="1">
        <v>1</v>
      </c>
      <c r="Z96" s="1">
        <v>1</v>
      </c>
      <c r="AA96" s="4">
        <v>1</v>
      </c>
      <c r="AB96" s="4">
        <v>1</v>
      </c>
      <c r="AC96" s="1">
        <v>2</v>
      </c>
      <c r="AD96" s="1">
        <v>1</v>
      </c>
      <c r="AE96" s="1">
        <v>1</v>
      </c>
      <c r="AF96" s="1">
        <v>1</v>
      </c>
      <c r="AG96" s="1">
        <v>6</v>
      </c>
      <c r="AH96" s="4">
        <v>2</v>
      </c>
      <c r="AI96" s="1">
        <v>1</v>
      </c>
      <c r="AJ96" s="1">
        <v>1</v>
      </c>
      <c r="AK96" s="4">
        <v>1</v>
      </c>
      <c r="AL96" s="1">
        <v>24</v>
      </c>
      <c r="AM96" s="4">
        <v>1</v>
      </c>
      <c r="AN96" s="1">
        <v>1</v>
      </c>
      <c r="AO96" s="1">
        <v>2</v>
      </c>
      <c r="AP96" s="1">
        <v>0</v>
      </c>
      <c r="AQ96" s="4">
        <v>1</v>
      </c>
      <c r="AR96" s="4">
        <v>0</v>
      </c>
    </row>
    <row r="97" spans="1:55" x14ac:dyDescent="0.3">
      <c r="A97" s="10" t="s">
        <v>709</v>
      </c>
      <c r="B97" s="1">
        <v>2</v>
      </c>
      <c r="C97" s="1">
        <v>2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4">
        <v>1</v>
      </c>
      <c r="L97" s="1">
        <v>1</v>
      </c>
      <c r="M97" s="4">
        <v>1</v>
      </c>
      <c r="N97" s="1">
        <v>1</v>
      </c>
      <c r="O97" s="1">
        <v>1</v>
      </c>
      <c r="P97" s="1">
        <v>1</v>
      </c>
      <c r="Q97" s="1">
        <v>1</v>
      </c>
      <c r="R97" s="1">
        <v>0</v>
      </c>
      <c r="S97" s="4">
        <v>1</v>
      </c>
      <c r="T97" s="1">
        <v>1</v>
      </c>
      <c r="U97" s="1">
        <v>0</v>
      </c>
      <c r="V97" s="1">
        <v>1</v>
      </c>
      <c r="W97" s="4">
        <v>0</v>
      </c>
      <c r="X97" s="4">
        <v>0</v>
      </c>
      <c r="Y97" s="1">
        <v>1</v>
      </c>
      <c r="Z97" s="1">
        <v>0</v>
      </c>
      <c r="AA97" s="4">
        <v>1</v>
      </c>
      <c r="AB97" s="4">
        <v>1</v>
      </c>
      <c r="AC97" s="1">
        <v>3</v>
      </c>
      <c r="AD97" s="1">
        <v>1</v>
      </c>
      <c r="AE97" s="1">
        <v>1</v>
      </c>
      <c r="AF97" s="1">
        <v>1</v>
      </c>
      <c r="AG97" s="1">
        <v>7</v>
      </c>
      <c r="AH97" s="4">
        <v>1</v>
      </c>
      <c r="AI97" s="1">
        <v>1</v>
      </c>
      <c r="AJ97" s="1">
        <v>1</v>
      </c>
      <c r="AK97" s="4">
        <v>1</v>
      </c>
      <c r="AL97" s="1">
        <v>5</v>
      </c>
      <c r="AM97" s="4">
        <v>1</v>
      </c>
      <c r="AN97" s="1">
        <v>1</v>
      </c>
      <c r="AO97" s="1">
        <v>0</v>
      </c>
      <c r="AP97" s="1">
        <v>1</v>
      </c>
      <c r="AQ97" s="4">
        <v>1</v>
      </c>
      <c r="AR97" s="4">
        <v>0</v>
      </c>
    </row>
    <row r="98" spans="1:55" x14ac:dyDescent="0.3">
      <c r="A98" s="10" t="s">
        <v>710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4">
        <v>1</v>
      </c>
      <c r="L98" s="1">
        <v>1</v>
      </c>
      <c r="M98" s="4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4">
        <v>1</v>
      </c>
      <c r="T98" s="1">
        <v>1</v>
      </c>
      <c r="U98" s="1">
        <v>1</v>
      </c>
      <c r="V98" s="1">
        <v>1</v>
      </c>
      <c r="W98" s="4">
        <v>1</v>
      </c>
      <c r="X98" s="4">
        <v>2</v>
      </c>
      <c r="Y98" s="1">
        <v>1</v>
      </c>
      <c r="Z98" s="1">
        <v>1</v>
      </c>
      <c r="AA98" s="4">
        <v>1</v>
      </c>
      <c r="AB98" s="4">
        <v>0</v>
      </c>
      <c r="AC98" s="1">
        <v>2</v>
      </c>
      <c r="AD98" s="1">
        <v>1</v>
      </c>
      <c r="AE98" s="1">
        <v>1</v>
      </c>
      <c r="AF98" s="1">
        <v>1</v>
      </c>
      <c r="AG98" s="1">
        <v>10</v>
      </c>
      <c r="AH98" s="4">
        <v>1</v>
      </c>
      <c r="AI98" s="1">
        <v>1</v>
      </c>
      <c r="AJ98" s="1">
        <v>1</v>
      </c>
      <c r="AK98" s="4">
        <v>2</v>
      </c>
      <c r="AL98" s="1">
        <v>116</v>
      </c>
      <c r="AM98" s="4">
        <v>1</v>
      </c>
      <c r="AN98" s="1">
        <v>1</v>
      </c>
      <c r="AO98" s="1">
        <v>3</v>
      </c>
      <c r="AP98" s="1">
        <v>1</v>
      </c>
      <c r="AQ98" s="4">
        <v>1</v>
      </c>
      <c r="AR98" s="4">
        <v>1</v>
      </c>
    </row>
    <row r="99" spans="1:55" x14ac:dyDescent="0.3">
      <c r="A99" s="10" t="s">
        <v>711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4">
        <v>1</v>
      </c>
      <c r="L99" s="1">
        <v>1</v>
      </c>
      <c r="M99" s="4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4">
        <v>1</v>
      </c>
      <c r="T99" s="1">
        <v>1</v>
      </c>
      <c r="U99" s="1">
        <v>1</v>
      </c>
      <c r="V99" s="1">
        <v>0</v>
      </c>
      <c r="W99" s="4">
        <v>1</v>
      </c>
      <c r="X99" s="4">
        <v>1</v>
      </c>
      <c r="Y99" s="1">
        <v>1</v>
      </c>
      <c r="Z99" s="1">
        <v>0</v>
      </c>
      <c r="AA99" s="4">
        <v>1</v>
      </c>
      <c r="AB99" s="4">
        <v>0</v>
      </c>
      <c r="AC99" s="1">
        <v>2</v>
      </c>
      <c r="AD99" s="1">
        <v>1</v>
      </c>
      <c r="AE99" s="1">
        <v>1</v>
      </c>
      <c r="AF99" s="1">
        <v>1</v>
      </c>
      <c r="AG99" s="1">
        <v>5</v>
      </c>
      <c r="AH99" s="4">
        <v>1</v>
      </c>
      <c r="AI99" s="1">
        <v>1</v>
      </c>
      <c r="AJ99" s="1">
        <v>1</v>
      </c>
      <c r="AK99" s="4">
        <v>1</v>
      </c>
      <c r="AL99" s="1">
        <v>4</v>
      </c>
      <c r="AM99" s="4">
        <v>1</v>
      </c>
      <c r="AN99" s="1">
        <v>1</v>
      </c>
      <c r="AO99" s="1">
        <v>3</v>
      </c>
      <c r="AP99" s="1">
        <v>1</v>
      </c>
      <c r="AQ99" s="4">
        <v>2</v>
      </c>
      <c r="AR99" s="4">
        <v>0</v>
      </c>
    </row>
    <row r="100" spans="1:55" x14ac:dyDescent="0.3">
      <c r="A100" s="10" t="s">
        <v>712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4">
        <v>1</v>
      </c>
      <c r="L100" s="1">
        <v>1</v>
      </c>
      <c r="M100" s="4">
        <v>1</v>
      </c>
      <c r="N100" s="1">
        <v>2</v>
      </c>
      <c r="O100" s="1">
        <v>1</v>
      </c>
      <c r="P100" s="1">
        <v>1</v>
      </c>
      <c r="Q100" s="1">
        <v>1</v>
      </c>
      <c r="R100" s="1">
        <v>2</v>
      </c>
      <c r="S100" s="4">
        <v>1</v>
      </c>
      <c r="T100" s="1">
        <v>1</v>
      </c>
      <c r="U100" s="1">
        <v>1</v>
      </c>
      <c r="V100" s="1">
        <v>0</v>
      </c>
      <c r="W100" s="4">
        <v>1</v>
      </c>
      <c r="X100" s="4">
        <v>3</v>
      </c>
      <c r="Y100" s="1">
        <v>1</v>
      </c>
      <c r="Z100" s="1">
        <v>0</v>
      </c>
      <c r="AA100" s="4">
        <v>1</v>
      </c>
      <c r="AB100" s="4">
        <v>2</v>
      </c>
      <c r="AC100" s="1">
        <v>5</v>
      </c>
      <c r="AD100" s="1">
        <v>1</v>
      </c>
      <c r="AE100" s="1">
        <v>1</v>
      </c>
      <c r="AF100" s="1">
        <v>1</v>
      </c>
      <c r="AG100" s="1">
        <v>8</v>
      </c>
      <c r="AH100" s="4">
        <v>1</v>
      </c>
      <c r="AI100" s="1">
        <v>1</v>
      </c>
      <c r="AJ100" s="1">
        <v>1</v>
      </c>
      <c r="AK100" s="4">
        <v>1</v>
      </c>
      <c r="AL100" s="1">
        <v>1</v>
      </c>
      <c r="AM100" s="4">
        <v>1</v>
      </c>
      <c r="AN100" s="1">
        <v>0</v>
      </c>
      <c r="AO100" s="1">
        <v>6</v>
      </c>
      <c r="AP100" s="1">
        <v>1</v>
      </c>
      <c r="AQ100" s="4">
        <v>2</v>
      </c>
      <c r="AR100" s="4">
        <v>0</v>
      </c>
    </row>
    <row r="101" spans="1:55" x14ac:dyDescent="0.3">
      <c r="A101" s="10" t="s">
        <v>713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4">
        <v>1</v>
      </c>
      <c r="L101" s="1">
        <v>1</v>
      </c>
      <c r="M101" s="4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4">
        <v>1</v>
      </c>
      <c r="T101" s="1">
        <v>1</v>
      </c>
      <c r="U101" s="1">
        <v>1</v>
      </c>
      <c r="V101" s="1">
        <v>1</v>
      </c>
      <c r="W101" s="4">
        <v>0</v>
      </c>
      <c r="X101" s="4">
        <v>2</v>
      </c>
      <c r="Y101" s="1">
        <v>1</v>
      </c>
      <c r="Z101" s="1">
        <v>0</v>
      </c>
      <c r="AA101" s="4">
        <v>1</v>
      </c>
      <c r="AB101" s="4">
        <v>1</v>
      </c>
      <c r="AC101" s="1">
        <v>2</v>
      </c>
      <c r="AD101" s="1">
        <v>1</v>
      </c>
      <c r="AE101" s="1">
        <v>1</v>
      </c>
      <c r="AF101" s="1">
        <v>1</v>
      </c>
      <c r="AG101" s="1">
        <v>13</v>
      </c>
      <c r="AH101" s="4">
        <v>1</v>
      </c>
      <c r="AI101" s="1">
        <v>1</v>
      </c>
      <c r="AJ101" s="1">
        <v>1</v>
      </c>
      <c r="AK101" s="4">
        <v>1</v>
      </c>
      <c r="AL101" s="1">
        <v>7</v>
      </c>
      <c r="AM101" s="4">
        <v>1</v>
      </c>
      <c r="AN101" s="1">
        <v>1</v>
      </c>
      <c r="AO101" s="1">
        <v>4</v>
      </c>
      <c r="AP101" s="1">
        <v>1</v>
      </c>
      <c r="AQ101" s="4">
        <v>2</v>
      </c>
      <c r="AR101" s="4">
        <v>1</v>
      </c>
    </row>
    <row r="103" spans="1:55" x14ac:dyDescent="0.3">
      <c r="B103" s="4"/>
      <c r="C103" s="4"/>
      <c r="D103" s="4"/>
      <c r="E103" s="4"/>
      <c r="F103" s="4"/>
    </row>
    <row r="104" spans="1:55" ht="17.399999999999999" x14ac:dyDescent="0.45">
      <c r="A104" s="7" t="s">
        <v>550</v>
      </c>
      <c r="B104" s="4">
        <f>COUNTIF(B2:B101,0)</f>
        <v>0</v>
      </c>
      <c r="C104" s="4">
        <f>COUNTIF(C2:C101,0)</f>
        <v>0</v>
      </c>
      <c r="D104" s="4">
        <f>COUNTIF(D2:D101,0)</f>
        <v>0</v>
      </c>
      <c r="E104" s="4">
        <f t="shared" ref="E104:M104" si="0">COUNTIF(E2:E101,0)</f>
        <v>0</v>
      </c>
      <c r="F104" s="4">
        <f t="shared" si="0"/>
        <v>0</v>
      </c>
      <c r="G104" s="4">
        <f t="shared" si="0"/>
        <v>0</v>
      </c>
      <c r="H104" s="4">
        <f t="shared" si="0"/>
        <v>0</v>
      </c>
      <c r="I104" s="4">
        <f t="shared" si="0"/>
        <v>0</v>
      </c>
      <c r="J104" s="4">
        <f t="shared" si="0"/>
        <v>0</v>
      </c>
      <c r="K104" s="4">
        <f t="shared" si="0"/>
        <v>0</v>
      </c>
      <c r="L104" s="4">
        <f t="shared" si="0"/>
        <v>0</v>
      </c>
      <c r="M104" s="4">
        <f t="shared" si="0"/>
        <v>0</v>
      </c>
      <c r="N104" s="4">
        <f t="shared" ref="N104:AR104" si="1">COUNTIF(N2:N101,0)</f>
        <v>0</v>
      </c>
      <c r="O104" s="4">
        <f t="shared" si="1"/>
        <v>0</v>
      </c>
      <c r="P104" s="4">
        <f t="shared" si="1"/>
        <v>0</v>
      </c>
      <c r="Q104" s="4">
        <f t="shared" si="1"/>
        <v>3</v>
      </c>
      <c r="R104" s="4">
        <f>COUNTIF(R2:R101,0)</f>
        <v>3</v>
      </c>
      <c r="S104" s="4">
        <f>COUNTIF(S2:S101,0)</f>
        <v>4</v>
      </c>
      <c r="T104" s="4">
        <f t="shared" si="1"/>
        <v>4</v>
      </c>
      <c r="U104" s="4">
        <f t="shared" si="1"/>
        <v>6</v>
      </c>
      <c r="V104" s="4">
        <f>COUNTIF(V2:V101,0)</f>
        <v>7</v>
      </c>
      <c r="W104" s="4">
        <f t="shared" si="1"/>
        <v>10</v>
      </c>
      <c r="X104" s="4">
        <f t="shared" si="1"/>
        <v>10</v>
      </c>
      <c r="Y104" s="4">
        <f>COUNTIF(Y2:Y101,0)</f>
        <v>11</v>
      </c>
      <c r="Z104" s="4">
        <f>COUNTIF(Z2:Z101,0)</f>
        <v>13</v>
      </c>
      <c r="AA104" s="4">
        <f t="shared" si="1"/>
        <v>17</v>
      </c>
      <c r="AB104" s="4">
        <f t="shared" si="1"/>
        <v>18</v>
      </c>
      <c r="AC104" s="4">
        <f t="shared" si="1"/>
        <v>0</v>
      </c>
      <c r="AD104" s="4">
        <f t="shared" si="1"/>
        <v>0</v>
      </c>
      <c r="AE104" s="4">
        <f t="shared" si="1"/>
        <v>0</v>
      </c>
      <c r="AF104" s="4">
        <f t="shared" si="1"/>
        <v>0</v>
      </c>
      <c r="AG104" s="4">
        <f t="shared" si="1"/>
        <v>0</v>
      </c>
      <c r="AH104" s="4">
        <f t="shared" si="1"/>
        <v>0</v>
      </c>
      <c r="AI104" s="4">
        <f t="shared" si="1"/>
        <v>0</v>
      </c>
      <c r="AJ104" s="4">
        <f t="shared" si="1"/>
        <v>0</v>
      </c>
      <c r="AK104" s="4">
        <f t="shared" si="1"/>
        <v>1</v>
      </c>
      <c r="AL104" s="4">
        <f>COUNTIF(AL2:AL101,0)</f>
        <v>2</v>
      </c>
      <c r="AM104" s="4">
        <f>COUNTIF(AM2:AM101,0)</f>
        <v>3</v>
      </c>
      <c r="AN104" s="4">
        <f>COUNTIF(AN2:AN101,0)</f>
        <v>6</v>
      </c>
      <c r="AO104" s="4">
        <f>COUNTIF(AO2:AO101,0)</f>
        <v>7</v>
      </c>
      <c r="AP104" s="4">
        <f t="shared" si="1"/>
        <v>8</v>
      </c>
      <c r="AQ104" s="4">
        <f t="shared" si="1"/>
        <v>11</v>
      </c>
      <c r="AR104" s="4">
        <f t="shared" si="1"/>
        <v>20</v>
      </c>
    </row>
    <row r="105" spans="1:55" x14ac:dyDescent="0.3">
      <c r="A105" s="8" t="s">
        <v>551</v>
      </c>
      <c r="B105" s="1">
        <f t="shared" ref="B105:C105" si="2">((100-B104)/100)*100</f>
        <v>100</v>
      </c>
      <c r="C105" s="1">
        <f t="shared" si="2"/>
        <v>100</v>
      </c>
      <c r="D105" s="1">
        <f t="shared" ref="D105:F105" si="3">((100-D104)/100)*100</f>
        <v>100</v>
      </c>
      <c r="E105" s="1">
        <f t="shared" si="3"/>
        <v>100</v>
      </c>
      <c r="F105" s="1">
        <f t="shared" si="3"/>
        <v>100</v>
      </c>
      <c r="G105" s="1">
        <f t="shared" ref="G105:O105" si="4">((100-G104)/100)*100</f>
        <v>100</v>
      </c>
      <c r="H105" s="1">
        <f t="shared" si="4"/>
        <v>100</v>
      </c>
      <c r="I105" s="1">
        <f t="shared" si="4"/>
        <v>100</v>
      </c>
      <c r="J105" s="1">
        <f t="shared" si="4"/>
        <v>100</v>
      </c>
      <c r="K105" s="1">
        <f t="shared" si="4"/>
        <v>100</v>
      </c>
      <c r="L105" s="1">
        <f t="shared" si="4"/>
        <v>100</v>
      </c>
      <c r="M105" s="1">
        <f t="shared" si="4"/>
        <v>100</v>
      </c>
      <c r="N105" s="1">
        <f t="shared" si="4"/>
        <v>100</v>
      </c>
      <c r="O105" s="1">
        <f t="shared" si="4"/>
        <v>100</v>
      </c>
      <c r="P105" s="1">
        <f t="shared" ref="P105:AR105" si="5">((100-P104)/100)*100</f>
        <v>100</v>
      </c>
      <c r="Q105" s="1">
        <f t="shared" si="5"/>
        <v>97</v>
      </c>
      <c r="R105" s="1">
        <f>((100-R104)/100)*100</f>
        <v>97</v>
      </c>
      <c r="S105" s="1">
        <f>((100-S104)/100)*100</f>
        <v>96</v>
      </c>
      <c r="T105" s="1">
        <f t="shared" si="5"/>
        <v>96</v>
      </c>
      <c r="U105" s="1">
        <f t="shared" si="5"/>
        <v>94</v>
      </c>
      <c r="V105" s="1">
        <f>((100-V104)/100)*100</f>
        <v>93</v>
      </c>
      <c r="W105" s="1">
        <f t="shared" si="5"/>
        <v>90</v>
      </c>
      <c r="X105" s="1">
        <f t="shared" si="5"/>
        <v>90</v>
      </c>
      <c r="Y105" s="1">
        <f>((100-Y104)/100)*100</f>
        <v>89</v>
      </c>
      <c r="Z105" s="1">
        <f>((100-Z104)/100)*100</f>
        <v>87</v>
      </c>
      <c r="AA105" s="1">
        <f t="shared" si="5"/>
        <v>83</v>
      </c>
      <c r="AB105" s="1">
        <f t="shared" si="5"/>
        <v>82</v>
      </c>
      <c r="AC105" s="1">
        <f t="shared" si="5"/>
        <v>100</v>
      </c>
      <c r="AD105" s="1">
        <f t="shared" si="5"/>
        <v>100</v>
      </c>
      <c r="AE105" s="1">
        <f t="shared" si="5"/>
        <v>100</v>
      </c>
      <c r="AF105" s="1">
        <f t="shared" si="5"/>
        <v>100</v>
      </c>
      <c r="AG105" s="1">
        <f t="shared" si="5"/>
        <v>100</v>
      </c>
      <c r="AH105" s="1">
        <f t="shared" si="5"/>
        <v>100</v>
      </c>
      <c r="AI105" s="1">
        <f t="shared" si="5"/>
        <v>100</v>
      </c>
      <c r="AJ105" s="1">
        <f t="shared" si="5"/>
        <v>100</v>
      </c>
      <c r="AK105" s="1">
        <f t="shared" si="5"/>
        <v>99</v>
      </c>
      <c r="AL105" s="1">
        <f>((100-AL104)/100)*100</f>
        <v>98</v>
      </c>
      <c r="AM105" s="1">
        <f>((100-AM104)/100)*100</f>
        <v>97</v>
      </c>
      <c r="AN105" s="1">
        <f>((100-AN104)/100)*100</f>
        <v>94</v>
      </c>
      <c r="AO105" s="1">
        <f>((100-AO104)/100)*100</f>
        <v>93</v>
      </c>
      <c r="AP105" s="1">
        <f t="shared" si="5"/>
        <v>92</v>
      </c>
      <c r="AQ105" s="1">
        <f t="shared" si="5"/>
        <v>89</v>
      </c>
      <c r="AR105" s="1">
        <f t="shared" si="5"/>
        <v>80</v>
      </c>
    </row>
    <row r="106" spans="1:55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s="1" customFormat="1" x14ac:dyDescent="0.3">
      <c r="A107" s="1" t="s">
        <v>714</v>
      </c>
      <c r="B107" s="1">
        <f>B105/100</f>
        <v>1</v>
      </c>
      <c r="C107" s="1">
        <f>C105/100</f>
        <v>1</v>
      </c>
      <c r="D107" s="1">
        <f>D105/100</f>
        <v>1</v>
      </c>
      <c r="E107" s="1">
        <f t="shared" ref="E107:M107" si="6">E105/100</f>
        <v>1</v>
      </c>
      <c r="F107" s="1">
        <f t="shared" si="6"/>
        <v>1</v>
      </c>
      <c r="G107" s="1">
        <f t="shared" si="6"/>
        <v>1</v>
      </c>
      <c r="H107" s="1">
        <f t="shared" si="6"/>
        <v>1</v>
      </c>
      <c r="I107" s="1">
        <f t="shared" si="6"/>
        <v>1</v>
      </c>
      <c r="J107" s="1">
        <f t="shared" si="6"/>
        <v>1</v>
      </c>
      <c r="K107" s="1">
        <f t="shared" si="6"/>
        <v>1</v>
      </c>
      <c r="L107" s="1">
        <f t="shared" si="6"/>
        <v>1</v>
      </c>
      <c r="M107" s="1">
        <f t="shared" si="6"/>
        <v>1</v>
      </c>
      <c r="N107" s="1">
        <f t="shared" ref="N107:AR107" si="7">N105/100</f>
        <v>1</v>
      </c>
      <c r="O107" s="1">
        <f t="shared" si="7"/>
        <v>1</v>
      </c>
      <c r="P107" s="1">
        <f t="shared" si="7"/>
        <v>1</v>
      </c>
      <c r="Q107" s="1">
        <f t="shared" si="7"/>
        <v>0.97</v>
      </c>
      <c r="R107" s="1">
        <f>R105/100</f>
        <v>0.97</v>
      </c>
      <c r="S107" s="1">
        <f>S105/100</f>
        <v>0.96</v>
      </c>
      <c r="T107" s="1">
        <f t="shared" si="7"/>
        <v>0.96</v>
      </c>
      <c r="U107" s="1">
        <f t="shared" si="7"/>
        <v>0.94</v>
      </c>
      <c r="V107" s="1">
        <f>V105/100</f>
        <v>0.93</v>
      </c>
      <c r="W107" s="1">
        <f t="shared" si="7"/>
        <v>0.9</v>
      </c>
      <c r="X107" s="1">
        <f t="shared" si="7"/>
        <v>0.9</v>
      </c>
      <c r="Y107" s="1">
        <f>Y105/100</f>
        <v>0.89</v>
      </c>
      <c r="Z107" s="1">
        <f>Z105/100</f>
        <v>0.87</v>
      </c>
      <c r="AA107" s="1">
        <f t="shared" si="7"/>
        <v>0.83</v>
      </c>
      <c r="AB107" s="1">
        <f t="shared" si="7"/>
        <v>0.82</v>
      </c>
      <c r="AC107" s="1">
        <f t="shared" si="7"/>
        <v>1</v>
      </c>
      <c r="AD107" s="1">
        <f t="shared" si="7"/>
        <v>1</v>
      </c>
      <c r="AE107" s="1">
        <f t="shared" si="7"/>
        <v>1</v>
      </c>
      <c r="AF107" s="1">
        <f t="shared" si="7"/>
        <v>1</v>
      </c>
      <c r="AG107" s="1">
        <f t="shared" si="7"/>
        <v>1</v>
      </c>
      <c r="AH107" s="1">
        <f t="shared" si="7"/>
        <v>1</v>
      </c>
      <c r="AI107" s="1">
        <f t="shared" si="7"/>
        <v>1</v>
      </c>
      <c r="AJ107" s="1">
        <f t="shared" si="7"/>
        <v>1</v>
      </c>
      <c r="AK107" s="1">
        <f t="shared" si="7"/>
        <v>0.99</v>
      </c>
      <c r="AL107" s="1">
        <f>AL105/100</f>
        <v>0.98</v>
      </c>
      <c r="AM107" s="1">
        <f>AM105/100</f>
        <v>0.97</v>
      </c>
      <c r="AN107" s="1">
        <f>AN105/100</f>
        <v>0.94</v>
      </c>
      <c r="AO107" s="1">
        <f>AO105/100</f>
        <v>0.93</v>
      </c>
      <c r="AP107" s="1">
        <f t="shared" si="7"/>
        <v>0.92</v>
      </c>
      <c r="AQ107" s="1">
        <f t="shared" si="7"/>
        <v>0.89</v>
      </c>
      <c r="AR107" s="1">
        <f t="shared" si="7"/>
        <v>0.8</v>
      </c>
    </row>
    <row r="108" spans="1:55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2:55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2:55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2:55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2:55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2:55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2:55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2:55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2:55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2:55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2:55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2:55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2:55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2:55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2:55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2:55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2:55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2:55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2:55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2:55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2:55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2:55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2:55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2:55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2:55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2:55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2:55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2:55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2:55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2:55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2:55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2:55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2:55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2:55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2:55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2:55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2:55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2:55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2:55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2:55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2:55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2:55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2:55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2:55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2:55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2:55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2:55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2:55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2:55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2:55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2:55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2:55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2:55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2:55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2:55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2:55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2:55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2:55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2:55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2:55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2:55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2:55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55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55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55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x14ac:dyDescent="0.3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x14ac:dyDescent="0.3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x14ac:dyDescent="0.3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x14ac:dyDescent="0.3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x14ac:dyDescent="0.3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x14ac:dyDescent="0.3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x14ac:dyDescent="0.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x14ac:dyDescent="0.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x14ac:dyDescent="0.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x14ac:dyDescent="0.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x14ac:dyDescent="0.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x14ac:dyDescent="0.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x14ac:dyDescent="0.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x14ac:dyDescent="0.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x14ac:dyDescent="0.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x14ac:dyDescent="0.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x14ac:dyDescent="0.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x14ac:dyDescent="0.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x14ac:dyDescent="0.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x14ac:dyDescent="0.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x14ac:dyDescent="0.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x14ac:dyDescent="0.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x14ac:dyDescent="0.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x14ac:dyDescent="0.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x14ac:dyDescent="0.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x14ac:dyDescent="0.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x14ac:dyDescent="0.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x14ac:dyDescent="0.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x14ac:dyDescent="0.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x14ac:dyDescent="0.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x14ac:dyDescent="0.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x14ac:dyDescent="0.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x14ac:dyDescent="0.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x14ac:dyDescent="0.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x14ac:dyDescent="0.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x14ac:dyDescent="0.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x14ac:dyDescent="0.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x14ac:dyDescent="0.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x14ac:dyDescent="0.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x14ac:dyDescent="0.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x14ac:dyDescent="0.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x14ac:dyDescent="0.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x14ac:dyDescent="0.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x14ac:dyDescent="0.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x14ac:dyDescent="0.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x14ac:dyDescent="0.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x14ac:dyDescent="0.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x14ac:dyDescent="0.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x14ac:dyDescent="0.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x14ac:dyDescent="0.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x14ac:dyDescent="0.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x14ac:dyDescent="0.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x14ac:dyDescent="0.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x14ac:dyDescent="0.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x14ac:dyDescent="0.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x14ac:dyDescent="0.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x14ac:dyDescent="0.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x14ac:dyDescent="0.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x14ac:dyDescent="0.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x14ac:dyDescent="0.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x14ac:dyDescent="0.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x14ac:dyDescent="0.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x14ac:dyDescent="0.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</sheetData>
  <hyperlinks>
    <hyperlink ref="B1" r:id="rId1" tooltip="Property:P214" display="https://www.wikidata.org/wiki/Property:P214" xr:uid="{C1564D65-2BDF-47BC-A4D0-E19A0439F422}"/>
    <hyperlink ref="C1" r:id="rId2" tooltip="Property:P213" display="https://www.wikidata.org/wiki/Property:P213" xr:uid="{C15A1062-5CAC-4BF4-B87A-6A58AF63FABF}"/>
    <hyperlink ref="F1" r:id="rId3" tooltip="Property:P6782" display="https://www.wikidata.org/wiki/Property:P6782" xr:uid="{F7AC1DE3-9206-4DF2-B701-1E3328356A9A}"/>
    <hyperlink ref="D1" r:id="rId4" tooltip="Property:P8189" display="https://www.wikidata.org/wiki/Property:P8189" xr:uid="{FEF5935F-CF7B-4EB1-A0C6-00821794CECC}"/>
    <hyperlink ref="E1" r:id="rId5" tooltip="Property:P244" display="https://www.wikidata.org/wiki/Property:P244" xr:uid="{3DF2C32C-D3C8-421D-94B2-261F0759129C}"/>
    <hyperlink ref="G1" r:id="rId6" tooltip="Property:P269" display="https://www.wikidata.org/wiki/Property:P269" xr:uid="{6C8AABEA-2728-4729-AC62-A863D621B07B}"/>
    <hyperlink ref="H1" r:id="rId7" tooltip="Property:P5242" display="https://www.wikidata.org/wiki/Property:P5242" xr:uid="{64A1EF5A-0A31-4EF3-913D-66BD2EAFEB5F}"/>
    <hyperlink ref="I1" r:id="rId8" tooltip="Property:P646" display="https://www.wikidata.org/wiki/Property:P646" xr:uid="{7B84D27A-B801-414C-B99A-A858CEF3FD18}"/>
    <hyperlink ref="J1" r:id="rId9" tooltip="Property:P2427" display="https://www.wikidata.org/wiki/Property:P2427" xr:uid="{EFF79D89-1D7E-49FE-9D05-1C32D249BA67}"/>
    <hyperlink ref="K1" r:id="rId10" tooltip="Property:P6366" display="https://www.wikidata.org/wiki/Property:P6366" xr:uid="{F8847A1A-423F-404C-A468-C9C772038F4B}"/>
    <hyperlink ref="L1" r:id="rId11" tooltip="Property:P3153" display="https://www.wikidata.org/wiki/Property:P3153" xr:uid="{8240DF2C-EFF0-400A-87C4-8CB2774D05CB}"/>
    <hyperlink ref="M1" r:id="rId12" tooltip="Property:P5584" display="https://www.wikidata.org/wiki/Property:P5584" xr:uid="{8D735EB9-EB10-4D4B-97B0-CCF1991FCF58}"/>
    <hyperlink ref="N1" r:id="rId13" tooltip="Property:P3500" display="https://www.wikidata.org/wiki/Property:P3500" xr:uid="{4E00D31E-5CA0-4E55-B3F9-D1C2AF6806E3}"/>
    <hyperlink ref="O1" r:id="rId14" tooltip="Property:P5586" display="https://www.wikidata.org/wiki/Property:P5586" xr:uid="{B6FB2678-CC98-41F5-AA87-1E006C746ADE}"/>
    <hyperlink ref="P1" r:id="rId15" tooltip="Property:P5600" display="https://www.wikidata.org/wiki/Property:P5600" xr:uid="{0DA9FD63-E0EA-4506-BC5F-AFB49A411A6C}"/>
    <hyperlink ref="Q1" r:id="rId16" tooltip="Property:P268" display="https://www.wikidata.org/wiki/Property:P268" xr:uid="{B5D774DE-FCD7-48CF-A1FA-03AF834D187F}"/>
    <hyperlink ref="AA1" r:id="rId17" tooltip="Property:P409" display="https://www.wikidata.org/wiki/Property:P409" xr:uid="{06E9DE8A-4EC5-4007-8DB8-3D54F456B3E0}"/>
    <hyperlink ref="W1" r:id="rId18" tooltip="Property:P7859" display="https://www.wikidata.org/wiki/Property:P7859" xr:uid="{2495D4F2-E4AB-47BD-92EA-D2C71447E6B5}"/>
    <hyperlink ref="Z1" r:id="rId19" tooltip="Property:P2013" display="https://www.wikidata.org/wiki/Property:P2013" xr:uid="{6F73F2C7-AECC-4FCB-AF7E-87067FDA9F50}"/>
    <hyperlink ref="S1" r:id="rId20" tooltip="Property:P3749" display="https://www.wikidata.org/wiki/Property:P3749" xr:uid="{1EF99C36-0AA8-4466-8EC4-13B9E4194B0F}"/>
    <hyperlink ref="Y1" r:id="rId21" tooltip="Property:P11961" display="https://www.wikidata.org/wiki/Property:P11961" xr:uid="{0723EE26-1392-4CF9-B05F-EC787DA1F22A}"/>
    <hyperlink ref="R1" r:id="rId22" tooltip="Property:P3417" display="https://www.wikidata.org/wiki/Property:P3417" xr:uid="{038522EF-E7FD-45ED-8A09-0F5C6F3365E7}"/>
    <hyperlink ref="V1" r:id="rId23" tooltip="Property:P12749" display="https://www.wikidata.org/wiki/Property:P12749" xr:uid="{5A30B975-D15C-41D9-A2A1-FFE9C0E0C6BB}"/>
    <hyperlink ref="AB1" r:id="rId24" tooltip="Property:P3984" display="https://www.wikidata.org/wiki/Property:P3984" xr:uid="{C785AEF7-493A-4460-A52D-78705218D8A5}"/>
    <hyperlink ref="X1" r:id="rId25" tooltip="Property:P2002" display="https://www.wikidata.org/wiki/Property:P2002" xr:uid="{FF2A6EBD-265D-4747-B225-73C2944B0B91}"/>
    <hyperlink ref="AC1" r:id="rId26" tooltip="Property:P31" display="https://www.wikidata.org/wiki/Property:P31" xr:uid="{79E7ADE8-B56A-48EC-8708-360E6D74A7DC}"/>
    <hyperlink ref="AD1" r:id="rId27" tooltip="Property:P571" display="https://www.wikidata.org/wiki/Property:P571" xr:uid="{92A151D6-A8F3-455C-985E-DB956F17B382}"/>
    <hyperlink ref="AE1" r:id="rId28" tooltip="Property:P17" display="https://www.wikidata.org/wiki/Property:P17" xr:uid="{DCC26FD4-7A68-4BAD-9664-CEE14F2A7F7F}"/>
    <hyperlink ref="AF1" r:id="rId29" tooltip="Property:P625" display="https://www.wikidata.org/wiki/Property:P625" xr:uid="{FC8343BB-3898-4D16-9807-45047A724303}"/>
    <hyperlink ref="AG1" r:id="rId30" tooltip="Property:P463" display="https://www.wikidata.org/wiki/Property:P463" xr:uid="{072CD260-893D-4340-B054-A8BC3F3ABA3A}"/>
    <hyperlink ref="AH1" r:id="rId31" tooltip="Property:P856" display="https://www.wikidata.org/wiki/Property:P856" xr:uid="{0413F98A-9791-4D7B-B84E-B23A9BCB2130}"/>
    <hyperlink ref="AI1" r:id="rId32" tooltip="Property:P373" display="https://www.wikidata.org/wiki/Property:P373" xr:uid="{3D980BD7-4654-450A-B9BF-AFE40E41146D}"/>
    <hyperlink ref="AJ1" r:id="rId33" tooltip="Property:P3876" display="https://www.wikidata.org/wiki/Property:P3876" xr:uid="{C0AEEA52-ADF4-4FF2-863F-9C8D08BD34EC}"/>
    <hyperlink ref="AK1" r:id="rId34" tooltip="Property:P18" display="https://www.wikidata.org/wiki/Property:P18" xr:uid="{11A15489-5623-4626-B80A-0AC83AD337D1}"/>
    <hyperlink ref="AP1" r:id="rId35" tooltip="Property:P131" display="https://www.wikidata.org/wiki/Property:P131" xr:uid="{0BAD1577-86F6-404D-AFD6-099A91D6DF60}"/>
    <hyperlink ref="AQ1" r:id="rId36" tooltip="Property:P2196" display="https://www.wikidata.org/wiki/Property:P2196" xr:uid="{4545F5B1-C484-4A18-91FF-363AFFA20188}"/>
    <hyperlink ref="AL1" r:id="rId37" tooltip="Property:P355" display="https://www.wikidata.org/wiki/Property:P355" xr:uid="{4F72B58C-60F3-419C-AC6D-0A7CC72B2D90}"/>
    <hyperlink ref="AR1" r:id="rId38" tooltip="Property:P2936" display="https://www.wikidata.org/wiki/Property:P2936" xr:uid="{92F61137-4E3B-4DEE-A4C0-41DB9C05ECF6}"/>
    <hyperlink ref="AO1" r:id="rId39" tooltip="Property:P8687" display="https://www.wikidata.org/wiki/Property:P8687" xr:uid="{3C71E266-E453-4A8A-9352-49243FF610EE}"/>
    <hyperlink ref="AM1" r:id="rId40" tooltip="Property:P910" display="https://www.wikidata.org/wiki/Property:P910" xr:uid="{782E0D0A-C8A9-488C-9E2C-0AEC6DB25C53}"/>
    <hyperlink ref="AN1" r:id="rId41" tooltip="Property:P4195" display="https://www.wikidata.org/wiki/Property:P4195" xr:uid="{8E3292C3-16A7-445C-95FE-2A5D2284CA4D}"/>
    <hyperlink ref="U1" r:id="rId42" tooltip="Property:P691" display="https://www.wikidata.org/wiki/Property:P691" xr:uid="{171235DD-D8C5-41BD-9245-FC85D1FE3571}"/>
    <hyperlink ref="T1" r:id="rId43" tooltip="Property:P227" display="https://www.wikidata.org/wiki/Property:P227" xr:uid="{4A7ADF00-5ADA-43CE-901F-399700EC3328}"/>
    <hyperlink ref="A2" r:id="rId44" display="https://ror.org/03vek6s52" xr:uid="{D0BB11F1-7651-4515-AE6B-A74253E5E2A2}"/>
    <hyperlink ref="A3" r:id="rId45" display="https://ror.org/00f54p054" xr:uid="{64721989-7F7D-4452-B81F-072714996C27}"/>
    <hyperlink ref="A4" r:id="rId46" display="https://ror.org/042nb2s44" xr:uid="{E69F39E9-6382-4D3C-9FD8-211EE1781A1C}"/>
    <hyperlink ref="A5" r:id="rId47" display="https://ror.org/052gg0110" xr:uid="{31A8BC1F-A8D9-4FEC-AE14-D5B7B1A590C2}"/>
    <hyperlink ref="A7" r:id="rId48" display="https://ror.org/00jmfr291" xr:uid="{94DB60F4-1B89-4B06-83E1-9244F878EA8E}"/>
    <hyperlink ref="A6" r:id="rId49" display="https://ror.org/01an7q238" xr:uid="{D853CE70-704B-4C5A-B093-71FACACB76D7}"/>
    <hyperlink ref="A8" r:id="rId50" display="https://ror.org/05bnh6r87" xr:uid="{9D9628F3-EC9E-4768-883D-5B41564E40FC}"/>
    <hyperlink ref="A9" r:id="rId51" display="https://ror.org/00cvxb145" xr:uid="{590DCDBB-B264-4D2B-BFE7-CEA9AF3B6BFB}"/>
    <hyperlink ref="A10" r:id="rId52" display="https://ror.org/00hj8s172" xr:uid="{D8A92859-9881-4723-858F-8ED88A9CECEC}"/>
    <hyperlink ref="A11" r:id="rId53" display="https://ror.org/00b30xv10" xr:uid="{D1353CF8-5948-43E3-8339-30CF9015E76D}"/>
    <hyperlink ref="A13" r:id="rId54" display="https://ror.org/00za53h95" xr:uid="{F56FC1FE-A7C4-4FE2-8594-B5F50BC31A25}"/>
    <hyperlink ref="A12" r:id="rId55" display="https://ror.org/013meh722" xr:uid="{F1C514DF-A841-4165-8A54-202173049277}"/>
    <hyperlink ref="A14" r:id="rId56" display="https://ror.org/03v76x132" xr:uid="{799C26F2-CB43-4E70-87E5-083022C847D1}"/>
    <hyperlink ref="A15" r:id="rId57" display="https://ror.org/046rm7j60" xr:uid="{897C6709-7104-4AFD-B981-031C7D2FB90B}"/>
    <hyperlink ref="A16" r:id="rId58" display="https://ror.org/02jx3x895" xr:uid="{AB41AE3B-4C43-4323-B5CE-A4AD457C933A}"/>
    <hyperlink ref="A17" r:id="rId59" display="https://ror.org/03dbr7087" xr:uid="{BF09A1DE-7E0A-4666-9289-DC9705211960}"/>
    <hyperlink ref="A18" r:id="rId60" display="https://ror.org/0168r3w48" xr:uid="{F42612A3-CD74-4BED-8DDE-B378AAE86956}"/>
    <hyperlink ref="A19" r:id="rId61" display="https://ror.org/04p491231" xr:uid="{CA1FEFAC-F18C-43CA-AB40-5CB53B0B9B48}"/>
    <hyperlink ref="A21" r:id="rId62" display="https://ror.org/01y2jtd41" xr:uid="{EAC2B927-D9AB-401D-B6B8-8A72ED256F0A}"/>
    <hyperlink ref="A23" r:id="rId63" display="https://ror.org/03cve4549" xr:uid="{1F4D45D5-FB0A-4FA4-9529-303703F483B7}"/>
    <hyperlink ref="A22" r:id="rId64" display="https://ror.org/00py81415" xr:uid="{E8386E13-9D34-4725-9DE7-BB0AA68F2E2C}"/>
    <hyperlink ref="A25" r:id="rId65" display="https://ror.org/000e0be47" xr:uid="{92050330-6D4F-484A-8E13-2518EC11EF5B}"/>
    <hyperlink ref="A30" r:id="rId66" display="https://ror.org/02v51f717" xr:uid="{29CD8AB8-4087-48FD-814E-85D48A350A2A}"/>
    <hyperlink ref="A20" r:id="rId67" display="https://ror.org/0190ak572" xr:uid="{DDAF4090-E725-4580-A267-2C004178F490}"/>
    <hyperlink ref="A26" r:id="rId68" display="https://ror.org/03rmrcq20" xr:uid="{5910A51C-831C-46A5-A8A0-C038F99265A5}"/>
    <hyperlink ref="A24" r:id="rId69" display="https://ror.org/00hx57361" xr:uid="{8C1A496E-F3A3-4A36-B0CD-200E0B633CC4}"/>
    <hyperlink ref="A28" r:id="rId70" display="https://ror.org/0130frc33" xr:uid="{E12B0ECF-0BE4-4BA7-853C-D83DCAE3188B}"/>
    <hyperlink ref="A29" r:id="rId71" display="https://ror.org/024mw5h28" xr:uid="{4EACD160-E76D-40F1-B73A-7B8DFC305B6B}"/>
    <hyperlink ref="A27" r:id="rId72" display="https://ror.org/00hj54h04" xr:uid="{0304A1D6-F097-4BD5-99AB-A82E4F811CCC}"/>
    <hyperlink ref="A44" r:id="rId73" display="https://ror.org/03taz7m60" xr:uid="{4CDD0127-A9E5-4B2C-833D-9A1FB5648C86}"/>
    <hyperlink ref="A33" r:id="rId74" display="https://ror.org/05a28rw58" xr:uid="{1B077C97-8DA8-4E2B-A55F-8CF014AFC85E}"/>
    <hyperlink ref="A32" r:id="rId75" display="https://ror.org/02y3ad647" xr:uid="{05457F67-E947-499F-AAE7-51FF9C7C27AE}"/>
    <hyperlink ref="A34" r:id="rId76" display="https://ror.org/041kmwe10" xr:uid="{C59F98E6-5731-4B73-847B-1D4C917EB5B3}"/>
    <hyperlink ref="A35" r:id="rId77" display="https://ror.org/00rs6vg23" xr:uid="{FF19B9BF-8E94-4433-93B8-6777E1015D95}"/>
    <hyperlink ref="A41" r:id="rId78" display="https://ror.org/047426m28" xr:uid="{474CA00C-00B2-4E78-A154-3B376DAED808}"/>
    <hyperlink ref="A36" r:id="rId79" display="https://ror.org/05rrcem69" xr:uid="{0139A6F6-2802-410D-93AF-EB4AEE78ED69}"/>
    <hyperlink ref="A31" r:id="rId80" display="https://ror.org/04gyf1771" xr:uid="{4A8A1ED7-6C4F-4B71-8C55-CE5440CE4C91}"/>
    <hyperlink ref="A37" r:id="rId81" display="https://ror.org/01ej9dk98" xr:uid="{6643B3E0-1D7F-462E-92FF-230C85E9FEBB}"/>
    <hyperlink ref="A38" r:id="rId82" display="https://ror.org/043mz5j54" xr:uid="{1B6AEBF2-4826-4FAC-B557-358C5021B2F8}"/>
    <hyperlink ref="A40" r:id="rId83" display="https://ror.org/03r8z3t63" xr:uid="{E7F9726B-5A17-4E9A-8733-64170C8773DF}"/>
    <hyperlink ref="A42" r:id="rId84" display="https://ror.org/01yc7t268" xr:uid="{D0015509-BCCB-40C0-B1C3-58B89897F6C2}"/>
    <hyperlink ref="A43" r:id="rId85" display="https://ror.org/047s2c258" xr:uid="{A604F369-A46D-4CDF-935D-92E271AD885E}"/>
    <hyperlink ref="A39" r:id="rId86" display="https://ror.org/01nrxwf90" xr:uid="{B3A4659D-7790-43E5-BE22-A0D44ADD171E}"/>
    <hyperlink ref="A45" r:id="rId87" display="https://ror.org/01tgyzw49" xr:uid="{794F6346-4699-4AF0-AC11-2B461E5B3328}"/>
    <hyperlink ref="A47" r:id="rId88" display="https://ror.org/02dqehb95" xr:uid="{BA304403-756D-4CA5-A0A1-DA14B15D37BA}"/>
    <hyperlink ref="A51" r:id="rId89" display="https://ror.org/01an3r305" xr:uid="{6F854F7C-5238-4C7E-B0F9-2BD11415138B}"/>
    <hyperlink ref="A49" r:id="rId90" display="https://ror.org/05x2bcf33" xr:uid="{24216C47-344E-406D-B97F-9AD46A7FFBC2}"/>
    <hyperlink ref="A48" r:id="rId91" display="https://ror.org/05hs6h993" xr:uid="{44B06700-94AB-470C-ACBA-EBED8738E8C0}"/>
    <hyperlink ref="A50" r:id="rId92" display="https://ror.org/00rqy9422" xr:uid="{DB11B066-41D5-4478-9BD4-43E28A897A92}"/>
    <hyperlink ref="A54" r:id="rId93" display="https://ror.org/05vt9qd57" xr:uid="{80035858-5661-4837-9331-221CBA9B3613}"/>
    <hyperlink ref="A59" r:id="rId94" display="https://ror.org/03efmqc40" xr:uid="{7B17728E-C74F-4809-84AD-E4CE23A4043F}"/>
    <hyperlink ref="A53" r:id="rId95" display="https://ror.org/03m2x1q45" xr:uid="{B67F76F8-71C8-4EFC-87AE-E2041BCC2AB2}"/>
    <hyperlink ref="A52" r:id="rId96" display="https://ror.org/05qwgg493" xr:uid="{2AC1433C-4332-4D3B-8E50-8A687AFE5383}"/>
    <hyperlink ref="A57" r:id="rId97" display="https://ror.org/01f5ytq51" xr:uid="{7790B3DC-D7A5-4820-A5F9-DF5C2B2C05CD}"/>
    <hyperlink ref="A63" r:id="rId98" display="https://ror.org/02bfwt286" xr:uid="{575AB99E-EFB2-4FC9-B087-EC5D5D8118BD}"/>
    <hyperlink ref="A56" r:id="rId99" display="https://ror.org/0384j8v12" xr:uid="{BAF752FE-B4C6-49C7-9227-52E0135BD3EF}"/>
    <hyperlink ref="A60" r:id="rId100" display="https://ror.org/00a2xv884" xr:uid="{6B388310-17FF-4292-9FE7-96ECF1B4E1B8}"/>
    <hyperlink ref="A55" r:id="rId101" display="https://ror.org/04dkp9463" xr:uid="{1D5C2D17-1989-4873-ABD7-1C3FE840346B}"/>
    <hyperlink ref="A62" r:id="rId102" display="https://ror.org/02ttsq026" xr:uid="{1F8B10BB-4B0E-4FFA-8840-D1E4F70ED5C0}"/>
    <hyperlink ref="A65" r:id="rId103" display="https://ror.org/0220qvk04" xr:uid="{75A91925-879B-4E5E-A829-280E8724D173}"/>
    <hyperlink ref="A46" r:id="rId104" display="https://ror.org/01pxwe438" xr:uid="{9B1C2642-ABF0-4398-8532-E9D008B3F36D}"/>
    <hyperlink ref="A66" r:id="rId105" display="https://ror.org/02vm5rt34" xr:uid="{663BF2D7-6771-4EA6-B627-FE48704470C9}"/>
    <hyperlink ref="A68" r:id="rId106" display="https://ror.org/05dxps055" xr:uid="{703A0BDE-7426-4883-9153-1A0C98FFA966}"/>
    <hyperlink ref="A64" r:id="rId107" display="https://ror.org/027m9bs27" xr:uid="{BA17344A-EB91-437C-8512-879B8A7D6210}"/>
    <hyperlink ref="A70" r:id="rId108" display="https://ror.org/01zkghx44" xr:uid="{395500D6-CA01-4D37-A3C7-7C7455361BCE}"/>
    <hyperlink ref="A58" r:id="rId109" display="https://ror.org/04pp8hn57" xr:uid="{2B298318-8691-4B2D-A8B4-39F691653801}"/>
    <hyperlink ref="A61" r:id="rId110" display="https://ror.org/0220mzb33" xr:uid="{9E1D7597-942D-4DFD-A4AE-F2049678F0A7}"/>
    <hyperlink ref="A67" r:id="rId111" display="https://ror.org/03r0ha626" xr:uid="{C07A9829-CBFB-43DA-9154-34CB191ECFF2}"/>
    <hyperlink ref="A69" r:id="rId112" display="https://ror.org/0153tk833" xr:uid="{55D741B0-E589-4E84-8FBD-FE1D205869D7}"/>
    <hyperlink ref="A71" r:id="rId113" display="https://ror.org/0160cpw27" xr:uid="{2ABF4140-9C02-4339-A0EB-F53E8E81EA26}"/>
    <hyperlink ref="A72" r:id="rId114" display="https://ror.org/03czfpz43" xr:uid="{F63387A8-25D9-4694-A6C8-8EF02F915429}"/>
    <hyperlink ref="A73" r:id="rId115" display="https://ror.org/057zh3y96" xr:uid="{36A3D21C-6A37-40BA-925F-C375DD14ED65}"/>
    <hyperlink ref="A74" r:id="rId116" display="https://ror.org/036rp1748" xr:uid="{AF24DF82-6883-4437-A94E-504A3183808C}"/>
    <hyperlink ref="A75" r:id="rId117" display="https://ror.org/035b05819" xr:uid="{3D2A3C6C-B858-449B-A21D-74A576C0086C}"/>
    <hyperlink ref="A76" r:id="rId118" display="https://ror.org/05f950310" xr:uid="{26F6A34A-AB91-4A9E-8F5E-B04B9021E528}"/>
    <hyperlink ref="A77" r:id="rId119" display="https://ror.org/00t33hh48" xr:uid="{4FECFCFD-C066-4C68-902D-B7B87ABAD817}"/>
    <hyperlink ref="A78" r:id="rId120" display="https://ror.org/021018s57" xr:uid="{D5B44475-C8B1-4979-8EE6-B50D0C401FD0}"/>
    <hyperlink ref="A79" r:id="rId121" display="https://ror.org/05gq02987" xr:uid="{D108D111-4CE3-4126-95F1-985DA11A01BF}"/>
    <hyperlink ref="A80" r:id="rId122" display="https://ror.org/012p63287" xr:uid="{4513EBA2-B815-4B9A-ADB3-D3F0BB14E7F9}"/>
    <hyperlink ref="A81" r:id="rId123" display="https://ror.org/02zhqgq86" xr:uid="{5FD9E2A9-5729-4FD9-9B1C-DA301AE963BF}"/>
    <hyperlink ref="A82" r:id="rId124" display="https://ror.org/008xxew50" xr:uid="{E0A77DB6-0E4A-407C-B5B1-D13AF2349038}"/>
    <hyperlink ref="A83" r:id="rId125" display="https://ror.org/04tj63d06" xr:uid="{42C60904-D908-437D-A0C2-87D939C57610}"/>
    <hyperlink ref="A84" r:id="rId126" display="https://ror.org/02kkvpp62" xr:uid="{73F08F25-C023-44B2-99BF-78AA3DF88AEE}"/>
    <hyperlink ref="A85" r:id="rId127" display="https://ror.org/019wvm592" xr:uid="{427909CB-E05B-42CF-97DD-5B18D3E5D291}"/>
    <hyperlink ref="A86" r:id="rId128" display="https://ror.org/02t274463" xr:uid="{2FAA254D-74ED-447F-B5F5-5084BEDEFA42}"/>
    <hyperlink ref="A87" r:id="rId129" display="https://ror.org/01aff2v68" xr:uid="{9D2C0055-66A3-4A95-85D4-E2644FA91238}"/>
    <hyperlink ref="A88" r:id="rId130" display="https://ror.org/040af2s02" xr:uid="{D680BA0A-159E-48DD-9E21-EB800C09C81C}"/>
    <hyperlink ref="A89" r:id="rId131" display="https://ror.org/02smfhw86" xr:uid="{495D60F1-62AF-4CA4-8D09-FBB4D9F76093}"/>
    <hyperlink ref="A90" r:id="rId132" display="https://ror.org/03yjb2x39" xr:uid="{B8086B22-385B-42CC-B0E3-394F42F59F74}"/>
    <hyperlink ref="A91" r:id="rId133" display="https://ror.org/04c4dkn09" xr:uid="{440F4A09-F567-4E01-A23D-429CBF7BD881}"/>
    <hyperlink ref="A92" r:id="rId134" display="https://ror.org/024mrxd33" xr:uid="{336D0A67-C2EF-49D3-B1F4-E009A01D727A}"/>
    <hyperlink ref="A93" r:id="rId135" display="https://ror.org/02e7b5302" xr:uid="{15502E24-BC3F-48D1-9811-2FEA855FB962}"/>
    <hyperlink ref="A94" r:id="rId136" display="https://ror.org/01xtthb56" xr:uid="{CDD71793-C793-45C2-B403-BD5ADDC0BABF}"/>
    <hyperlink ref="A95" r:id="rId137" display="https://ror.org/036jqmy94" xr:uid="{654E6021-B133-4E71-97C0-479E4E193296}"/>
    <hyperlink ref="A96" r:id="rId138" display="https://ror.org/02crff812" xr:uid="{A6850F96-78BA-4312-B731-CE5AB6F2E95A}"/>
    <hyperlink ref="A97" r:id="rId139" display="https://ror.org/013q1eq08" xr:uid="{B94D22A5-2DE8-47D6-9FB9-84ACCFB62AF8}"/>
    <hyperlink ref="A98" r:id="rId140" display="https://ror.org/01111rn36" xr:uid="{500CAB18-D78F-443B-AB4A-8D230679CE5C}"/>
    <hyperlink ref="A99" r:id="rId141" display="https://ror.org/01aj84f44" xr:uid="{7567F552-D866-4166-8732-B338EE91C533}"/>
    <hyperlink ref="A100" r:id="rId142" display="https://ror.org/02s376052" xr:uid="{14D64653-8A33-485A-996B-6FB2A6891B17}"/>
    <hyperlink ref="A101" r:id="rId143" display="https://ror.org/022kthw22" xr:uid="{318DEDFB-5DFF-47D3-B0D3-15B51870097C}"/>
  </hyperlinks>
  <pageMargins left="0.7" right="0.7" top="0.75" bottom="0.75" header="0.3" footer="0.3"/>
  <pageSetup orientation="portrait" r:id="rId14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9C74-B9D6-4FA9-BA25-677F30436282}">
  <dimension ref="A1:AR101"/>
  <sheetViews>
    <sheetView topLeftCell="AD88" workbookViewId="0">
      <selection activeCell="AR101" sqref="AR101"/>
    </sheetView>
  </sheetViews>
  <sheetFormatPr defaultRowHeight="14.4" x14ac:dyDescent="0.3"/>
  <cols>
    <col min="1" max="1" width="31.44140625" customWidth="1"/>
  </cols>
  <sheetData>
    <row r="1" spans="1:44" x14ac:dyDescent="0.3">
      <c r="A1" s="9" t="s">
        <v>613</v>
      </c>
      <c r="B1" s="15" t="s">
        <v>65</v>
      </c>
      <c r="C1" s="15" t="s">
        <v>66</v>
      </c>
      <c r="D1" s="15" t="s">
        <v>715</v>
      </c>
      <c r="E1" s="15" t="s">
        <v>81</v>
      </c>
      <c r="F1" s="15" t="s">
        <v>188</v>
      </c>
      <c r="G1" s="15" t="s">
        <v>94</v>
      </c>
      <c r="H1" s="15" t="s">
        <v>103</v>
      </c>
      <c r="I1" s="15" t="s">
        <v>124</v>
      </c>
      <c r="J1" s="15" t="s">
        <v>139</v>
      </c>
      <c r="K1" s="15" t="s">
        <v>157</v>
      </c>
      <c r="L1" s="15" t="s">
        <v>172</v>
      </c>
      <c r="M1" s="15" t="s">
        <v>182</v>
      </c>
      <c r="N1" s="15" t="s">
        <v>187</v>
      </c>
      <c r="O1" s="15" t="s">
        <v>204</v>
      </c>
      <c r="P1" s="15" t="s">
        <v>209</v>
      </c>
      <c r="Q1" s="14" t="s">
        <v>72</v>
      </c>
      <c r="R1" s="14" t="s">
        <v>183</v>
      </c>
      <c r="S1" s="14" t="s">
        <v>133</v>
      </c>
      <c r="T1" s="14" t="s">
        <v>75</v>
      </c>
      <c r="U1" s="14" t="s">
        <v>86</v>
      </c>
      <c r="V1" s="14" t="s">
        <v>195</v>
      </c>
      <c r="W1" s="14" t="s">
        <v>95</v>
      </c>
      <c r="X1" s="14" t="s">
        <v>245</v>
      </c>
      <c r="Y1" s="16" t="s">
        <v>134</v>
      </c>
      <c r="Z1" s="16" t="s">
        <v>122</v>
      </c>
      <c r="AA1" s="16" t="s">
        <v>87</v>
      </c>
      <c r="AB1" s="16" t="s">
        <v>200</v>
      </c>
      <c r="AC1" s="15" t="s">
        <v>0</v>
      </c>
      <c r="AD1" s="15" t="s">
        <v>1</v>
      </c>
      <c r="AE1" s="15" t="s">
        <v>16</v>
      </c>
      <c r="AF1" s="15" t="s">
        <v>18</v>
      </c>
      <c r="AG1" s="15" t="s">
        <v>20</v>
      </c>
      <c r="AH1" s="15" t="s">
        <v>39</v>
      </c>
      <c r="AI1" s="15" t="s">
        <v>58</v>
      </c>
      <c r="AJ1" s="15" t="s">
        <v>61</v>
      </c>
      <c r="AK1" s="14" t="s">
        <v>3</v>
      </c>
      <c r="AL1" s="14" t="s">
        <v>26</v>
      </c>
      <c r="AM1" s="14" t="s">
        <v>60</v>
      </c>
      <c r="AN1" s="14" t="s">
        <v>62</v>
      </c>
      <c r="AO1" s="14" t="s">
        <v>50</v>
      </c>
      <c r="AP1" s="14" t="s">
        <v>17</v>
      </c>
      <c r="AQ1" s="16" t="s">
        <v>23</v>
      </c>
      <c r="AR1" s="16" t="s">
        <v>30</v>
      </c>
    </row>
    <row r="2" spans="1:44" x14ac:dyDescent="0.3">
      <c r="A2" s="10" t="s">
        <v>614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</row>
    <row r="3" spans="1:44" x14ac:dyDescent="0.3">
      <c r="A3" s="10" t="s">
        <v>615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0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</row>
    <row r="4" spans="1:44" x14ac:dyDescent="0.3">
      <c r="A4" s="10" t="s">
        <v>616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</row>
    <row r="5" spans="1:44" x14ac:dyDescent="0.3">
      <c r="A5" s="10" t="s">
        <v>617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0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</row>
    <row r="6" spans="1:44" x14ac:dyDescent="0.3">
      <c r="A6" s="10" t="s">
        <v>618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</row>
    <row r="7" spans="1:44" x14ac:dyDescent="0.3">
      <c r="A7" s="10" t="s">
        <v>619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0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</row>
    <row r="8" spans="1:44" x14ac:dyDescent="0.3">
      <c r="A8" s="10" t="s">
        <v>620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1</v>
      </c>
      <c r="AM8" s="4">
        <v>0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</row>
    <row r="9" spans="1:44" x14ac:dyDescent="0.3">
      <c r="A9" s="10" t="s">
        <v>621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0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</row>
    <row r="10" spans="1:44" x14ac:dyDescent="0.3">
      <c r="A10" s="10" t="s">
        <v>622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0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</row>
    <row r="11" spans="1:44" x14ac:dyDescent="0.3">
      <c r="A11" s="10" t="s">
        <v>623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</row>
    <row r="12" spans="1:44" x14ac:dyDescent="0.3">
      <c r="A12" s="10" t="s">
        <v>624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0</v>
      </c>
      <c r="AR12" s="4">
        <v>1</v>
      </c>
    </row>
    <row r="13" spans="1:44" x14ac:dyDescent="0.3">
      <c r="A13" s="10" t="s">
        <v>625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</row>
    <row r="14" spans="1:44" x14ac:dyDescent="0.3">
      <c r="A14" s="10" t="s">
        <v>626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</row>
    <row r="15" spans="1:44" x14ac:dyDescent="0.3">
      <c r="A15" s="10" t="s">
        <v>627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</row>
    <row r="16" spans="1:44" x14ac:dyDescent="0.3">
      <c r="A16" s="10" t="s">
        <v>628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0</v>
      </c>
      <c r="X16" s="4">
        <v>0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</row>
    <row r="17" spans="1:44" x14ac:dyDescent="0.3">
      <c r="A17" s="10" t="s">
        <v>629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</row>
    <row r="18" spans="1:44" x14ac:dyDescent="0.3">
      <c r="A18" s="10" t="s">
        <v>630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</row>
    <row r="19" spans="1:44" x14ac:dyDescent="0.3">
      <c r="A19" s="10" t="s">
        <v>631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</row>
    <row r="20" spans="1:44" x14ac:dyDescent="0.3">
      <c r="A20" s="10" t="s">
        <v>632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</row>
    <row r="21" spans="1:44" x14ac:dyDescent="0.3">
      <c r="A21" s="10" t="s">
        <v>633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</row>
    <row r="22" spans="1:44" x14ac:dyDescent="0.3">
      <c r="A22" s="10" t="s">
        <v>634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0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</row>
    <row r="23" spans="1:44" x14ac:dyDescent="0.3">
      <c r="A23" s="10" t="s">
        <v>635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0</v>
      </c>
      <c r="AR23" s="4">
        <v>0</v>
      </c>
    </row>
    <row r="24" spans="1:44" x14ac:dyDescent="0.3">
      <c r="A24" s="10" t="s">
        <v>636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</row>
    <row r="25" spans="1:44" x14ac:dyDescent="0.3">
      <c r="A25" s="10" t="s">
        <v>637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0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</row>
    <row r="26" spans="1:44" x14ac:dyDescent="0.3">
      <c r="A26" s="10" t="s">
        <v>638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</row>
    <row r="27" spans="1:44" x14ac:dyDescent="0.3">
      <c r="A27" s="10" t="s">
        <v>639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</row>
    <row r="28" spans="1:44" x14ac:dyDescent="0.3">
      <c r="A28" s="10" t="s">
        <v>640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</row>
    <row r="29" spans="1:44" x14ac:dyDescent="0.3">
      <c r="A29" s="10" t="s">
        <v>641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0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</row>
    <row r="30" spans="1:44" x14ac:dyDescent="0.3">
      <c r="A30" s="10" t="s">
        <v>642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0</v>
      </c>
    </row>
    <row r="31" spans="1:44" x14ac:dyDescent="0.3">
      <c r="A31" s="10" t="s">
        <v>643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0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</row>
    <row r="32" spans="1:44" x14ac:dyDescent="0.3">
      <c r="A32" s="10" t="s">
        <v>644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</row>
    <row r="33" spans="1:44" x14ac:dyDescent="0.3">
      <c r="A33" s="10" t="s">
        <v>645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0</v>
      </c>
      <c r="AP33" s="4">
        <v>1</v>
      </c>
      <c r="AQ33" s="4">
        <v>1</v>
      </c>
      <c r="AR33" s="4">
        <v>0</v>
      </c>
    </row>
    <row r="34" spans="1:44" x14ac:dyDescent="0.3">
      <c r="A34" s="10" t="s">
        <v>646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0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0</v>
      </c>
    </row>
    <row r="35" spans="1:44" x14ac:dyDescent="0.3">
      <c r="A35" s="10" t="s">
        <v>649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</row>
    <row r="36" spans="1:44" x14ac:dyDescent="0.3">
      <c r="A36" s="10" t="s">
        <v>650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</row>
    <row r="37" spans="1:44" x14ac:dyDescent="0.3">
      <c r="A37" s="10" t="s">
        <v>647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</row>
    <row r="38" spans="1:44" x14ac:dyDescent="0.3">
      <c r="A38" s="10" t="s">
        <v>648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0</v>
      </c>
      <c r="S38" s="4">
        <v>1</v>
      </c>
      <c r="T38" s="4">
        <v>0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0</v>
      </c>
    </row>
    <row r="39" spans="1:44" x14ac:dyDescent="0.3">
      <c r="A39" s="10" t="s">
        <v>651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</row>
    <row r="40" spans="1:44" x14ac:dyDescent="0.3">
      <c r="A40" s="10" t="s">
        <v>652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0</v>
      </c>
      <c r="AO40" s="4">
        <v>1</v>
      </c>
      <c r="AP40" s="4">
        <v>1</v>
      </c>
      <c r="AQ40" s="4">
        <v>0</v>
      </c>
      <c r="AR40" s="4">
        <v>1</v>
      </c>
    </row>
    <row r="41" spans="1:44" x14ac:dyDescent="0.3">
      <c r="A41" s="10" t="s">
        <v>653</v>
      </c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</row>
    <row r="42" spans="1:44" x14ac:dyDescent="0.3">
      <c r="A42" s="10" t="s">
        <v>654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</row>
    <row r="43" spans="1:44" x14ac:dyDescent="0.3">
      <c r="A43" s="10" t="s">
        <v>655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</row>
    <row r="44" spans="1:44" x14ac:dyDescent="0.3">
      <c r="A44" s="10" t="s">
        <v>656</v>
      </c>
      <c r="B44" s="4">
        <v>1</v>
      </c>
      <c r="C44" s="4">
        <v>1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0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</row>
    <row r="45" spans="1:44" x14ac:dyDescent="0.3">
      <c r="A45" s="10" t="s">
        <v>657</v>
      </c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0</v>
      </c>
    </row>
    <row r="46" spans="1:44" x14ac:dyDescent="0.3">
      <c r="A46" s="10" t="s">
        <v>658</v>
      </c>
      <c r="B46" s="4">
        <v>1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</row>
    <row r="47" spans="1:44" x14ac:dyDescent="0.3">
      <c r="A47" s="10" t="s">
        <v>659</v>
      </c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</row>
    <row r="48" spans="1:44" x14ac:dyDescent="0.3">
      <c r="A48" s="10" t="s">
        <v>660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0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0</v>
      </c>
      <c r="AQ48" s="4">
        <v>1</v>
      </c>
      <c r="AR48" s="4">
        <v>1</v>
      </c>
    </row>
    <row r="49" spans="1:44" x14ac:dyDescent="0.3">
      <c r="A49" s="10" t="s">
        <v>661</v>
      </c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</row>
    <row r="50" spans="1:44" x14ac:dyDescent="0.3">
      <c r="A50" s="10" t="s">
        <v>662</v>
      </c>
      <c r="B50" s="4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</row>
    <row r="51" spans="1:44" x14ac:dyDescent="0.3">
      <c r="A51" s="10" t="s">
        <v>663</v>
      </c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</row>
    <row r="52" spans="1:44" x14ac:dyDescent="0.3">
      <c r="A52" s="10" t="s">
        <v>664</v>
      </c>
      <c r="B52" s="4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0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</row>
    <row r="53" spans="1:44" x14ac:dyDescent="0.3">
      <c r="A53" s="10" t="s">
        <v>665</v>
      </c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</row>
    <row r="54" spans="1:44" x14ac:dyDescent="0.3">
      <c r="A54" s="10" t="s">
        <v>666</v>
      </c>
      <c r="B54" s="4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0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</row>
    <row r="55" spans="1:44" x14ac:dyDescent="0.3">
      <c r="A55" s="10" t="s">
        <v>670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</row>
    <row r="56" spans="1:44" x14ac:dyDescent="0.3">
      <c r="A56" s="10" t="s">
        <v>669</v>
      </c>
      <c r="B56" s="4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</row>
    <row r="57" spans="1:44" x14ac:dyDescent="0.3">
      <c r="A57" s="10" t="s">
        <v>668</v>
      </c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</row>
    <row r="58" spans="1:44" x14ac:dyDescent="0.3">
      <c r="A58" s="10" t="s">
        <v>667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0</v>
      </c>
      <c r="W58" s="4">
        <v>1</v>
      </c>
      <c r="X58" s="4">
        <v>1</v>
      </c>
      <c r="Y58" s="4">
        <v>1</v>
      </c>
      <c r="Z58" s="4">
        <v>0</v>
      </c>
      <c r="AA58" s="4">
        <v>1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0</v>
      </c>
      <c r="AM58" s="4">
        <v>1</v>
      </c>
      <c r="AN58" s="4">
        <v>1</v>
      </c>
      <c r="AO58" s="4">
        <v>1</v>
      </c>
      <c r="AP58" s="4">
        <v>1</v>
      </c>
      <c r="AQ58" s="4">
        <v>0</v>
      </c>
      <c r="AR58" s="4">
        <v>0</v>
      </c>
    </row>
    <row r="59" spans="1:44" x14ac:dyDescent="0.3">
      <c r="A59" s="10" t="s">
        <v>671</v>
      </c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0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</row>
    <row r="60" spans="1:44" x14ac:dyDescent="0.3">
      <c r="A60" s="10" t="s">
        <v>672</v>
      </c>
      <c r="B60" s="4">
        <v>1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0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0</v>
      </c>
      <c r="Y60" s="4">
        <v>1</v>
      </c>
      <c r="Z60" s="4">
        <v>0</v>
      </c>
      <c r="AA60" s="4">
        <v>1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0</v>
      </c>
      <c r="AP60" s="4">
        <v>1</v>
      </c>
      <c r="AQ60" s="4">
        <v>1</v>
      </c>
      <c r="AR60" s="4">
        <v>0</v>
      </c>
    </row>
    <row r="61" spans="1:44" x14ac:dyDescent="0.3">
      <c r="A61" s="10" t="s">
        <v>673</v>
      </c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0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</row>
    <row r="62" spans="1:44" x14ac:dyDescent="0.3">
      <c r="A62" s="10" t="s">
        <v>674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0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</row>
    <row r="63" spans="1:44" x14ac:dyDescent="0.3">
      <c r="A63" s="10" t="s">
        <v>675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0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0</v>
      </c>
      <c r="AR63" s="4">
        <v>1</v>
      </c>
    </row>
    <row r="64" spans="1:44" x14ac:dyDescent="0.3">
      <c r="A64" s="10" t="s">
        <v>676</v>
      </c>
      <c r="B64" s="4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0</v>
      </c>
      <c r="X64" s="4">
        <v>1</v>
      </c>
      <c r="Y64" s="4">
        <v>1</v>
      </c>
      <c r="Z64" s="4">
        <v>0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0</v>
      </c>
      <c r="AQ64" s="4">
        <v>0</v>
      </c>
      <c r="AR64" s="4">
        <v>1</v>
      </c>
    </row>
    <row r="65" spans="1:44" x14ac:dyDescent="0.3">
      <c r="A65" s="10" t="s">
        <v>677</v>
      </c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0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0</v>
      </c>
      <c r="Y65" s="4">
        <v>1</v>
      </c>
      <c r="Z65" s="4">
        <v>0</v>
      </c>
      <c r="AA65" s="4">
        <v>1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0</v>
      </c>
      <c r="AP65" s="4">
        <v>0</v>
      </c>
      <c r="AQ65" s="4">
        <v>1</v>
      </c>
      <c r="AR65" s="4">
        <v>0</v>
      </c>
    </row>
    <row r="66" spans="1:44" x14ac:dyDescent="0.3">
      <c r="A66" s="10" t="s">
        <v>678</v>
      </c>
      <c r="B66" s="4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0</v>
      </c>
      <c r="AQ66" s="4">
        <v>1</v>
      </c>
      <c r="AR66" s="4">
        <v>1</v>
      </c>
    </row>
    <row r="67" spans="1:44" x14ac:dyDescent="0.3">
      <c r="A67" s="10" t="s">
        <v>679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0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</row>
    <row r="68" spans="1:44" x14ac:dyDescent="0.3">
      <c r="A68" s="10" t="s">
        <v>680</v>
      </c>
      <c r="B68" s="4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0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</row>
    <row r="69" spans="1:44" x14ac:dyDescent="0.3">
      <c r="A69" s="10" t="s">
        <v>681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</row>
    <row r="70" spans="1:44" x14ac:dyDescent="0.3">
      <c r="A70" s="10" t="s">
        <v>682</v>
      </c>
      <c r="B70" s="4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</row>
    <row r="71" spans="1:44" x14ac:dyDescent="0.3">
      <c r="A71" s="10" t="s">
        <v>683</v>
      </c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</row>
    <row r="72" spans="1:44" x14ac:dyDescent="0.3">
      <c r="A72" s="10" t="s">
        <v>684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</row>
    <row r="73" spans="1:44" x14ac:dyDescent="0.3">
      <c r="A73" s="10" t="s">
        <v>685</v>
      </c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</row>
    <row r="74" spans="1:44" x14ac:dyDescent="0.3">
      <c r="A74" s="10" t="s">
        <v>686</v>
      </c>
      <c r="B74" s="4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0</v>
      </c>
      <c r="AP74" s="4">
        <v>1</v>
      </c>
      <c r="AQ74" s="4">
        <v>1</v>
      </c>
      <c r="AR74" s="4">
        <v>1</v>
      </c>
    </row>
    <row r="75" spans="1:44" x14ac:dyDescent="0.3">
      <c r="A75" s="10" t="s">
        <v>687</v>
      </c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0</v>
      </c>
      <c r="AB75" s="4">
        <v>0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0</v>
      </c>
      <c r="AP75" s="4">
        <v>1</v>
      </c>
      <c r="AQ75" s="4">
        <v>0</v>
      </c>
      <c r="AR75" s="4">
        <v>1</v>
      </c>
    </row>
    <row r="76" spans="1:44" x14ac:dyDescent="0.3">
      <c r="A76" s="10" t="s">
        <v>688</v>
      </c>
      <c r="B76" s="4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0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0</v>
      </c>
      <c r="AO76" s="4">
        <v>1</v>
      </c>
      <c r="AP76" s="4">
        <v>1</v>
      </c>
      <c r="AQ76" s="4">
        <v>1</v>
      </c>
      <c r="AR76" s="4">
        <v>1</v>
      </c>
    </row>
    <row r="77" spans="1:44" x14ac:dyDescent="0.3">
      <c r="A77" s="10" t="s">
        <v>689</v>
      </c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0</v>
      </c>
    </row>
    <row r="78" spans="1:44" x14ac:dyDescent="0.3">
      <c r="A78" s="10" t="s">
        <v>691</v>
      </c>
      <c r="B78" s="4">
        <v>1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0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</row>
    <row r="79" spans="1:44" x14ac:dyDescent="0.3">
      <c r="A79" s="10" t="s">
        <v>690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0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</row>
    <row r="80" spans="1:44" x14ac:dyDescent="0.3">
      <c r="A80" s="10" t="s">
        <v>694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0</v>
      </c>
      <c r="Z80" s="4">
        <v>1</v>
      </c>
      <c r="AA80" s="4">
        <v>1</v>
      </c>
      <c r="AB80" s="4">
        <v>0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0</v>
      </c>
    </row>
    <row r="81" spans="1:44" x14ac:dyDescent="0.3">
      <c r="A81" s="10" t="s">
        <v>693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1</v>
      </c>
      <c r="AQ81" s="4">
        <v>1</v>
      </c>
      <c r="AR81" s="4">
        <v>0</v>
      </c>
    </row>
    <row r="82" spans="1:44" x14ac:dyDescent="0.3">
      <c r="A82" s="10" t="s">
        <v>692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0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0</v>
      </c>
      <c r="Z82" s="4">
        <v>1</v>
      </c>
      <c r="AA82" s="4">
        <v>1</v>
      </c>
      <c r="AB82" s="4">
        <v>0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0</v>
      </c>
      <c r="AR82" s="4">
        <v>1</v>
      </c>
    </row>
    <row r="83" spans="1:44" x14ac:dyDescent="0.3">
      <c r="A83" s="10" t="s">
        <v>695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0</v>
      </c>
      <c r="U83" s="4">
        <v>1</v>
      </c>
      <c r="V83" s="4">
        <v>1</v>
      </c>
      <c r="W83" s="4">
        <v>1</v>
      </c>
      <c r="X83" s="4">
        <v>1</v>
      </c>
      <c r="Y83" s="4">
        <v>0</v>
      </c>
      <c r="Z83" s="4">
        <v>1</v>
      </c>
      <c r="AA83" s="4">
        <v>0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0</v>
      </c>
      <c r="AQ83" s="4">
        <v>1</v>
      </c>
      <c r="AR83" s="4">
        <v>1</v>
      </c>
    </row>
    <row r="84" spans="1:44" x14ac:dyDescent="0.3">
      <c r="A84" s="10" t="s">
        <v>696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0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</row>
    <row r="85" spans="1:44" x14ac:dyDescent="0.3">
      <c r="A85" s="10" t="s">
        <v>697</v>
      </c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0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0</v>
      </c>
      <c r="AO85" s="4">
        <v>1</v>
      </c>
      <c r="AP85" s="4">
        <v>1</v>
      </c>
      <c r="AQ85" s="4">
        <v>1</v>
      </c>
      <c r="AR85" s="4">
        <v>1</v>
      </c>
    </row>
    <row r="86" spans="1:44" x14ac:dyDescent="0.3">
      <c r="A86" s="10" t="s">
        <v>698</v>
      </c>
      <c r="B86" s="4">
        <v>1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0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</row>
    <row r="87" spans="1:44" x14ac:dyDescent="0.3">
      <c r="A87" s="10" t="s">
        <v>699</v>
      </c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0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0</v>
      </c>
      <c r="Z87" s="4">
        <v>1</v>
      </c>
      <c r="AA87" s="4">
        <v>0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</row>
    <row r="88" spans="1:44" x14ac:dyDescent="0.3">
      <c r="A88" s="10" t="s">
        <v>700</v>
      </c>
      <c r="B88" s="4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0</v>
      </c>
      <c r="AB88" s="4">
        <v>0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0</v>
      </c>
    </row>
    <row r="89" spans="1:44" x14ac:dyDescent="0.3">
      <c r="A89" s="10" t="s">
        <v>702</v>
      </c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0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</row>
    <row r="90" spans="1:44" x14ac:dyDescent="0.3">
      <c r="A90" s="10" t="s">
        <v>701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0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</row>
    <row r="91" spans="1:44" x14ac:dyDescent="0.3">
      <c r="A91" s="10" t="s">
        <v>703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0</v>
      </c>
      <c r="AP91" s="4">
        <v>1</v>
      </c>
      <c r="AQ91" s="4">
        <v>0</v>
      </c>
      <c r="AR91" s="4">
        <v>0</v>
      </c>
    </row>
    <row r="92" spans="1:44" x14ac:dyDescent="0.3">
      <c r="A92" s="10" t="s">
        <v>704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0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0</v>
      </c>
      <c r="AM92" s="4">
        <v>1</v>
      </c>
      <c r="AN92" s="4">
        <v>1</v>
      </c>
      <c r="AO92" s="4">
        <v>1</v>
      </c>
      <c r="AP92" s="4">
        <v>0</v>
      </c>
      <c r="AQ92" s="4">
        <v>0</v>
      </c>
      <c r="AR92" s="4">
        <v>1</v>
      </c>
    </row>
    <row r="93" spans="1:44" x14ac:dyDescent="0.3">
      <c r="A93" s="10" t="s">
        <v>705</v>
      </c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0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0</v>
      </c>
      <c r="AR93" s="4">
        <v>0</v>
      </c>
    </row>
    <row r="94" spans="1:44" x14ac:dyDescent="0.3">
      <c r="A94" s="10" t="s">
        <v>706</v>
      </c>
      <c r="B94" s="4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0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0</v>
      </c>
    </row>
    <row r="95" spans="1:44" x14ac:dyDescent="0.3">
      <c r="A95" s="10" t="s">
        <v>707</v>
      </c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0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0</v>
      </c>
      <c r="AQ95" s="4">
        <v>1</v>
      </c>
      <c r="AR95" s="4">
        <v>1</v>
      </c>
    </row>
    <row r="96" spans="1:44" x14ac:dyDescent="0.3">
      <c r="A96" s="10" t="s">
        <v>708</v>
      </c>
      <c r="B96" s="4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0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0</v>
      </c>
      <c r="AQ96" s="4">
        <v>1</v>
      </c>
      <c r="AR96" s="4">
        <v>0</v>
      </c>
    </row>
    <row r="97" spans="1:44" x14ac:dyDescent="0.3">
      <c r="A97" s="10" t="s">
        <v>709</v>
      </c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0</v>
      </c>
      <c r="S97" s="4">
        <v>1</v>
      </c>
      <c r="T97" s="4">
        <v>1</v>
      </c>
      <c r="U97" s="4">
        <v>0</v>
      </c>
      <c r="V97" s="4">
        <v>1</v>
      </c>
      <c r="W97" s="4">
        <v>0</v>
      </c>
      <c r="X97" s="4">
        <v>0</v>
      </c>
      <c r="Y97" s="4">
        <v>1</v>
      </c>
      <c r="Z97" s="4">
        <v>0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0</v>
      </c>
      <c r="AP97" s="4">
        <v>1</v>
      </c>
      <c r="AQ97" s="4">
        <v>1</v>
      </c>
      <c r="AR97" s="4">
        <v>0</v>
      </c>
    </row>
    <row r="98" spans="1:44" x14ac:dyDescent="0.3">
      <c r="A98" s="10" t="s">
        <v>710</v>
      </c>
      <c r="B98" s="4">
        <v>1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0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</row>
    <row r="99" spans="1:44" x14ac:dyDescent="0.3">
      <c r="A99" s="10" t="s">
        <v>711</v>
      </c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0</v>
      </c>
      <c r="W99" s="4">
        <v>1</v>
      </c>
      <c r="X99" s="4">
        <v>1</v>
      </c>
      <c r="Y99" s="4">
        <v>1</v>
      </c>
      <c r="Z99" s="4">
        <v>0</v>
      </c>
      <c r="AA99" s="4">
        <v>1</v>
      </c>
      <c r="AB99" s="4">
        <v>0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0</v>
      </c>
    </row>
    <row r="100" spans="1:44" x14ac:dyDescent="0.3">
      <c r="A100" s="10" t="s">
        <v>712</v>
      </c>
      <c r="B100" s="4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0</v>
      </c>
      <c r="W100" s="4">
        <v>1</v>
      </c>
      <c r="X100" s="4">
        <v>1</v>
      </c>
      <c r="Y100" s="4">
        <v>1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0</v>
      </c>
      <c r="AO100" s="4">
        <v>1</v>
      </c>
      <c r="AP100" s="4">
        <v>1</v>
      </c>
      <c r="AQ100" s="4">
        <v>1</v>
      </c>
      <c r="AR100" s="4">
        <v>0</v>
      </c>
    </row>
    <row r="101" spans="1:44" x14ac:dyDescent="0.3">
      <c r="A101" s="10" t="s">
        <v>713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0</v>
      </c>
      <c r="X101" s="4">
        <v>1</v>
      </c>
      <c r="Y101" s="4">
        <v>1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</row>
  </sheetData>
  <hyperlinks>
    <hyperlink ref="B1" r:id="rId1" tooltip="Property:P214" display="https://www.wikidata.org/wiki/Property:P214" xr:uid="{930FF816-FBAB-4820-B2E5-92172112CF5A}"/>
    <hyperlink ref="C1" r:id="rId2" tooltip="Property:P213" display="https://www.wikidata.org/wiki/Property:P213" xr:uid="{CC428EA6-679D-4D43-98A1-0347E5BDDE79}"/>
    <hyperlink ref="F1" r:id="rId3" tooltip="Property:P6782" display="https://www.wikidata.org/wiki/Property:P6782" xr:uid="{DB0AC60D-5D95-4943-BF86-818FC33A6679}"/>
    <hyperlink ref="D1" r:id="rId4" tooltip="Property:P8189" display="https://www.wikidata.org/wiki/Property:P8189" xr:uid="{24AA9A93-B886-48F8-A248-E7655B550CA9}"/>
    <hyperlink ref="E1" r:id="rId5" tooltip="Property:P244" display="https://www.wikidata.org/wiki/Property:P244" xr:uid="{61446771-7BB5-43A3-9712-C79DB1BAF5A6}"/>
    <hyperlink ref="G1" r:id="rId6" tooltip="Property:P269" display="https://www.wikidata.org/wiki/Property:P269" xr:uid="{DFB852B0-2DB2-42B9-91C2-81A2804B03F5}"/>
    <hyperlink ref="H1" r:id="rId7" tooltip="Property:P5242" display="https://www.wikidata.org/wiki/Property:P5242" xr:uid="{80CAE1C4-0F12-49DB-B107-7A2311973207}"/>
    <hyperlink ref="I1" r:id="rId8" tooltip="Property:P646" display="https://www.wikidata.org/wiki/Property:P646" xr:uid="{37679F65-9B93-40F9-8F6B-DFEAF429AE57}"/>
    <hyperlink ref="J1" r:id="rId9" tooltip="Property:P2427" display="https://www.wikidata.org/wiki/Property:P2427" xr:uid="{860915DB-D81A-4993-A47F-DD3DC3ABF75F}"/>
    <hyperlink ref="K1" r:id="rId10" tooltip="Property:P6366" display="https://www.wikidata.org/wiki/Property:P6366" xr:uid="{1E0ECCBA-4FA8-44DD-9F0F-99AC8F10C548}"/>
    <hyperlink ref="L1" r:id="rId11" tooltip="Property:P3153" display="https://www.wikidata.org/wiki/Property:P3153" xr:uid="{13A70AD9-C448-4264-8E2F-80C5E88F7BA3}"/>
    <hyperlink ref="M1" r:id="rId12" tooltip="Property:P5584" display="https://www.wikidata.org/wiki/Property:P5584" xr:uid="{7BB67EA0-7F20-45CB-8DE0-1C4A0BE0A0ED}"/>
    <hyperlink ref="N1" r:id="rId13" tooltip="Property:P3500" display="https://www.wikidata.org/wiki/Property:P3500" xr:uid="{A495CE4C-597A-4198-9456-3F8CBBD0EE9B}"/>
    <hyperlink ref="O1" r:id="rId14" tooltip="Property:P5586" display="https://www.wikidata.org/wiki/Property:P5586" xr:uid="{E65AD062-E6E9-42F1-B569-E601D05FF43C}"/>
    <hyperlink ref="P1" r:id="rId15" tooltip="Property:P5600" display="https://www.wikidata.org/wiki/Property:P5600" xr:uid="{C63BC6CB-758B-44A0-BA62-B3EF4013C2CC}"/>
    <hyperlink ref="Q1" r:id="rId16" tooltip="Property:P268" display="https://www.wikidata.org/wiki/Property:P268" xr:uid="{35FEFDA2-93AA-4D80-8149-C76303C64E5D}"/>
    <hyperlink ref="AA1" r:id="rId17" tooltip="Property:P409" display="https://www.wikidata.org/wiki/Property:P409" xr:uid="{D7B5BB63-AED4-4304-9F26-B52A2CAEA90F}"/>
    <hyperlink ref="W1" r:id="rId18" tooltip="Property:P7859" display="https://www.wikidata.org/wiki/Property:P7859" xr:uid="{686379F2-78CA-4AAB-A66D-91DAEEC4920E}"/>
    <hyperlink ref="Z1" r:id="rId19" tooltip="Property:P2013" display="https://www.wikidata.org/wiki/Property:P2013" xr:uid="{77537F9D-CBCA-480F-9CBA-B35DAEE47C07}"/>
    <hyperlink ref="S1" r:id="rId20" tooltip="Property:P3749" display="https://www.wikidata.org/wiki/Property:P3749" xr:uid="{5050AB6C-E4D3-418C-99FC-F80439C20A8E}"/>
    <hyperlink ref="Y1" r:id="rId21" tooltip="Property:P11961" display="https://www.wikidata.org/wiki/Property:P11961" xr:uid="{6E5570E4-2A56-4D87-90B2-6D3CA0277B47}"/>
    <hyperlink ref="R1" r:id="rId22" tooltip="Property:P3417" display="https://www.wikidata.org/wiki/Property:P3417" xr:uid="{0AA244E2-D1C3-4F22-BDAC-37446752E7E2}"/>
    <hyperlink ref="V1" r:id="rId23" tooltip="Property:P12749" display="https://www.wikidata.org/wiki/Property:P12749" xr:uid="{8AB6DF07-79A2-4DF9-8131-455C330087F6}"/>
    <hyperlink ref="AB1" r:id="rId24" tooltip="Property:P3984" display="https://www.wikidata.org/wiki/Property:P3984" xr:uid="{7704ADC3-DFC6-4E61-A16E-162793759CEF}"/>
    <hyperlink ref="X1" r:id="rId25" tooltip="Property:P2002" display="https://www.wikidata.org/wiki/Property:P2002" xr:uid="{371AAC48-4D60-4A94-B709-F0DC7EB1EB2E}"/>
    <hyperlink ref="AC1" r:id="rId26" tooltip="Property:P31" display="https://www.wikidata.org/wiki/Property:P31" xr:uid="{3DB37CFF-72A0-4315-BBF0-EA2A082D0B03}"/>
    <hyperlink ref="AD1" r:id="rId27" tooltip="Property:P571" display="https://www.wikidata.org/wiki/Property:P571" xr:uid="{49E78511-7E0F-42E1-85A5-3B6AA10EEFA0}"/>
    <hyperlink ref="AE1" r:id="rId28" tooltip="Property:P17" display="https://www.wikidata.org/wiki/Property:P17" xr:uid="{B329D1A8-34E8-4E2D-A5BD-1CDBC6F16C03}"/>
    <hyperlink ref="AF1" r:id="rId29" tooltip="Property:P625" display="https://www.wikidata.org/wiki/Property:P625" xr:uid="{FEA47DBD-094E-4D3A-9622-8A9D8B5F6475}"/>
    <hyperlink ref="AG1" r:id="rId30" tooltip="Property:P463" display="https://www.wikidata.org/wiki/Property:P463" xr:uid="{3F405F06-8A3F-4314-AE49-059D2A339060}"/>
    <hyperlink ref="AH1" r:id="rId31" tooltip="Property:P856" display="https://www.wikidata.org/wiki/Property:P856" xr:uid="{5B23B9D9-2EDA-4322-AD10-89356BF04D93}"/>
    <hyperlink ref="AI1" r:id="rId32" tooltip="Property:P373" display="https://www.wikidata.org/wiki/Property:P373" xr:uid="{304EBA1B-1C57-4FE0-85C5-C484CF2E755F}"/>
    <hyperlink ref="AJ1" r:id="rId33" tooltip="Property:P3876" display="https://www.wikidata.org/wiki/Property:P3876" xr:uid="{75B483CD-0F17-45E5-A724-E43D33B5FE9A}"/>
    <hyperlink ref="AK1" r:id="rId34" tooltip="Property:P18" display="https://www.wikidata.org/wiki/Property:P18" xr:uid="{18EE43F9-ADBD-4C5D-A1A1-DB5174F31D5D}"/>
    <hyperlink ref="AP1" r:id="rId35" tooltip="Property:P131" display="https://www.wikidata.org/wiki/Property:P131" xr:uid="{83005875-A714-4F32-8143-2BBAA812CA4F}"/>
    <hyperlink ref="AQ1" r:id="rId36" tooltip="Property:P2196" display="https://www.wikidata.org/wiki/Property:P2196" xr:uid="{ECF04834-9993-4EAE-AEC8-348F65987C84}"/>
    <hyperlink ref="AL1" r:id="rId37" tooltip="Property:P355" display="https://www.wikidata.org/wiki/Property:P355" xr:uid="{7FED33EE-19AF-4136-959B-1049765806FC}"/>
    <hyperlink ref="AR1" r:id="rId38" tooltip="Property:P2936" display="https://www.wikidata.org/wiki/Property:P2936" xr:uid="{EF9C3F33-4ED6-4811-99C9-2CF786889C32}"/>
    <hyperlink ref="AO1" r:id="rId39" tooltip="Property:P8687" display="https://www.wikidata.org/wiki/Property:P8687" xr:uid="{8BC40DE0-CE4E-48D9-BB44-CDFF2BCA5C61}"/>
    <hyperlink ref="AM1" r:id="rId40" tooltip="Property:P910" display="https://www.wikidata.org/wiki/Property:P910" xr:uid="{206DFD11-14F1-4EB4-825B-E53FA34C3E42}"/>
    <hyperlink ref="AN1" r:id="rId41" tooltip="Property:P4195" display="https://www.wikidata.org/wiki/Property:P4195" xr:uid="{4647CF7D-088B-4208-8A1E-7E98C327BF87}"/>
    <hyperlink ref="U1" r:id="rId42" tooltip="Property:P691" display="https://www.wikidata.org/wiki/Property:P691" xr:uid="{1CB7CCB8-E560-464B-999F-963537E73D52}"/>
    <hyperlink ref="T1" r:id="rId43" tooltip="Property:P227" display="https://www.wikidata.org/wiki/Property:P227" xr:uid="{3E3CC620-77F8-4A79-B6C6-A774B92DB38C}"/>
    <hyperlink ref="A2" r:id="rId44" display="https://ror.org/03vek6s52" xr:uid="{5B90C8DC-242D-484E-B224-3B445DDCAF75}"/>
    <hyperlink ref="A3" r:id="rId45" display="https://ror.org/00f54p054" xr:uid="{C6CB7774-5CA7-437D-92B0-6A5C54D26221}"/>
    <hyperlink ref="A4" r:id="rId46" display="https://ror.org/042nb2s44" xr:uid="{B5891E99-5FD1-46E0-9A5E-1AC7E07490F0}"/>
    <hyperlink ref="A5" r:id="rId47" display="https://ror.org/052gg0110" xr:uid="{8B93DE98-47D9-4A59-B5F9-27CFFD87CA83}"/>
    <hyperlink ref="A7" r:id="rId48" display="https://ror.org/00jmfr291" xr:uid="{AF7B298A-CC41-4D18-9414-B92733518A52}"/>
    <hyperlink ref="A6" r:id="rId49" display="https://ror.org/01an7q238" xr:uid="{7ECC6499-D9E2-401A-9327-DAFA789342E6}"/>
    <hyperlink ref="A8" r:id="rId50" display="https://ror.org/05bnh6r87" xr:uid="{612D5B9A-C759-4D0B-8B4D-FB2D3B6B44B3}"/>
    <hyperlink ref="A9" r:id="rId51" display="https://ror.org/00cvxb145" xr:uid="{24ADC1E3-FB11-4269-9A3A-2864DBDD22BB}"/>
    <hyperlink ref="A10" r:id="rId52" display="https://ror.org/00hj8s172" xr:uid="{8C230D43-FDF0-4069-AEC8-907F90E47736}"/>
    <hyperlink ref="A11" r:id="rId53" display="https://ror.org/00b30xv10" xr:uid="{266CE439-0725-4059-836F-D3D49A2994F0}"/>
    <hyperlink ref="A13" r:id="rId54" display="https://ror.org/00za53h95" xr:uid="{15BA14AD-A2C3-4850-AC33-6B75A582B701}"/>
    <hyperlink ref="A12" r:id="rId55" display="https://ror.org/013meh722" xr:uid="{D6163A5B-0831-4ED6-A5B7-C0BEB3321B83}"/>
    <hyperlink ref="A14" r:id="rId56" display="https://ror.org/03v76x132" xr:uid="{0F571D52-591A-45F1-B4B5-8F32455E570B}"/>
    <hyperlink ref="A15" r:id="rId57" display="https://ror.org/046rm7j60" xr:uid="{D375534A-8132-4902-AA63-F73E9CF54542}"/>
    <hyperlink ref="A16" r:id="rId58" display="https://ror.org/02jx3x895" xr:uid="{3F4CB20F-CD7B-4DEE-905D-5499DEF24471}"/>
    <hyperlink ref="A17" r:id="rId59" display="https://ror.org/03dbr7087" xr:uid="{57A4D108-0128-4139-8D17-92FEA2A96EE6}"/>
    <hyperlink ref="A18" r:id="rId60" display="https://ror.org/0168r3w48" xr:uid="{1CC2EA68-40EF-41C2-B62C-8E25ADF30F49}"/>
    <hyperlink ref="A19" r:id="rId61" display="https://ror.org/04p491231" xr:uid="{BC3342FB-E1CC-4065-B39C-FED4B5B3E126}"/>
    <hyperlink ref="A21" r:id="rId62" display="https://ror.org/01y2jtd41" xr:uid="{73C402BD-1040-4849-9746-4CCFDFAD5D90}"/>
    <hyperlink ref="A23" r:id="rId63" display="https://ror.org/03cve4549" xr:uid="{0A4CBFF1-1C0E-4B93-AB3B-D6B444DD58C5}"/>
    <hyperlink ref="A22" r:id="rId64" display="https://ror.org/00py81415" xr:uid="{50C068BA-B426-4AC5-966F-3F41D0B2C1CA}"/>
    <hyperlink ref="A25" r:id="rId65" display="https://ror.org/000e0be47" xr:uid="{9A53F71A-2F29-4224-947C-9CAA84E52B3E}"/>
    <hyperlink ref="A30" r:id="rId66" display="https://ror.org/02v51f717" xr:uid="{45F89784-A014-4C47-9FA8-09A4B6378FCB}"/>
    <hyperlink ref="A20" r:id="rId67" display="https://ror.org/0190ak572" xr:uid="{925B670B-B6F1-4254-862B-6A7A46936636}"/>
    <hyperlink ref="A26" r:id="rId68" display="https://ror.org/03rmrcq20" xr:uid="{736B2FD3-5312-4348-A313-5D7170FD37F1}"/>
    <hyperlink ref="A24" r:id="rId69" display="https://ror.org/00hx57361" xr:uid="{3AC11E74-A0E2-4093-8101-834FEF38295C}"/>
    <hyperlink ref="A28" r:id="rId70" display="https://ror.org/0130frc33" xr:uid="{9FC028E2-5DC0-4827-8E99-74BE301A8D82}"/>
    <hyperlink ref="A29" r:id="rId71" display="https://ror.org/024mw5h28" xr:uid="{D4E58920-6A17-4FD2-8221-D831AB1176E5}"/>
    <hyperlink ref="A27" r:id="rId72" display="https://ror.org/00hj54h04" xr:uid="{7D993049-93DC-4584-8AAD-55DEE4087931}"/>
    <hyperlink ref="A44" r:id="rId73" display="https://ror.org/03taz7m60" xr:uid="{B04D3B7C-E14F-4384-B2FD-1249BA292BFE}"/>
    <hyperlink ref="A33" r:id="rId74" display="https://ror.org/05a28rw58" xr:uid="{8E862A11-3892-44B9-930F-792AC29A41BD}"/>
    <hyperlink ref="A32" r:id="rId75" display="https://ror.org/02y3ad647" xr:uid="{8629CB60-CD8D-4D18-93B3-34F9116A7B5F}"/>
    <hyperlink ref="A34" r:id="rId76" display="https://ror.org/041kmwe10" xr:uid="{66259090-3C6B-49CC-9826-CF246795016A}"/>
    <hyperlink ref="A35" r:id="rId77" display="https://ror.org/00rs6vg23" xr:uid="{DA935DC5-559B-41A5-A3F1-E0C27D294B59}"/>
    <hyperlink ref="A41" r:id="rId78" display="https://ror.org/047426m28" xr:uid="{591EEA9E-8A97-4218-84F6-C301241262A9}"/>
    <hyperlink ref="A36" r:id="rId79" display="https://ror.org/05rrcem69" xr:uid="{9F407204-0DEA-4A8F-9D56-E2164F048641}"/>
    <hyperlink ref="A31" r:id="rId80" display="https://ror.org/04gyf1771" xr:uid="{B4631A10-0E90-4E22-B0CE-0AA9D8CDE3BB}"/>
    <hyperlink ref="A37" r:id="rId81" display="https://ror.org/01ej9dk98" xr:uid="{B1EDC83A-76CB-48FE-8705-649E39AC4006}"/>
    <hyperlink ref="A38" r:id="rId82" display="https://ror.org/043mz5j54" xr:uid="{5D563775-EBD5-4859-AB38-CF0C34707223}"/>
    <hyperlink ref="A40" r:id="rId83" display="https://ror.org/03r8z3t63" xr:uid="{561C7458-4C1C-45C7-8E9D-F1497FB3598C}"/>
    <hyperlink ref="A42" r:id="rId84" display="https://ror.org/01yc7t268" xr:uid="{94381BE1-BEF3-4280-B7A3-1C5102730658}"/>
    <hyperlink ref="A43" r:id="rId85" display="https://ror.org/047s2c258" xr:uid="{CD791DA8-A936-44F7-BE5F-E1430197B216}"/>
    <hyperlink ref="A39" r:id="rId86" display="https://ror.org/01nrxwf90" xr:uid="{E4E57534-C4FC-4E67-9C5E-948888257F4B}"/>
    <hyperlink ref="A45" r:id="rId87" display="https://ror.org/01tgyzw49" xr:uid="{3667A62B-7BAA-4C9A-9185-8A862CE5E323}"/>
    <hyperlink ref="A47" r:id="rId88" display="https://ror.org/02dqehb95" xr:uid="{DF001CCA-1B02-4568-8E1B-272DDD50DF77}"/>
    <hyperlink ref="A51" r:id="rId89" display="https://ror.org/01an3r305" xr:uid="{719BB9E0-0C14-4818-AF8C-3AFEDD65BE72}"/>
    <hyperlink ref="A49" r:id="rId90" display="https://ror.org/05x2bcf33" xr:uid="{99C9DB5D-28D5-464C-849E-496B317B82B1}"/>
    <hyperlink ref="A48" r:id="rId91" display="https://ror.org/05hs6h993" xr:uid="{3B6FAEAD-D20A-44C3-A0AC-8DA8FAC46CF3}"/>
    <hyperlink ref="A50" r:id="rId92" display="https://ror.org/00rqy9422" xr:uid="{D3C9DF1C-6F5D-4F88-9714-E942B9042D9C}"/>
    <hyperlink ref="A54" r:id="rId93" display="https://ror.org/05vt9qd57" xr:uid="{92351243-2956-4741-878C-9D23A39AF3AD}"/>
    <hyperlink ref="A59" r:id="rId94" display="https://ror.org/03efmqc40" xr:uid="{2E61EE47-A3BD-4281-B886-4BCA0AF46619}"/>
    <hyperlink ref="A53" r:id="rId95" display="https://ror.org/03m2x1q45" xr:uid="{08B337DB-9DC7-4320-B06E-EA927C280DC3}"/>
    <hyperlink ref="A52" r:id="rId96" display="https://ror.org/05qwgg493" xr:uid="{683A69EC-1672-440E-BF3A-9F2FCB849E71}"/>
    <hyperlink ref="A57" r:id="rId97" display="https://ror.org/01f5ytq51" xr:uid="{F1FA1AA1-F529-4B1F-8A10-6613ACD3722D}"/>
    <hyperlink ref="A63" r:id="rId98" display="https://ror.org/02bfwt286" xr:uid="{FF397B1F-E654-4C4E-835F-7287B04FE12E}"/>
    <hyperlink ref="A56" r:id="rId99" display="https://ror.org/0384j8v12" xr:uid="{EC87105A-9EDE-410D-A684-81CD6A9E5D9C}"/>
    <hyperlink ref="A60" r:id="rId100" display="https://ror.org/00a2xv884" xr:uid="{CAAB6293-8C3F-4654-9B7A-54E61C2B5C21}"/>
    <hyperlink ref="A55" r:id="rId101" display="https://ror.org/04dkp9463" xr:uid="{189D81B0-C87B-47EA-9952-CB0B6C61D78C}"/>
    <hyperlink ref="A62" r:id="rId102" display="https://ror.org/02ttsq026" xr:uid="{6621683D-C717-4269-8197-B988E4FCA2B7}"/>
    <hyperlink ref="A65" r:id="rId103" display="https://ror.org/0220qvk04" xr:uid="{46E3171A-1D29-4835-96B6-618C67D8BB72}"/>
    <hyperlink ref="A46" r:id="rId104" display="https://ror.org/01pxwe438" xr:uid="{0523A4BD-1401-431E-A481-6090A0219749}"/>
    <hyperlink ref="A66" r:id="rId105" display="https://ror.org/02vm5rt34" xr:uid="{A370C2D2-5036-4EED-A21E-D38E9F68EF41}"/>
    <hyperlink ref="A68" r:id="rId106" display="https://ror.org/05dxps055" xr:uid="{5437CD49-9B7E-4511-A632-78FEB1767812}"/>
    <hyperlink ref="A64" r:id="rId107" display="https://ror.org/027m9bs27" xr:uid="{7B7DEF79-5A8D-4755-91E2-2AF7E3C61BA0}"/>
    <hyperlink ref="A70" r:id="rId108" display="https://ror.org/01zkghx44" xr:uid="{76D1EBDF-BC4F-45B9-85C2-A82DB2777444}"/>
    <hyperlink ref="A58" r:id="rId109" display="https://ror.org/04pp8hn57" xr:uid="{9148DCD8-F7FC-413B-B051-692E49BDFE39}"/>
    <hyperlink ref="A61" r:id="rId110" display="https://ror.org/0220mzb33" xr:uid="{F69F4C8A-FFB3-4599-B411-E16DFBBAC185}"/>
    <hyperlink ref="A67" r:id="rId111" display="https://ror.org/03r0ha626" xr:uid="{0A72AB43-63A1-48D3-AD3E-51A9E6C477B4}"/>
    <hyperlink ref="A69" r:id="rId112" display="https://ror.org/0153tk833" xr:uid="{66F43110-0B88-44D8-BAA5-3B1DFCDA541D}"/>
    <hyperlink ref="A71" r:id="rId113" display="https://ror.org/0160cpw27" xr:uid="{CBAD96FF-81D3-4E10-BF01-8121E1043960}"/>
    <hyperlink ref="A72" r:id="rId114" display="https://ror.org/03czfpz43" xr:uid="{52AD5E9D-BF7A-4188-88FC-48925B03B790}"/>
    <hyperlink ref="A73" r:id="rId115" display="https://ror.org/057zh3y96" xr:uid="{848AE3F8-A173-499F-8560-8F1424CCE5FB}"/>
    <hyperlink ref="A74" r:id="rId116" display="https://ror.org/036rp1748" xr:uid="{1B6263EF-DB26-4DAF-AD21-EDA6F04E0D53}"/>
    <hyperlink ref="A75" r:id="rId117" display="https://ror.org/035b05819" xr:uid="{0C298FAC-9A55-4B07-A455-22F9508F3CCA}"/>
    <hyperlink ref="A76" r:id="rId118" display="https://ror.org/05f950310" xr:uid="{FD48AD7B-EB9D-417B-81A3-89BE563A8CA7}"/>
    <hyperlink ref="A77" r:id="rId119" display="https://ror.org/00t33hh48" xr:uid="{6CF65FB1-C21E-45C4-BFA0-E0777006F471}"/>
    <hyperlink ref="A78" r:id="rId120" display="https://ror.org/021018s57" xr:uid="{43E7E547-4F90-40CB-BB95-E9A21BA551A4}"/>
    <hyperlink ref="A79" r:id="rId121" display="https://ror.org/05gq02987" xr:uid="{9D145DF7-EE0B-4003-A55D-36442AC89942}"/>
    <hyperlink ref="A80" r:id="rId122" display="https://ror.org/012p63287" xr:uid="{27D266C7-9D75-4859-B112-77E6D0E38FA5}"/>
    <hyperlink ref="A81" r:id="rId123" display="https://ror.org/02zhqgq86" xr:uid="{DBD08C25-A73E-4C3D-8173-F00DFF7AA61E}"/>
    <hyperlink ref="A82" r:id="rId124" display="https://ror.org/008xxew50" xr:uid="{F2F513A2-9AE0-4B4D-8F76-2337B7531CBE}"/>
    <hyperlink ref="A83" r:id="rId125" display="https://ror.org/04tj63d06" xr:uid="{D260B462-FC88-4827-B672-FBFD99E24CD3}"/>
    <hyperlink ref="A84" r:id="rId126" display="https://ror.org/02kkvpp62" xr:uid="{0906BD73-DE0D-4499-B803-2E90CB574133}"/>
    <hyperlink ref="A85" r:id="rId127" display="https://ror.org/019wvm592" xr:uid="{198591A5-70AD-4117-B009-61CD46A5D261}"/>
    <hyperlink ref="A86" r:id="rId128" display="https://ror.org/02t274463" xr:uid="{12F38F16-14BE-490E-809E-A191AE0A44BA}"/>
    <hyperlink ref="A87" r:id="rId129" display="https://ror.org/01aff2v68" xr:uid="{A2A7E027-B0D5-402D-9830-2C7335A26537}"/>
    <hyperlink ref="A88" r:id="rId130" display="https://ror.org/040af2s02" xr:uid="{B88FF148-39B6-4448-BD3F-06DA94830E04}"/>
    <hyperlink ref="A89" r:id="rId131" display="https://ror.org/02smfhw86" xr:uid="{84A49B0F-EB9D-432F-80D5-DF1CFFFFF30D}"/>
    <hyperlink ref="A90" r:id="rId132" display="https://ror.org/03yjb2x39" xr:uid="{EB1A2366-36B1-4C01-84F0-07926A882A34}"/>
    <hyperlink ref="A91" r:id="rId133" display="https://ror.org/04c4dkn09" xr:uid="{B75393AA-CCBA-4E2B-B93B-639534A9C7DC}"/>
    <hyperlink ref="A92" r:id="rId134" display="https://ror.org/024mrxd33" xr:uid="{74ADD749-6A40-4856-A85A-39E064309E31}"/>
    <hyperlink ref="A93" r:id="rId135" display="https://ror.org/02e7b5302" xr:uid="{3D83431B-5C16-4523-AA21-960BD7D26890}"/>
    <hyperlink ref="A94" r:id="rId136" display="https://ror.org/01xtthb56" xr:uid="{BC063A5C-C6CA-43B5-83C8-8B2170C3B0AC}"/>
    <hyperlink ref="A95" r:id="rId137" display="https://ror.org/036jqmy94" xr:uid="{3959EE09-FA3E-4E73-A32E-78D731D0FEC2}"/>
    <hyperlink ref="A96" r:id="rId138" display="https://ror.org/02crff812" xr:uid="{7B810ADB-7CD0-4500-BADF-5EDCFC12146C}"/>
    <hyperlink ref="A97" r:id="rId139" display="https://ror.org/013q1eq08" xr:uid="{2A82471E-0D81-44DA-828B-B24924759D9C}"/>
    <hyperlink ref="A98" r:id="rId140" display="https://ror.org/01111rn36" xr:uid="{F2981E18-2027-4F1D-B793-FD0435901877}"/>
    <hyperlink ref="A99" r:id="rId141" display="https://ror.org/01aj84f44" xr:uid="{E744853A-A66E-4A16-9842-560714E085BB}"/>
    <hyperlink ref="A100" r:id="rId142" display="https://ror.org/02s376052" xr:uid="{8905FAD4-0B11-4F9D-8EFF-BF36D07D5F5A}"/>
    <hyperlink ref="A101" r:id="rId143" display="https://ror.org/022kthw22" xr:uid="{101401AE-FB9F-495E-84FD-A5FAFA6464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93CA-80C0-4851-909D-B01DE7B1CD3F}">
  <dimension ref="A1:D101"/>
  <sheetViews>
    <sheetView tabSelected="1" topLeftCell="A89" workbookViewId="0">
      <selection activeCell="C115" sqref="C115"/>
    </sheetView>
  </sheetViews>
  <sheetFormatPr defaultRowHeight="14.4" x14ac:dyDescent="0.3"/>
  <cols>
    <col min="1" max="1" width="45.21875" customWidth="1"/>
    <col min="3" max="3" width="18.109375" bestFit="1" customWidth="1"/>
    <col min="4" max="4" width="19.109375" bestFit="1" customWidth="1"/>
  </cols>
  <sheetData>
    <row r="1" spans="1:4" x14ac:dyDescent="0.3">
      <c r="A1" s="9" t="s">
        <v>613</v>
      </c>
      <c r="B1" t="s">
        <v>716</v>
      </c>
      <c r="C1" t="s">
        <v>596</v>
      </c>
      <c r="D1" t="s">
        <v>595</v>
      </c>
    </row>
    <row r="2" spans="1:4" x14ac:dyDescent="0.3">
      <c r="A2" s="10" t="s">
        <v>614</v>
      </c>
      <c r="B2">
        <v>1</v>
      </c>
      <c r="C2">
        <v>136</v>
      </c>
      <c r="D2">
        <v>53</v>
      </c>
    </row>
    <row r="3" spans="1:4" x14ac:dyDescent="0.3">
      <c r="A3" s="10" t="s">
        <v>615</v>
      </c>
      <c r="B3">
        <v>2</v>
      </c>
      <c r="C3">
        <v>101</v>
      </c>
      <c r="D3">
        <v>52</v>
      </c>
    </row>
    <row r="4" spans="1:4" x14ac:dyDescent="0.3">
      <c r="A4" s="10" t="s">
        <v>616</v>
      </c>
      <c r="B4">
        <v>3</v>
      </c>
      <c r="C4">
        <v>96</v>
      </c>
      <c r="D4">
        <v>46</v>
      </c>
    </row>
    <row r="5" spans="1:4" x14ac:dyDescent="0.3">
      <c r="A5" s="10" t="s">
        <v>617</v>
      </c>
      <c r="B5" s="4">
        <v>4</v>
      </c>
      <c r="C5">
        <v>126</v>
      </c>
      <c r="D5">
        <v>51</v>
      </c>
    </row>
    <row r="6" spans="1:4" x14ac:dyDescent="0.3">
      <c r="A6" s="10" t="s">
        <v>618</v>
      </c>
      <c r="B6" s="4">
        <v>5</v>
      </c>
      <c r="C6">
        <v>105</v>
      </c>
      <c r="D6">
        <v>49</v>
      </c>
    </row>
    <row r="7" spans="1:4" x14ac:dyDescent="0.3">
      <c r="A7" s="10" t="s">
        <v>619</v>
      </c>
      <c r="B7" s="4">
        <v>6</v>
      </c>
      <c r="C7">
        <v>86</v>
      </c>
      <c r="D7">
        <v>45</v>
      </c>
    </row>
    <row r="8" spans="1:4" x14ac:dyDescent="0.3">
      <c r="A8" s="10" t="s">
        <v>620</v>
      </c>
      <c r="B8" s="4">
        <v>7</v>
      </c>
      <c r="C8">
        <v>89</v>
      </c>
      <c r="D8">
        <v>41</v>
      </c>
    </row>
    <row r="9" spans="1:4" x14ac:dyDescent="0.3">
      <c r="A9" s="10" t="s">
        <v>621</v>
      </c>
      <c r="B9" s="4">
        <v>8</v>
      </c>
      <c r="C9">
        <v>82</v>
      </c>
      <c r="D9">
        <v>39</v>
      </c>
    </row>
    <row r="10" spans="1:4" x14ac:dyDescent="0.3">
      <c r="A10" s="10" t="s">
        <v>622</v>
      </c>
      <c r="B10" s="4">
        <v>9</v>
      </c>
      <c r="C10">
        <v>98</v>
      </c>
      <c r="D10">
        <v>41</v>
      </c>
    </row>
    <row r="11" spans="1:4" x14ac:dyDescent="0.3">
      <c r="A11" s="10" t="s">
        <v>623</v>
      </c>
      <c r="B11" s="4">
        <v>10</v>
      </c>
      <c r="C11">
        <v>122</v>
      </c>
      <c r="D11">
        <v>44</v>
      </c>
    </row>
    <row r="12" spans="1:4" x14ac:dyDescent="0.3">
      <c r="A12" s="10" t="s">
        <v>624</v>
      </c>
      <c r="B12" s="4">
        <v>11</v>
      </c>
      <c r="C12">
        <v>124</v>
      </c>
      <c r="D12">
        <v>47</v>
      </c>
    </row>
    <row r="13" spans="1:4" x14ac:dyDescent="0.3">
      <c r="A13" s="10" t="s">
        <v>625</v>
      </c>
      <c r="B13" s="4">
        <v>12</v>
      </c>
      <c r="C13">
        <v>105</v>
      </c>
      <c r="D13">
        <v>43</v>
      </c>
    </row>
    <row r="14" spans="1:4" x14ac:dyDescent="0.3">
      <c r="A14" s="10" t="s">
        <v>626</v>
      </c>
      <c r="B14" s="4">
        <v>13</v>
      </c>
      <c r="C14">
        <v>88</v>
      </c>
      <c r="D14">
        <v>49</v>
      </c>
    </row>
    <row r="15" spans="1:4" x14ac:dyDescent="0.3">
      <c r="A15" s="10" t="s">
        <v>627</v>
      </c>
      <c r="B15" s="4">
        <v>14</v>
      </c>
      <c r="C15">
        <v>105</v>
      </c>
      <c r="D15">
        <v>46</v>
      </c>
    </row>
    <row r="16" spans="1:4" x14ac:dyDescent="0.3">
      <c r="A16" s="10" t="s">
        <v>628</v>
      </c>
      <c r="B16" s="4">
        <v>15</v>
      </c>
      <c r="C16">
        <v>67</v>
      </c>
      <c r="D16">
        <v>39</v>
      </c>
    </row>
    <row r="17" spans="1:4" x14ac:dyDescent="0.3">
      <c r="A17" s="10" t="s">
        <v>629</v>
      </c>
      <c r="B17" s="4">
        <v>16</v>
      </c>
      <c r="C17">
        <v>79</v>
      </c>
      <c r="D17">
        <v>33</v>
      </c>
    </row>
    <row r="18" spans="1:4" x14ac:dyDescent="0.3">
      <c r="A18" s="10" t="s">
        <v>630</v>
      </c>
      <c r="B18" s="4">
        <v>17</v>
      </c>
      <c r="C18">
        <v>74</v>
      </c>
      <c r="D18">
        <v>41</v>
      </c>
    </row>
    <row r="19" spans="1:4" x14ac:dyDescent="0.3">
      <c r="A19" s="10" t="s">
        <v>631</v>
      </c>
      <c r="B19" s="4">
        <v>18</v>
      </c>
      <c r="C19">
        <v>87</v>
      </c>
      <c r="D19">
        <v>36</v>
      </c>
    </row>
    <row r="20" spans="1:4" x14ac:dyDescent="0.3">
      <c r="A20" s="10" t="s">
        <v>632</v>
      </c>
      <c r="B20" s="4">
        <v>19</v>
      </c>
      <c r="C20">
        <v>76</v>
      </c>
      <c r="D20">
        <v>37</v>
      </c>
    </row>
    <row r="21" spans="1:4" x14ac:dyDescent="0.3">
      <c r="A21" s="10" t="s">
        <v>633</v>
      </c>
      <c r="B21" s="4">
        <v>20</v>
      </c>
      <c r="C21">
        <v>79</v>
      </c>
      <c r="D21">
        <v>43</v>
      </c>
    </row>
    <row r="22" spans="1:4" x14ac:dyDescent="0.3">
      <c r="A22" s="10" t="s">
        <v>634</v>
      </c>
      <c r="B22" s="4">
        <v>21</v>
      </c>
      <c r="C22">
        <v>67</v>
      </c>
      <c r="D22">
        <v>41</v>
      </c>
    </row>
    <row r="23" spans="1:4" x14ac:dyDescent="0.3">
      <c r="A23" s="10" t="s">
        <v>635</v>
      </c>
      <c r="B23" s="4">
        <v>22</v>
      </c>
      <c r="C23">
        <v>56</v>
      </c>
      <c r="D23">
        <v>32</v>
      </c>
    </row>
    <row r="24" spans="1:4" x14ac:dyDescent="0.3">
      <c r="A24" s="10" t="s">
        <v>636</v>
      </c>
      <c r="B24" s="4">
        <v>23</v>
      </c>
      <c r="C24">
        <v>105</v>
      </c>
      <c r="D24">
        <v>46</v>
      </c>
    </row>
    <row r="25" spans="1:4" x14ac:dyDescent="0.3">
      <c r="A25" s="10" t="s">
        <v>637</v>
      </c>
      <c r="B25" s="4">
        <v>24</v>
      </c>
      <c r="C25">
        <v>82</v>
      </c>
      <c r="D25">
        <v>46</v>
      </c>
    </row>
    <row r="26" spans="1:4" x14ac:dyDescent="0.3">
      <c r="A26" s="10" t="s">
        <v>638</v>
      </c>
      <c r="B26" s="4">
        <v>25</v>
      </c>
      <c r="C26">
        <v>59</v>
      </c>
      <c r="D26">
        <v>34</v>
      </c>
    </row>
    <row r="27" spans="1:4" x14ac:dyDescent="0.3">
      <c r="A27" s="10" t="s">
        <v>639</v>
      </c>
      <c r="B27" s="4">
        <v>26</v>
      </c>
      <c r="C27">
        <v>68</v>
      </c>
      <c r="D27">
        <v>40</v>
      </c>
    </row>
    <row r="28" spans="1:4" x14ac:dyDescent="0.3">
      <c r="A28" s="10" t="s">
        <v>640</v>
      </c>
      <c r="B28" s="4">
        <v>27</v>
      </c>
      <c r="C28">
        <v>49</v>
      </c>
      <c r="D28">
        <v>40</v>
      </c>
    </row>
    <row r="29" spans="1:4" x14ac:dyDescent="0.3">
      <c r="A29" s="10" t="s">
        <v>641</v>
      </c>
      <c r="B29" s="4">
        <v>28</v>
      </c>
      <c r="C29">
        <v>93</v>
      </c>
      <c r="D29">
        <v>47</v>
      </c>
    </row>
    <row r="30" spans="1:4" x14ac:dyDescent="0.3">
      <c r="A30" s="10" t="s">
        <v>642</v>
      </c>
      <c r="B30" s="4">
        <v>29</v>
      </c>
      <c r="C30">
        <v>68</v>
      </c>
      <c r="D30">
        <v>33</v>
      </c>
    </row>
    <row r="31" spans="1:4" x14ac:dyDescent="0.3">
      <c r="A31" s="10" t="s">
        <v>643</v>
      </c>
      <c r="B31" s="4">
        <v>30</v>
      </c>
      <c r="C31">
        <v>42</v>
      </c>
      <c r="D31">
        <v>34</v>
      </c>
    </row>
    <row r="32" spans="1:4" x14ac:dyDescent="0.3">
      <c r="A32" s="10" t="s">
        <v>644</v>
      </c>
      <c r="B32" s="4">
        <v>31</v>
      </c>
      <c r="C32">
        <v>62</v>
      </c>
      <c r="D32">
        <v>38</v>
      </c>
    </row>
    <row r="33" spans="1:4" x14ac:dyDescent="0.3">
      <c r="A33" s="10" t="s">
        <v>645</v>
      </c>
      <c r="B33" s="4">
        <v>32</v>
      </c>
      <c r="C33">
        <v>63</v>
      </c>
      <c r="D33">
        <v>35</v>
      </c>
    </row>
    <row r="34" spans="1:4" x14ac:dyDescent="0.3">
      <c r="A34" s="10" t="s">
        <v>646</v>
      </c>
      <c r="B34" s="4">
        <v>33</v>
      </c>
      <c r="C34">
        <v>57</v>
      </c>
      <c r="D34">
        <v>44</v>
      </c>
    </row>
    <row r="35" spans="1:4" x14ac:dyDescent="0.3">
      <c r="A35" s="10" t="s">
        <v>649</v>
      </c>
      <c r="B35" s="4">
        <v>34</v>
      </c>
      <c r="C35">
        <v>84</v>
      </c>
      <c r="D35">
        <v>36</v>
      </c>
    </row>
    <row r="36" spans="1:4" x14ac:dyDescent="0.3">
      <c r="A36" s="10" t="s">
        <v>650</v>
      </c>
      <c r="B36" s="4">
        <v>35</v>
      </c>
      <c r="C36">
        <v>71</v>
      </c>
      <c r="D36">
        <v>42</v>
      </c>
    </row>
    <row r="37" spans="1:4" x14ac:dyDescent="0.3">
      <c r="A37" s="10" t="s">
        <v>647</v>
      </c>
      <c r="B37" s="4">
        <v>36</v>
      </c>
      <c r="C37">
        <v>68</v>
      </c>
      <c r="D37">
        <v>28</v>
      </c>
    </row>
    <row r="38" spans="1:4" x14ac:dyDescent="0.3">
      <c r="A38" s="10" t="s">
        <v>648</v>
      </c>
      <c r="B38" s="4">
        <v>37</v>
      </c>
      <c r="C38">
        <v>36</v>
      </c>
      <c r="D38">
        <v>33</v>
      </c>
    </row>
    <row r="39" spans="1:4" x14ac:dyDescent="0.3">
      <c r="A39" s="10" t="s">
        <v>651</v>
      </c>
      <c r="B39" s="4">
        <v>38</v>
      </c>
      <c r="C39">
        <v>79</v>
      </c>
      <c r="D39">
        <v>40</v>
      </c>
    </row>
    <row r="40" spans="1:4" x14ac:dyDescent="0.3">
      <c r="A40" s="10" t="s">
        <v>652</v>
      </c>
      <c r="B40" s="4">
        <v>39</v>
      </c>
      <c r="C40">
        <v>71</v>
      </c>
      <c r="D40">
        <v>23</v>
      </c>
    </row>
    <row r="41" spans="1:4" x14ac:dyDescent="0.3">
      <c r="A41" s="10" t="s">
        <v>653</v>
      </c>
      <c r="B41" s="4">
        <v>40</v>
      </c>
      <c r="C41">
        <v>63</v>
      </c>
      <c r="D41">
        <v>42</v>
      </c>
    </row>
    <row r="42" spans="1:4" x14ac:dyDescent="0.3">
      <c r="A42" s="10" t="s">
        <v>654</v>
      </c>
      <c r="B42" s="4">
        <v>41</v>
      </c>
      <c r="C42">
        <v>65</v>
      </c>
      <c r="D42">
        <v>33</v>
      </c>
    </row>
    <row r="43" spans="1:4" x14ac:dyDescent="0.3">
      <c r="A43" s="10" t="s">
        <v>655</v>
      </c>
      <c r="B43" s="4">
        <v>42</v>
      </c>
      <c r="C43">
        <v>95</v>
      </c>
      <c r="D43">
        <v>51</v>
      </c>
    </row>
    <row r="44" spans="1:4" x14ac:dyDescent="0.3">
      <c r="A44" s="10" t="s">
        <v>656</v>
      </c>
      <c r="B44" s="4">
        <v>43</v>
      </c>
      <c r="C44">
        <v>63</v>
      </c>
      <c r="D44">
        <v>40</v>
      </c>
    </row>
    <row r="45" spans="1:4" x14ac:dyDescent="0.3">
      <c r="A45" s="10" t="s">
        <v>657</v>
      </c>
      <c r="B45" s="4">
        <v>44</v>
      </c>
      <c r="C45">
        <v>65</v>
      </c>
      <c r="D45">
        <v>27</v>
      </c>
    </row>
    <row r="46" spans="1:4" x14ac:dyDescent="0.3">
      <c r="A46" s="10" t="s">
        <v>658</v>
      </c>
      <c r="B46" s="4">
        <v>45</v>
      </c>
      <c r="C46">
        <v>61</v>
      </c>
      <c r="D46">
        <v>39</v>
      </c>
    </row>
    <row r="47" spans="1:4" x14ac:dyDescent="0.3">
      <c r="A47" s="10" t="s">
        <v>659</v>
      </c>
      <c r="B47" s="4">
        <v>46</v>
      </c>
      <c r="C47">
        <v>62</v>
      </c>
      <c r="D47">
        <v>36</v>
      </c>
    </row>
    <row r="48" spans="1:4" x14ac:dyDescent="0.3">
      <c r="A48" s="10" t="s">
        <v>660</v>
      </c>
      <c r="B48" s="4">
        <v>47</v>
      </c>
      <c r="C48">
        <v>46</v>
      </c>
      <c r="D48">
        <v>34</v>
      </c>
    </row>
    <row r="49" spans="1:4" x14ac:dyDescent="0.3">
      <c r="A49" s="10" t="s">
        <v>661</v>
      </c>
      <c r="B49" s="4">
        <v>48</v>
      </c>
      <c r="C49">
        <v>65</v>
      </c>
      <c r="D49">
        <v>39</v>
      </c>
    </row>
    <row r="50" spans="1:4" x14ac:dyDescent="0.3">
      <c r="A50" s="10" t="s">
        <v>662</v>
      </c>
      <c r="B50" s="4">
        <v>49</v>
      </c>
      <c r="C50">
        <v>54</v>
      </c>
      <c r="D50">
        <v>23</v>
      </c>
    </row>
    <row r="51" spans="1:4" x14ac:dyDescent="0.3">
      <c r="A51" s="10" t="s">
        <v>663</v>
      </c>
      <c r="B51" s="4">
        <v>50</v>
      </c>
      <c r="C51">
        <v>92</v>
      </c>
      <c r="D51">
        <v>41</v>
      </c>
    </row>
    <row r="52" spans="1:4" x14ac:dyDescent="0.3">
      <c r="A52" s="10" t="s">
        <v>664</v>
      </c>
      <c r="B52" s="4">
        <v>51</v>
      </c>
      <c r="C52">
        <v>68</v>
      </c>
      <c r="D52">
        <v>38</v>
      </c>
    </row>
    <row r="53" spans="1:4" x14ac:dyDescent="0.3">
      <c r="A53" s="10" t="s">
        <v>665</v>
      </c>
      <c r="B53" s="4">
        <v>52</v>
      </c>
      <c r="C53">
        <v>52</v>
      </c>
      <c r="D53">
        <v>39</v>
      </c>
    </row>
    <row r="54" spans="1:4" x14ac:dyDescent="0.3">
      <c r="A54" s="10" t="s">
        <v>666</v>
      </c>
      <c r="B54" s="4">
        <v>53</v>
      </c>
      <c r="C54">
        <v>59</v>
      </c>
      <c r="D54">
        <v>26</v>
      </c>
    </row>
    <row r="55" spans="1:4" x14ac:dyDescent="0.3">
      <c r="A55" s="10" t="s">
        <v>670</v>
      </c>
      <c r="B55" s="4">
        <v>54</v>
      </c>
      <c r="C55">
        <v>69</v>
      </c>
      <c r="D55">
        <v>34</v>
      </c>
    </row>
    <row r="56" spans="1:4" x14ac:dyDescent="0.3">
      <c r="A56" s="10" t="s">
        <v>669</v>
      </c>
      <c r="B56" s="4">
        <v>55</v>
      </c>
      <c r="C56">
        <v>80</v>
      </c>
      <c r="D56">
        <v>28</v>
      </c>
    </row>
    <row r="57" spans="1:4" x14ac:dyDescent="0.3">
      <c r="A57" s="10" t="s">
        <v>668</v>
      </c>
      <c r="B57" s="4">
        <v>56</v>
      </c>
      <c r="C57">
        <v>49</v>
      </c>
      <c r="D57">
        <v>34</v>
      </c>
    </row>
    <row r="58" spans="1:4" x14ac:dyDescent="0.3">
      <c r="A58" s="10" t="s">
        <v>667</v>
      </c>
      <c r="B58" s="4">
        <v>57</v>
      </c>
      <c r="C58">
        <v>64</v>
      </c>
      <c r="D58">
        <v>27</v>
      </c>
    </row>
    <row r="59" spans="1:4" x14ac:dyDescent="0.3">
      <c r="A59" s="10" t="s">
        <v>671</v>
      </c>
      <c r="B59" s="4">
        <v>58</v>
      </c>
      <c r="C59">
        <v>61</v>
      </c>
      <c r="D59">
        <v>42</v>
      </c>
    </row>
    <row r="60" spans="1:4" x14ac:dyDescent="0.3">
      <c r="A60" s="10" t="s">
        <v>672</v>
      </c>
      <c r="B60" s="4">
        <v>59</v>
      </c>
      <c r="C60">
        <v>42</v>
      </c>
      <c r="D60">
        <v>23</v>
      </c>
    </row>
    <row r="61" spans="1:4" x14ac:dyDescent="0.3">
      <c r="A61" s="10" t="s">
        <v>673</v>
      </c>
      <c r="B61" s="4">
        <v>60</v>
      </c>
      <c r="C61">
        <v>53</v>
      </c>
      <c r="D61">
        <v>51</v>
      </c>
    </row>
    <row r="62" spans="1:4" x14ac:dyDescent="0.3">
      <c r="A62" s="10" t="s">
        <v>674</v>
      </c>
      <c r="B62" s="4">
        <v>61</v>
      </c>
      <c r="C62">
        <v>42</v>
      </c>
      <c r="D62">
        <v>37</v>
      </c>
    </row>
    <row r="63" spans="1:4" x14ac:dyDescent="0.3">
      <c r="A63" s="10" t="s">
        <v>675</v>
      </c>
      <c r="B63" s="4">
        <v>62</v>
      </c>
      <c r="C63">
        <v>48</v>
      </c>
      <c r="D63">
        <v>20</v>
      </c>
    </row>
    <row r="64" spans="1:4" x14ac:dyDescent="0.3">
      <c r="A64" s="10" t="s">
        <v>676</v>
      </c>
      <c r="B64" s="4">
        <v>63</v>
      </c>
      <c r="C64">
        <v>62</v>
      </c>
      <c r="D64">
        <v>33</v>
      </c>
    </row>
    <row r="65" spans="1:4" x14ac:dyDescent="0.3">
      <c r="A65" s="10" t="s">
        <v>677</v>
      </c>
      <c r="B65" s="4">
        <v>64</v>
      </c>
      <c r="C65">
        <v>50</v>
      </c>
      <c r="D65">
        <v>30</v>
      </c>
    </row>
    <row r="66" spans="1:4" x14ac:dyDescent="0.3">
      <c r="A66" s="10" t="s">
        <v>678</v>
      </c>
      <c r="B66" s="4">
        <v>65</v>
      </c>
      <c r="C66">
        <v>53</v>
      </c>
      <c r="D66">
        <v>37</v>
      </c>
    </row>
    <row r="67" spans="1:4" x14ac:dyDescent="0.3">
      <c r="A67" s="10" t="s">
        <v>679</v>
      </c>
      <c r="B67" s="4">
        <v>66</v>
      </c>
      <c r="C67">
        <v>55</v>
      </c>
      <c r="D67">
        <v>35</v>
      </c>
    </row>
    <row r="68" spans="1:4" x14ac:dyDescent="0.3">
      <c r="A68" s="10" t="s">
        <v>680</v>
      </c>
      <c r="B68" s="4">
        <v>67</v>
      </c>
      <c r="C68">
        <v>58</v>
      </c>
      <c r="D68">
        <v>37</v>
      </c>
    </row>
    <row r="69" spans="1:4" x14ac:dyDescent="0.3">
      <c r="A69" s="10" t="s">
        <v>681</v>
      </c>
      <c r="B69" s="4">
        <v>68</v>
      </c>
      <c r="C69">
        <v>94</v>
      </c>
      <c r="D69">
        <v>54</v>
      </c>
    </row>
    <row r="70" spans="1:4" x14ac:dyDescent="0.3">
      <c r="A70" s="10" t="s">
        <v>682</v>
      </c>
      <c r="B70" s="4">
        <v>69</v>
      </c>
      <c r="C70">
        <v>53</v>
      </c>
      <c r="D70">
        <v>37</v>
      </c>
    </row>
    <row r="71" spans="1:4" x14ac:dyDescent="0.3">
      <c r="A71" s="10" t="s">
        <v>683</v>
      </c>
      <c r="B71" s="4">
        <v>70</v>
      </c>
      <c r="C71">
        <v>59</v>
      </c>
      <c r="D71">
        <v>35</v>
      </c>
    </row>
    <row r="72" spans="1:4" x14ac:dyDescent="0.3">
      <c r="A72" s="10" t="s">
        <v>684</v>
      </c>
      <c r="B72" s="4">
        <v>71</v>
      </c>
      <c r="C72">
        <v>56</v>
      </c>
      <c r="D72">
        <v>33</v>
      </c>
    </row>
    <row r="73" spans="1:4" x14ac:dyDescent="0.3">
      <c r="A73" s="10" t="s">
        <v>685</v>
      </c>
      <c r="B73" s="4">
        <v>72</v>
      </c>
      <c r="C73">
        <v>69</v>
      </c>
      <c r="D73">
        <v>45</v>
      </c>
    </row>
    <row r="74" spans="1:4" x14ac:dyDescent="0.3">
      <c r="A74" s="10" t="s">
        <v>686</v>
      </c>
      <c r="B74" s="4">
        <v>73</v>
      </c>
      <c r="C74">
        <v>50</v>
      </c>
      <c r="D74">
        <v>30</v>
      </c>
    </row>
    <row r="75" spans="1:4" x14ac:dyDescent="0.3">
      <c r="A75" s="10" t="s">
        <v>687</v>
      </c>
      <c r="B75" s="4">
        <v>74</v>
      </c>
      <c r="C75">
        <v>59</v>
      </c>
      <c r="D75">
        <v>26</v>
      </c>
    </row>
    <row r="76" spans="1:4" x14ac:dyDescent="0.3">
      <c r="A76" s="10" t="s">
        <v>688</v>
      </c>
      <c r="B76" s="4">
        <v>75</v>
      </c>
      <c r="C76">
        <v>71</v>
      </c>
      <c r="D76">
        <v>38</v>
      </c>
    </row>
    <row r="77" spans="1:4" x14ac:dyDescent="0.3">
      <c r="A77" s="10" t="s">
        <v>689</v>
      </c>
      <c r="B77" s="4">
        <v>76</v>
      </c>
      <c r="C77">
        <v>53</v>
      </c>
      <c r="D77">
        <v>25</v>
      </c>
    </row>
    <row r="78" spans="1:4" x14ac:dyDescent="0.3">
      <c r="A78" s="10" t="s">
        <v>691</v>
      </c>
      <c r="B78" s="4">
        <v>77</v>
      </c>
      <c r="C78">
        <v>70</v>
      </c>
      <c r="D78">
        <v>32</v>
      </c>
    </row>
    <row r="79" spans="1:4" x14ac:dyDescent="0.3">
      <c r="A79" s="10" t="s">
        <v>690</v>
      </c>
      <c r="B79" s="4">
        <v>78</v>
      </c>
      <c r="C79">
        <v>66</v>
      </c>
      <c r="D79">
        <v>46</v>
      </c>
    </row>
    <row r="80" spans="1:4" x14ac:dyDescent="0.3">
      <c r="A80" s="10" t="s">
        <v>694</v>
      </c>
      <c r="B80" s="4">
        <v>79</v>
      </c>
      <c r="C80">
        <v>66</v>
      </c>
      <c r="D80">
        <v>27</v>
      </c>
    </row>
    <row r="81" spans="1:4" x14ac:dyDescent="0.3">
      <c r="A81" s="10" t="s">
        <v>693</v>
      </c>
      <c r="B81" s="4">
        <v>80</v>
      </c>
      <c r="C81">
        <v>57</v>
      </c>
      <c r="D81">
        <v>26</v>
      </c>
    </row>
    <row r="82" spans="1:4" x14ac:dyDescent="0.3">
      <c r="A82" s="10" t="s">
        <v>692</v>
      </c>
      <c r="B82" s="4">
        <v>81</v>
      </c>
      <c r="C82">
        <v>46</v>
      </c>
      <c r="D82">
        <v>30</v>
      </c>
    </row>
    <row r="83" spans="1:4" x14ac:dyDescent="0.3">
      <c r="A83" s="10" t="s">
        <v>695</v>
      </c>
      <c r="B83" s="4">
        <v>82</v>
      </c>
      <c r="C83">
        <v>43</v>
      </c>
      <c r="D83">
        <v>31</v>
      </c>
    </row>
    <row r="84" spans="1:4" x14ac:dyDescent="0.3">
      <c r="A84" s="10" t="s">
        <v>696</v>
      </c>
      <c r="B84" s="4">
        <v>83</v>
      </c>
      <c r="C84">
        <v>60</v>
      </c>
      <c r="D84">
        <v>34</v>
      </c>
    </row>
    <row r="85" spans="1:4" x14ac:dyDescent="0.3">
      <c r="A85" s="10" t="s">
        <v>697</v>
      </c>
      <c r="B85" s="4">
        <v>84</v>
      </c>
      <c r="C85">
        <v>52</v>
      </c>
      <c r="D85">
        <v>30</v>
      </c>
    </row>
    <row r="86" spans="1:4" x14ac:dyDescent="0.3">
      <c r="A86" s="10" t="s">
        <v>698</v>
      </c>
      <c r="B86" s="4">
        <v>85</v>
      </c>
      <c r="C86">
        <v>55</v>
      </c>
      <c r="D86">
        <v>38</v>
      </c>
    </row>
    <row r="87" spans="1:4" x14ac:dyDescent="0.3">
      <c r="A87" s="10" t="s">
        <v>699</v>
      </c>
      <c r="B87" s="4">
        <v>86</v>
      </c>
      <c r="C87">
        <v>33</v>
      </c>
      <c r="D87">
        <v>29</v>
      </c>
    </row>
    <row r="88" spans="1:4" x14ac:dyDescent="0.3">
      <c r="A88" s="10" t="s">
        <v>700</v>
      </c>
      <c r="B88" s="4">
        <v>87</v>
      </c>
      <c r="C88">
        <v>79</v>
      </c>
      <c r="D88">
        <v>35</v>
      </c>
    </row>
    <row r="89" spans="1:4" x14ac:dyDescent="0.3">
      <c r="A89" s="10" t="s">
        <v>702</v>
      </c>
      <c r="B89" s="4">
        <v>88</v>
      </c>
      <c r="C89">
        <v>46</v>
      </c>
      <c r="D89">
        <v>36</v>
      </c>
    </row>
    <row r="90" spans="1:4" x14ac:dyDescent="0.3">
      <c r="A90" s="10" t="s">
        <v>701</v>
      </c>
      <c r="B90" s="4">
        <v>89</v>
      </c>
      <c r="C90">
        <v>44</v>
      </c>
      <c r="D90">
        <v>24</v>
      </c>
    </row>
    <row r="91" spans="1:4" x14ac:dyDescent="0.3">
      <c r="A91" s="10" t="s">
        <v>703</v>
      </c>
      <c r="B91" s="4">
        <v>90</v>
      </c>
      <c r="C91">
        <v>37</v>
      </c>
      <c r="D91">
        <v>20</v>
      </c>
    </row>
    <row r="92" spans="1:4" x14ac:dyDescent="0.3">
      <c r="A92" s="10" t="s">
        <v>704</v>
      </c>
      <c r="B92" s="4">
        <v>91</v>
      </c>
      <c r="C92">
        <v>79</v>
      </c>
      <c r="D92">
        <v>34</v>
      </c>
    </row>
    <row r="93" spans="1:4" x14ac:dyDescent="0.3">
      <c r="A93" s="10" t="s">
        <v>705</v>
      </c>
      <c r="B93" s="4">
        <v>92</v>
      </c>
      <c r="C93">
        <v>49</v>
      </c>
      <c r="D93">
        <v>18</v>
      </c>
    </row>
    <row r="94" spans="1:4" x14ac:dyDescent="0.3">
      <c r="A94" s="10" t="s">
        <v>706</v>
      </c>
      <c r="B94" s="4">
        <v>93</v>
      </c>
      <c r="C94">
        <v>81</v>
      </c>
      <c r="D94">
        <v>35</v>
      </c>
    </row>
    <row r="95" spans="1:4" x14ac:dyDescent="0.3">
      <c r="A95" s="10" t="s">
        <v>707</v>
      </c>
      <c r="B95" s="4">
        <v>94</v>
      </c>
      <c r="C95">
        <v>69</v>
      </c>
      <c r="D95">
        <v>35</v>
      </c>
    </row>
    <row r="96" spans="1:4" x14ac:dyDescent="0.3">
      <c r="A96" s="10" t="s">
        <v>708</v>
      </c>
      <c r="B96" s="4">
        <v>95</v>
      </c>
      <c r="C96">
        <v>53</v>
      </c>
      <c r="D96">
        <v>28</v>
      </c>
    </row>
    <row r="97" spans="1:4" x14ac:dyDescent="0.3">
      <c r="A97" s="10" t="s">
        <v>709</v>
      </c>
      <c r="B97" s="4">
        <v>96</v>
      </c>
      <c r="C97">
        <v>45</v>
      </c>
      <c r="D97">
        <v>24</v>
      </c>
    </row>
    <row r="98" spans="1:4" x14ac:dyDescent="0.3">
      <c r="A98" s="10" t="s">
        <v>710</v>
      </c>
      <c r="B98" s="4">
        <v>97</v>
      </c>
      <c r="C98">
        <v>79</v>
      </c>
      <c r="D98">
        <v>36</v>
      </c>
    </row>
    <row r="99" spans="1:4" x14ac:dyDescent="0.3">
      <c r="A99" s="10" t="s">
        <v>711</v>
      </c>
      <c r="B99" s="4">
        <v>98</v>
      </c>
      <c r="C99">
        <v>58</v>
      </c>
      <c r="D99">
        <v>25</v>
      </c>
    </row>
    <row r="100" spans="1:4" x14ac:dyDescent="0.3">
      <c r="A100" s="10" t="s">
        <v>712</v>
      </c>
      <c r="B100" s="4">
        <v>99</v>
      </c>
      <c r="C100">
        <v>51</v>
      </c>
      <c r="D100">
        <v>30</v>
      </c>
    </row>
    <row r="101" spans="1:4" x14ac:dyDescent="0.3">
      <c r="A101" s="10" t="s">
        <v>713</v>
      </c>
      <c r="B101" s="4">
        <v>100</v>
      </c>
      <c r="C101">
        <v>55</v>
      </c>
      <c r="D101">
        <v>33</v>
      </c>
    </row>
  </sheetData>
  <hyperlinks>
    <hyperlink ref="A2" r:id="rId1" display="https://ror.org/03vek6s52" xr:uid="{AF7CBAFA-7325-4476-B505-3528B40B40B1}"/>
    <hyperlink ref="A3" r:id="rId2" display="https://ror.org/00f54p054" xr:uid="{7F17ADCE-F926-4BAE-BB6D-5439CE60B5E5}"/>
    <hyperlink ref="A4" r:id="rId3" display="https://ror.org/042nb2s44" xr:uid="{23C11858-D126-48A6-8C06-007005B75E64}"/>
    <hyperlink ref="A5" r:id="rId4" display="https://ror.org/052gg0110" xr:uid="{B181C50F-649A-4631-9839-4585C059F5C0}"/>
    <hyperlink ref="A7" r:id="rId5" display="https://ror.org/00jmfr291" xr:uid="{00214745-8D48-400F-AB6E-048CBB271BAE}"/>
    <hyperlink ref="A6" r:id="rId6" display="https://ror.org/01an7q238" xr:uid="{D63B134B-68A6-41C0-B5C1-6E0AEE7C0133}"/>
    <hyperlink ref="A8" r:id="rId7" display="https://ror.org/05bnh6r87" xr:uid="{AC56286F-1FC9-4987-9754-EBEA4B3B110C}"/>
    <hyperlink ref="A9" r:id="rId8" display="https://ror.org/00cvxb145" xr:uid="{F3D642FC-F896-4ED5-9F39-63D34EF57363}"/>
    <hyperlink ref="A10" r:id="rId9" display="https://ror.org/00hj8s172" xr:uid="{05B5D233-125E-4EE4-A72A-C6E60124D456}"/>
    <hyperlink ref="A11" r:id="rId10" display="https://ror.org/00b30xv10" xr:uid="{42B2062E-ABEA-4CF7-8C56-C557D71D94F3}"/>
    <hyperlink ref="A13" r:id="rId11" display="https://ror.org/00za53h95" xr:uid="{AD46A82B-CFBD-4206-9F3C-6A163DF1C9BC}"/>
    <hyperlink ref="A12" r:id="rId12" display="https://ror.org/013meh722" xr:uid="{DF419B75-1875-4D03-B929-B184B902343B}"/>
    <hyperlink ref="A14" r:id="rId13" display="https://ror.org/03v76x132" xr:uid="{3B6EC0AE-2D98-470D-9C94-D76065D7FCAE}"/>
    <hyperlink ref="A15" r:id="rId14" display="https://ror.org/046rm7j60" xr:uid="{F9BB65E7-EEB3-4E0B-9B23-B70583518B0B}"/>
    <hyperlink ref="A16" r:id="rId15" display="https://ror.org/02jx3x895" xr:uid="{81982558-2445-4792-A482-AF12A16183E4}"/>
    <hyperlink ref="A17" r:id="rId16" display="https://ror.org/03dbr7087" xr:uid="{442F9E05-4FF4-45AC-9E60-16094D93AA73}"/>
    <hyperlink ref="A18" r:id="rId17" display="https://ror.org/0168r3w48" xr:uid="{8D01A319-4457-4993-AE44-10C01134DF34}"/>
    <hyperlink ref="A19" r:id="rId18" display="https://ror.org/04p491231" xr:uid="{E9E1239B-9C8C-45AA-88B3-0671E6551178}"/>
    <hyperlink ref="A21" r:id="rId19" display="https://ror.org/01y2jtd41" xr:uid="{D8734578-DF08-4414-8197-3D82B86500ED}"/>
    <hyperlink ref="A23" r:id="rId20" display="https://ror.org/03cve4549" xr:uid="{1F48A1B1-0F09-4591-A93A-68557B113D8E}"/>
    <hyperlink ref="A22" r:id="rId21" display="https://ror.org/00py81415" xr:uid="{CC95426F-97EE-4508-A9CE-C1B387A6A46A}"/>
    <hyperlink ref="A25" r:id="rId22" display="https://ror.org/000e0be47" xr:uid="{B7C62716-20D3-4C96-AEAF-FC0E5B5B2DF1}"/>
    <hyperlink ref="A30" r:id="rId23" display="https://ror.org/02v51f717" xr:uid="{236F81FB-0D9E-4382-AB67-EC860466BF29}"/>
    <hyperlink ref="A20" r:id="rId24" display="https://ror.org/0190ak572" xr:uid="{9616BA60-93DC-40B2-BDA2-E5871F404A6C}"/>
    <hyperlink ref="A26" r:id="rId25" display="https://ror.org/03rmrcq20" xr:uid="{8F5881D4-569A-435D-8582-9CADCCE92F62}"/>
    <hyperlink ref="A24" r:id="rId26" display="https://ror.org/00hx57361" xr:uid="{F88422B2-AD40-4ABF-A560-FBBAF4672F36}"/>
    <hyperlink ref="A28" r:id="rId27" display="https://ror.org/0130frc33" xr:uid="{3A6C999A-971F-40DA-8A25-C9966FCBD694}"/>
    <hyperlink ref="A29" r:id="rId28" display="https://ror.org/024mw5h28" xr:uid="{CEA8E52A-7889-4301-A942-8F4D8528DAA0}"/>
    <hyperlink ref="A27" r:id="rId29" display="https://ror.org/00hj54h04" xr:uid="{9D323DA0-2248-4CA8-9429-C5DA2A062D45}"/>
    <hyperlink ref="A44" r:id="rId30" display="https://ror.org/03taz7m60" xr:uid="{75BCD3B4-D53B-4233-8636-4ED9D50BC1CB}"/>
    <hyperlink ref="A33" r:id="rId31" display="https://ror.org/05a28rw58" xr:uid="{A869B6F6-D21C-4E82-AD28-EDF89EE975DD}"/>
    <hyperlink ref="A32" r:id="rId32" display="https://ror.org/02y3ad647" xr:uid="{BB869956-79F0-4958-9D49-61C110DBF65D}"/>
    <hyperlink ref="A34" r:id="rId33" display="https://ror.org/041kmwe10" xr:uid="{EC79B104-1A40-48D7-8634-BD33ADCDB77B}"/>
    <hyperlink ref="A35" r:id="rId34" display="https://ror.org/00rs6vg23" xr:uid="{BF5671F6-7DB2-49D3-A57E-2604F2A1314F}"/>
    <hyperlink ref="A41" r:id="rId35" display="https://ror.org/047426m28" xr:uid="{E2CECE98-FE0A-4E32-A664-7CC9FF648453}"/>
    <hyperlink ref="A36" r:id="rId36" display="https://ror.org/05rrcem69" xr:uid="{1D33D72E-EFC1-4979-A2B2-354F0A6DC020}"/>
    <hyperlink ref="A31" r:id="rId37" display="https://ror.org/04gyf1771" xr:uid="{1DC3C644-C08C-452E-962F-0C430DEE6C5A}"/>
    <hyperlink ref="A37" r:id="rId38" display="https://ror.org/01ej9dk98" xr:uid="{A01589F5-BA2D-41FD-8D16-CF35ECEFDC90}"/>
    <hyperlink ref="A38" r:id="rId39" display="https://ror.org/043mz5j54" xr:uid="{69373B9F-80A2-4489-9341-1B16A39E1604}"/>
    <hyperlink ref="A40" r:id="rId40" display="https://ror.org/03r8z3t63" xr:uid="{603B6E83-8D52-4A17-A6FA-1594CB73CEFA}"/>
    <hyperlink ref="A42" r:id="rId41" display="https://ror.org/01yc7t268" xr:uid="{460B3AAA-430F-4369-AC2B-29AF0E5DD7EF}"/>
    <hyperlink ref="A43" r:id="rId42" display="https://ror.org/047s2c258" xr:uid="{B0CBAF30-7C04-41C9-83BF-A74147F7D41C}"/>
    <hyperlink ref="A39" r:id="rId43" display="https://ror.org/01nrxwf90" xr:uid="{28B96B7C-C484-4661-AF2C-BB12214FE8B0}"/>
    <hyperlink ref="A45" r:id="rId44" display="https://ror.org/01tgyzw49" xr:uid="{6072A5D0-84F2-4E29-84BD-DCDD8D2761CD}"/>
    <hyperlink ref="A47" r:id="rId45" display="https://ror.org/02dqehb95" xr:uid="{BB163A9F-27C3-4D7C-9ADD-6DD6AEB2EB9A}"/>
    <hyperlink ref="A51" r:id="rId46" display="https://ror.org/01an3r305" xr:uid="{020361C7-2657-4FB2-AE99-A9E37A237F16}"/>
    <hyperlink ref="A49" r:id="rId47" display="https://ror.org/05x2bcf33" xr:uid="{B100D1DA-56F9-4AD1-9D69-7D55C9D064C9}"/>
    <hyperlink ref="A48" r:id="rId48" display="https://ror.org/05hs6h993" xr:uid="{BF93C9E8-9A51-485F-96FB-C943F513A8F3}"/>
    <hyperlink ref="A50" r:id="rId49" display="https://ror.org/00rqy9422" xr:uid="{C0A5AF72-3EEF-4C96-88A9-9F637BA8E4B5}"/>
    <hyperlink ref="A54" r:id="rId50" display="https://ror.org/05vt9qd57" xr:uid="{18354C84-5A42-4FC0-AE8C-A243A8520E15}"/>
    <hyperlink ref="A59" r:id="rId51" display="https://ror.org/03efmqc40" xr:uid="{A9455C87-09A6-4DA8-8F3F-60809D62D3EC}"/>
    <hyperlink ref="A53" r:id="rId52" display="https://ror.org/03m2x1q45" xr:uid="{8D7189D7-5E87-4913-A5E2-BF2E4B9F6BE6}"/>
    <hyperlink ref="A52" r:id="rId53" display="https://ror.org/05qwgg493" xr:uid="{1A9170AA-B4E9-4C37-B757-252E6D10016F}"/>
    <hyperlink ref="A57" r:id="rId54" display="https://ror.org/01f5ytq51" xr:uid="{E4370AAB-B0FB-4A7C-95F5-666DCF4A3E3B}"/>
    <hyperlink ref="A63" r:id="rId55" display="https://ror.org/02bfwt286" xr:uid="{8EE48E72-6DD6-4E88-8BE8-40FEC5F6A361}"/>
    <hyperlink ref="A56" r:id="rId56" display="https://ror.org/0384j8v12" xr:uid="{8DBBFAAC-746F-4AC5-98FC-E5719F23A7AF}"/>
    <hyperlink ref="A60" r:id="rId57" display="https://ror.org/00a2xv884" xr:uid="{822869AF-396C-4DBB-B1D3-D160FDA61A1C}"/>
    <hyperlink ref="A55" r:id="rId58" display="https://ror.org/04dkp9463" xr:uid="{83CCE6C5-34CA-4505-BB48-8D369884DA51}"/>
    <hyperlink ref="A62" r:id="rId59" display="https://ror.org/02ttsq026" xr:uid="{C41AD903-EEA5-4CBB-82B2-07D0AA2E207F}"/>
    <hyperlink ref="A65" r:id="rId60" display="https://ror.org/0220qvk04" xr:uid="{426C1237-E07B-4546-8B86-DAB30312C11B}"/>
    <hyperlink ref="A46" r:id="rId61" display="https://ror.org/01pxwe438" xr:uid="{AEBB42A7-67C3-4949-9108-8B64EBFD8640}"/>
    <hyperlink ref="A66" r:id="rId62" display="https://ror.org/02vm5rt34" xr:uid="{675B3B1E-2CF6-4493-852C-9F1463705891}"/>
    <hyperlink ref="A68" r:id="rId63" display="https://ror.org/05dxps055" xr:uid="{395CA2C4-0CFE-4401-B66C-A156E62184DD}"/>
    <hyperlink ref="A64" r:id="rId64" display="https://ror.org/027m9bs27" xr:uid="{7CB1E8BF-8E91-42B6-A026-4738943750FD}"/>
    <hyperlink ref="A70" r:id="rId65" display="https://ror.org/01zkghx44" xr:uid="{46926D5E-D6AF-448C-943A-16C409D223AB}"/>
    <hyperlink ref="A58" r:id="rId66" display="https://ror.org/04pp8hn57" xr:uid="{1DEF6660-2238-4B16-A864-C8464A9E3FB4}"/>
    <hyperlink ref="A61" r:id="rId67" display="https://ror.org/0220mzb33" xr:uid="{D1BF19BA-F648-4356-8E8B-9676A722B74D}"/>
    <hyperlink ref="A67" r:id="rId68" display="https://ror.org/03r0ha626" xr:uid="{E6D61142-ED99-437E-A9C5-7EDAA694C1E7}"/>
    <hyperlink ref="A69" r:id="rId69" display="https://ror.org/0153tk833" xr:uid="{3B2E71C7-A045-4A71-A966-688A826104F5}"/>
    <hyperlink ref="A71" r:id="rId70" display="https://ror.org/0160cpw27" xr:uid="{6D856CB9-889E-4786-9CA9-AE36EF8B7A01}"/>
    <hyperlink ref="A72" r:id="rId71" display="https://ror.org/03czfpz43" xr:uid="{E6CF63DB-CCCC-4690-A449-E92D71BF04B0}"/>
    <hyperlink ref="A73" r:id="rId72" display="https://ror.org/057zh3y96" xr:uid="{E188204F-0829-4DC6-B714-AFC76CA4E939}"/>
    <hyperlink ref="A74" r:id="rId73" display="https://ror.org/036rp1748" xr:uid="{0C1DE9EE-546F-41C0-8B03-FA30769CCDF0}"/>
    <hyperlink ref="A75" r:id="rId74" display="https://ror.org/035b05819" xr:uid="{ABA2A403-8BD6-4EDD-9A2E-5960BD4393C8}"/>
    <hyperlink ref="A76" r:id="rId75" display="https://ror.org/05f950310" xr:uid="{46433326-9A6D-40D8-B448-863F6510C916}"/>
    <hyperlink ref="A77" r:id="rId76" display="https://ror.org/00t33hh48" xr:uid="{9BBCC892-FF3B-4513-9FF2-A3BDC59563B2}"/>
    <hyperlink ref="A78" r:id="rId77" display="https://ror.org/021018s57" xr:uid="{DACADCE1-C4C8-4169-8D90-D14A8CEFDF88}"/>
    <hyperlink ref="A79" r:id="rId78" display="https://ror.org/05gq02987" xr:uid="{95799019-C2EE-40F2-BA49-831E1F2AA31A}"/>
    <hyperlink ref="A80" r:id="rId79" display="https://ror.org/012p63287" xr:uid="{116A1D0F-8538-457A-BC55-202DCFA5A848}"/>
    <hyperlink ref="A81" r:id="rId80" display="https://ror.org/02zhqgq86" xr:uid="{FEC6897A-E0D6-435D-A331-C1E8D62EA10B}"/>
    <hyperlink ref="A82" r:id="rId81" display="https://ror.org/008xxew50" xr:uid="{0D7AD27D-6103-4CD1-9B53-05FCEE2C418D}"/>
    <hyperlink ref="A83" r:id="rId82" display="https://ror.org/04tj63d06" xr:uid="{0045F7F0-BCC6-49BF-8B9E-685346EDCE59}"/>
    <hyperlink ref="A84" r:id="rId83" display="https://ror.org/02kkvpp62" xr:uid="{E030B991-A000-4C05-B45C-5E2ED9AA8363}"/>
    <hyperlink ref="A85" r:id="rId84" display="https://ror.org/019wvm592" xr:uid="{E6C076F6-D226-43D1-B1B4-BD1C48421D30}"/>
    <hyperlink ref="A86" r:id="rId85" display="https://ror.org/02t274463" xr:uid="{142346E9-0D60-477B-A36B-27AEF76E9DB7}"/>
    <hyperlink ref="A87" r:id="rId86" display="https://ror.org/01aff2v68" xr:uid="{3FFEEF30-33C9-49DD-8593-B02B176671C8}"/>
    <hyperlink ref="A88" r:id="rId87" display="https://ror.org/040af2s02" xr:uid="{9AAA6217-3FBB-4BF3-B8AF-1E2732167122}"/>
    <hyperlink ref="A89" r:id="rId88" display="https://ror.org/02smfhw86" xr:uid="{062C72A4-91D3-4B92-B32C-C786DF7074A8}"/>
    <hyperlink ref="A90" r:id="rId89" display="https://ror.org/03yjb2x39" xr:uid="{BAC1C5F6-4522-4563-AE0E-6DEEBCA6B309}"/>
    <hyperlink ref="A91" r:id="rId90" display="https://ror.org/04c4dkn09" xr:uid="{975FC6B9-11A3-42F5-94C3-F030EC60FD99}"/>
    <hyperlink ref="A92" r:id="rId91" display="https://ror.org/024mrxd33" xr:uid="{C595DBC9-5EAA-4E8E-ACF3-C23B426DD555}"/>
    <hyperlink ref="A93" r:id="rId92" display="https://ror.org/02e7b5302" xr:uid="{B51613D2-08DF-46F5-AA90-409A16C34AFF}"/>
    <hyperlink ref="A94" r:id="rId93" display="https://ror.org/01xtthb56" xr:uid="{A91CC189-D37D-4B44-AF45-D51AB84BAC54}"/>
    <hyperlink ref="A95" r:id="rId94" display="https://ror.org/036jqmy94" xr:uid="{FEF5811E-D9BC-4C7D-8729-0B61BB954E21}"/>
    <hyperlink ref="A96" r:id="rId95" display="https://ror.org/02crff812" xr:uid="{0352FC45-5153-442E-B459-E40D2994B94E}"/>
    <hyperlink ref="A97" r:id="rId96" display="https://ror.org/013q1eq08" xr:uid="{3EA8D04E-6A96-4732-95E6-0E6DE8A16366}"/>
    <hyperlink ref="A98" r:id="rId97" display="https://ror.org/01111rn36" xr:uid="{35933FB3-5CB1-4C59-A8BA-7CF3135CD167}"/>
    <hyperlink ref="A99" r:id="rId98" display="https://ror.org/01aj84f44" xr:uid="{CBD155D7-A157-4D0C-B4D8-2233B3A0EF82}"/>
    <hyperlink ref="A100" r:id="rId99" display="https://ror.org/02s376052" xr:uid="{8B7E7B47-8F8D-47C0-8997-350B5FB07D05}"/>
    <hyperlink ref="A101" r:id="rId100" display="https://ror.org/022kthw22" xr:uid="{1600B26F-CD71-410D-B932-DC32B6793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Identifiers</vt:lpstr>
      <vt:lpstr>Statements</vt:lpstr>
      <vt:lpstr>Potential Variable</vt:lpstr>
      <vt:lpstr>Binary_Data</vt:lpstr>
      <vt:lpstr>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sanjubackory1@gmail.com</dc:creator>
  <cp:lastModifiedBy>sanjubackory1@gmail.com</cp:lastModifiedBy>
  <dcterms:created xsi:type="dcterms:W3CDTF">2024-06-28T04:31:10Z</dcterms:created>
  <dcterms:modified xsi:type="dcterms:W3CDTF">2026-02-17T13:29:55Z</dcterms:modified>
</cp:coreProperties>
</file>